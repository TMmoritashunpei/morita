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C:\Users\Nobuyuki.Sakurai\Documents\@Traning\制作\テスト\"/>
    </mc:Choice>
  </mc:AlternateContent>
  <xr:revisionPtr revIDLastSave="0" documentId="13_ncr:1_{0FAAA48D-29DA-441E-AE5B-E55B47B19864}" xr6:coauthVersionLast="33" xr6:coauthVersionMax="33" xr10:uidLastSave="{00000000-0000-0000-0000-000000000000}"/>
  <bookViews>
    <workbookView xWindow="32768" yWindow="30" windowWidth="19185" windowHeight="4755" firstSheet="2" activeTab="3" xr2:uid="{00000000-000D-0000-FFFF-FFFF00000000}"/>
  </bookViews>
  <sheets>
    <sheet name="テスト観点" sheetId="65" r:id="rId1"/>
    <sheet name="異業種商材申込情報抽出" sheetId="66" r:id="rId2"/>
    <sheet name="1" sheetId="68" r:id="rId3"/>
    <sheet name="3" sheetId="74" r:id="rId4"/>
    <sheet name="4" sheetId="75" r:id="rId5"/>
    <sheet name="5" sheetId="76" r:id="rId6"/>
    <sheet name="6" sheetId="77" r:id="rId7"/>
    <sheet name="7" sheetId="78" r:id="rId8"/>
    <sheet name="8" sheetId="79" r:id="rId9"/>
    <sheet name="9" sheetId="80" r:id="rId10"/>
    <sheet name="10" sheetId="82" r:id="rId11"/>
    <sheet name="11" sheetId="83" r:id="rId12"/>
    <sheet name="12" sheetId="84" r:id="rId13"/>
    <sheet name="13" sheetId="85" r:id="rId14"/>
    <sheet name="14" sheetId="86" r:id="rId15"/>
    <sheet name="15" sheetId="87" r:id="rId16"/>
    <sheet name="2" sheetId="73" r:id="rId17"/>
    <sheet name="16" sheetId="88" r:id="rId18"/>
    <sheet name="17" sheetId="89" r:id="rId19"/>
    <sheet name="18" sheetId="90" r:id="rId20"/>
    <sheet name="19" sheetId="91" r:id="rId21"/>
    <sheet name="20" sheetId="92" r:id="rId22"/>
    <sheet name="21" sheetId="93" r:id="rId23"/>
    <sheet name="22" sheetId="94" r:id="rId24"/>
    <sheet name="23" sheetId="95" r:id="rId25"/>
    <sheet name="24" sheetId="96" r:id="rId26"/>
    <sheet name="25" sheetId="97" r:id="rId27"/>
    <sheet name="26" sheetId="98" r:id="rId28"/>
    <sheet name="27" sheetId="99" r:id="rId29"/>
    <sheet name="28" sheetId="100" r:id="rId30"/>
    <sheet name="29" sheetId="101" r:id="rId31"/>
    <sheet name="30" sheetId="102" r:id="rId32"/>
    <sheet name="31" sheetId="103" r:id="rId33"/>
    <sheet name="32" sheetId="104" r:id="rId34"/>
    <sheet name="33" sheetId="105" r:id="rId35"/>
    <sheet name="34" sheetId="106" r:id="rId36"/>
    <sheet name="35" sheetId="107" r:id="rId37"/>
    <sheet name="36" sheetId="108" r:id="rId38"/>
    <sheet name="37" sheetId="109" r:id="rId39"/>
    <sheet name="38" sheetId="110" r:id="rId40"/>
    <sheet name="39" sheetId="111" r:id="rId41"/>
    <sheet name="40" sheetId="112" r:id="rId42"/>
    <sheet name="41" sheetId="113" r:id="rId43"/>
    <sheet name="42" sheetId="114" r:id="rId44"/>
    <sheet name="43" sheetId="115" r:id="rId45"/>
    <sheet name="Generator" sheetId="5" r:id="rId46"/>
    <sheet name="M001" sheetId="67" r:id="rId47"/>
    <sheet name="base" sheetId="72" r:id="rId48"/>
  </sheets>
  <externalReferences>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s>
  <definedNames>
    <definedName name="___CHK01">#REF!</definedName>
    <definedName name="___CHK02">#REF!</definedName>
    <definedName name="___CHK03">#REF!</definedName>
    <definedName name="___CHK04">#REF!</definedName>
    <definedName name="___CHK05" localSheetId="10">#REF!</definedName>
    <definedName name="___CHK05" localSheetId="11">#REF!</definedName>
    <definedName name="___CHK05" localSheetId="12">#REF!</definedName>
    <definedName name="___CHK05" localSheetId="13">#REF!</definedName>
    <definedName name="___CHK05" localSheetId="14">#REF!</definedName>
    <definedName name="___CHK05" localSheetId="15">#REF!</definedName>
    <definedName name="___CHK05" localSheetId="17">#REF!</definedName>
    <definedName name="___CHK05" localSheetId="18">#REF!</definedName>
    <definedName name="___CHK05" localSheetId="19">#REF!</definedName>
    <definedName name="___CHK05" localSheetId="20">#REF!</definedName>
    <definedName name="___CHK05" localSheetId="16">#REF!</definedName>
    <definedName name="___CHK05" localSheetId="21">#REF!</definedName>
    <definedName name="___CHK05" localSheetId="22">#REF!</definedName>
    <definedName name="___CHK05" localSheetId="23">#REF!</definedName>
    <definedName name="___CHK05" localSheetId="24">#REF!</definedName>
    <definedName name="___CHK05" localSheetId="25">#REF!</definedName>
    <definedName name="___CHK05" localSheetId="26">#REF!</definedName>
    <definedName name="___CHK05" localSheetId="27">#REF!</definedName>
    <definedName name="___CHK05" localSheetId="28">#REF!</definedName>
    <definedName name="___CHK05" localSheetId="29">#REF!</definedName>
    <definedName name="___CHK05" localSheetId="30">#REF!</definedName>
    <definedName name="___CHK05" localSheetId="3">#REF!</definedName>
    <definedName name="___CHK05" localSheetId="31">#REF!</definedName>
    <definedName name="___CHK05" localSheetId="32">#REF!</definedName>
    <definedName name="___CHK05" localSheetId="33">#REF!</definedName>
    <definedName name="___CHK05" localSheetId="34">#REF!</definedName>
    <definedName name="___CHK05" localSheetId="35">#REF!</definedName>
    <definedName name="___CHK05" localSheetId="36">#REF!</definedName>
    <definedName name="___CHK05" localSheetId="37">#REF!</definedName>
    <definedName name="___CHK05" localSheetId="38">#REF!</definedName>
    <definedName name="___CHK05" localSheetId="39">#REF!</definedName>
    <definedName name="___CHK05" localSheetId="40">#REF!</definedName>
    <definedName name="___CHK05" localSheetId="4">#REF!</definedName>
    <definedName name="___CHK05" localSheetId="41">#REF!</definedName>
    <definedName name="___CHK05" localSheetId="42">#REF!</definedName>
    <definedName name="___CHK05" localSheetId="43">#REF!</definedName>
    <definedName name="___CHK05" localSheetId="44">#REF!</definedName>
    <definedName name="___CHK05" localSheetId="5">#REF!</definedName>
    <definedName name="___CHK05" localSheetId="6">#REF!</definedName>
    <definedName name="___CHK05" localSheetId="7">#REF!</definedName>
    <definedName name="___CHK05" localSheetId="8">#REF!</definedName>
    <definedName name="___CHK05" localSheetId="9">#REF!</definedName>
    <definedName name="___CHK05">#REF!</definedName>
    <definedName name="__CHK01">#REF!</definedName>
    <definedName name="__CHK02">#REF!</definedName>
    <definedName name="__CHK03">#REF!</definedName>
    <definedName name="__CHK04">#REF!</definedName>
    <definedName name="__CHK05" localSheetId="10">#REF!</definedName>
    <definedName name="__CHK05" localSheetId="11">#REF!</definedName>
    <definedName name="__CHK05" localSheetId="12">#REF!</definedName>
    <definedName name="__CHK05" localSheetId="13">#REF!</definedName>
    <definedName name="__CHK05" localSheetId="14">#REF!</definedName>
    <definedName name="__CHK05" localSheetId="15">#REF!</definedName>
    <definedName name="__CHK05" localSheetId="17">#REF!</definedName>
    <definedName name="__CHK05" localSheetId="18">#REF!</definedName>
    <definedName name="__CHK05" localSheetId="19">#REF!</definedName>
    <definedName name="__CHK05" localSheetId="20">#REF!</definedName>
    <definedName name="__CHK05" localSheetId="16">#REF!</definedName>
    <definedName name="__CHK05" localSheetId="21">#REF!</definedName>
    <definedName name="__CHK05" localSheetId="22">#REF!</definedName>
    <definedName name="__CHK05" localSheetId="23">#REF!</definedName>
    <definedName name="__CHK05" localSheetId="24">#REF!</definedName>
    <definedName name="__CHK05" localSheetId="25">#REF!</definedName>
    <definedName name="__CHK05" localSheetId="26">#REF!</definedName>
    <definedName name="__CHK05" localSheetId="27">#REF!</definedName>
    <definedName name="__CHK05" localSheetId="28">#REF!</definedName>
    <definedName name="__CHK05" localSheetId="29">#REF!</definedName>
    <definedName name="__CHK05" localSheetId="30">#REF!</definedName>
    <definedName name="__CHK05" localSheetId="3">#REF!</definedName>
    <definedName name="__CHK05" localSheetId="31">#REF!</definedName>
    <definedName name="__CHK05" localSheetId="32">#REF!</definedName>
    <definedName name="__CHK05" localSheetId="33">#REF!</definedName>
    <definedName name="__CHK05" localSheetId="34">#REF!</definedName>
    <definedName name="__CHK05" localSheetId="35">#REF!</definedName>
    <definedName name="__CHK05" localSheetId="36">#REF!</definedName>
    <definedName name="__CHK05" localSheetId="37">#REF!</definedName>
    <definedName name="__CHK05" localSheetId="38">#REF!</definedName>
    <definedName name="__CHK05" localSheetId="39">#REF!</definedName>
    <definedName name="__CHK05" localSheetId="40">#REF!</definedName>
    <definedName name="__CHK05" localSheetId="4">#REF!</definedName>
    <definedName name="__CHK05" localSheetId="41">#REF!</definedName>
    <definedName name="__CHK05" localSheetId="42">#REF!</definedName>
    <definedName name="__CHK05" localSheetId="43">#REF!</definedName>
    <definedName name="__CHK05" localSheetId="44">#REF!</definedName>
    <definedName name="__CHK05" localSheetId="5">#REF!</definedName>
    <definedName name="__CHK05" localSheetId="6">#REF!</definedName>
    <definedName name="__CHK05" localSheetId="7">#REF!</definedName>
    <definedName name="__CHK05" localSheetId="8">#REF!</definedName>
    <definedName name="__CHK05" localSheetId="9">#REF!</definedName>
    <definedName name="__CHK05">#REF!</definedName>
    <definedName name="_CHK01" localSheetId="10">#REF!</definedName>
    <definedName name="_CHK01" localSheetId="11">#REF!</definedName>
    <definedName name="_CHK01" localSheetId="12">#REF!</definedName>
    <definedName name="_CHK01" localSheetId="13">#REF!</definedName>
    <definedName name="_CHK01" localSheetId="14">#REF!</definedName>
    <definedName name="_CHK01" localSheetId="15">#REF!</definedName>
    <definedName name="_CHK01" localSheetId="17">#REF!</definedName>
    <definedName name="_CHK01" localSheetId="18">#REF!</definedName>
    <definedName name="_CHK01" localSheetId="19">#REF!</definedName>
    <definedName name="_CHK01" localSheetId="20">#REF!</definedName>
    <definedName name="_CHK01" localSheetId="16">#REF!</definedName>
    <definedName name="_CHK01" localSheetId="21">#REF!</definedName>
    <definedName name="_CHK01" localSheetId="22">#REF!</definedName>
    <definedName name="_CHK01" localSheetId="23">#REF!</definedName>
    <definedName name="_CHK01" localSheetId="24">#REF!</definedName>
    <definedName name="_CHK01" localSheetId="25">#REF!</definedName>
    <definedName name="_CHK01" localSheetId="26">#REF!</definedName>
    <definedName name="_CHK01" localSheetId="27">#REF!</definedName>
    <definedName name="_CHK01" localSheetId="28">#REF!</definedName>
    <definedName name="_CHK01" localSheetId="29">#REF!</definedName>
    <definedName name="_CHK01" localSheetId="30">#REF!</definedName>
    <definedName name="_CHK01" localSheetId="3">#REF!</definedName>
    <definedName name="_CHK01" localSheetId="31">#REF!</definedName>
    <definedName name="_CHK01" localSheetId="32">#REF!</definedName>
    <definedName name="_CHK01" localSheetId="33">#REF!</definedName>
    <definedName name="_CHK01" localSheetId="34">#REF!</definedName>
    <definedName name="_CHK01" localSheetId="35">#REF!</definedName>
    <definedName name="_CHK01" localSheetId="36">#REF!</definedName>
    <definedName name="_CHK01" localSheetId="37">#REF!</definedName>
    <definedName name="_CHK01" localSheetId="38">#REF!</definedName>
    <definedName name="_CHK01" localSheetId="39">#REF!</definedName>
    <definedName name="_CHK01" localSheetId="40">#REF!</definedName>
    <definedName name="_CHK01" localSheetId="4">#REF!</definedName>
    <definedName name="_CHK01" localSheetId="41">#REF!</definedName>
    <definedName name="_CHK01" localSheetId="42">#REF!</definedName>
    <definedName name="_CHK01" localSheetId="43">#REF!</definedName>
    <definedName name="_CHK01" localSheetId="44">#REF!</definedName>
    <definedName name="_CHK01" localSheetId="5">#REF!</definedName>
    <definedName name="_CHK01" localSheetId="6">#REF!</definedName>
    <definedName name="_CHK01" localSheetId="7">#REF!</definedName>
    <definedName name="_CHK01" localSheetId="8">#REF!</definedName>
    <definedName name="_CHK01" localSheetId="9">#REF!</definedName>
    <definedName name="_CHK01">#REF!</definedName>
    <definedName name="_CHK02" localSheetId="10">#REF!</definedName>
    <definedName name="_CHK02" localSheetId="11">#REF!</definedName>
    <definedName name="_CHK02" localSheetId="12">#REF!</definedName>
    <definedName name="_CHK02" localSheetId="13">#REF!</definedName>
    <definedName name="_CHK02" localSheetId="14">#REF!</definedName>
    <definedName name="_CHK02" localSheetId="15">#REF!</definedName>
    <definedName name="_CHK02" localSheetId="17">#REF!</definedName>
    <definedName name="_CHK02" localSheetId="18">#REF!</definedName>
    <definedName name="_CHK02" localSheetId="19">#REF!</definedName>
    <definedName name="_CHK02" localSheetId="20">#REF!</definedName>
    <definedName name="_CHK02" localSheetId="16">#REF!</definedName>
    <definedName name="_CHK02" localSheetId="21">#REF!</definedName>
    <definedName name="_CHK02" localSheetId="22">#REF!</definedName>
    <definedName name="_CHK02" localSheetId="23">#REF!</definedName>
    <definedName name="_CHK02" localSheetId="24">#REF!</definedName>
    <definedName name="_CHK02" localSheetId="25">#REF!</definedName>
    <definedName name="_CHK02" localSheetId="26">#REF!</definedName>
    <definedName name="_CHK02" localSheetId="27">#REF!</definedName>
    <definedName name="_CHK02" localSheetId="28">#REF!</definedName>
    <definedName name="_CHK02" localSheetId="29">#REF!</definedName>
    <definedName name="_CHK02" localSheetId="30">#REF!</definedName>
    <definedName name="_CHK02" localSheetId="3">#REF!</definedName>
    <definedName name="_CHK02" localSheetId="31">#REF!</definedName>
    <definedName name="_CHK02" localSheetId="32">#REF!</definedName>
    <definedName name="_CHK02" localSheetId="33">#REF!</definedName>
    <definedName name="_CHK02" localSheetId="34">#REF!</definedName>
    <definedName name="_CHK02" localSheetId="35">#REF!</definedName>
    <definedName name="_CHK02" localSheetId="36">#REF!</definedName>
    <definedName name="_CHK02" localSheetId="37">#REF!</definedName>
    <definedName name="_CHK02" localSheetId="38">#REF!</definedName>
    <definedName name="_CHK02" localSheetId="39">#REF!</definedName>
    <definedName name="_CHK02" localSheetId="40">#REF!</definedName>
    <definedName name="_CHK02" localSheetId="4">#REF!</definedName>
    <definedName name="_CHK02" localSheetId="41">#REF!</definedName>
    <definedName name="_CHK02" localSheetId="42">#REF!</definedName>
    <definedName name="_CHK02" localSheetId="43">#REF!</definedName>
    <definedName name="_CHK02" localSheetId="44">#REF!</definedName>
    <definedName name="_CHK02" localSheetId="5">#REF!</definedName>
    <definedName name="_CHK02" localSheetId="6">#REF!</definedName>
    <definedName name="_CHK02" localSheetId="7">#REF!</definedName>
    <definedName name="_CHK02" localSheetId="8">#REF!</definedName>
    <definedName name="_CHK02" localSheetId="9">#REF!</definedName>
    <definedName name="_CHK02">#REF!</definedName>
    <definedName name="_CHK03" localSheetId="10">#REF!</definedName>
    <definedName name="_CHK03" localSheetId="11">#REF!</definedName>
    <definedName name="_CHK03" localSheetId="12">#REF!</definedName>
    <definedName name="_CHK03" localSheetId="13">#REF!</definedName>
    <definedName name="_CHK03" localSheetId="14">#REF!</definedName>
    <definedName name="_CHK03" localSheetId="15">#REF!</definedName>
    <definedName name="_CHK03" localSheetId="17">#REF!</definedName>
    <definedName name="_CHK03" localSheetId="18">#REF!</definedName>
    <definedName name="_CHK03" localSheetId="19">#REF!</definedName>
    <definedName name="_CHK03" localSheetId="20">#REF!</definedName>
    <definedName name="_CHK03" localSheetId="16">#REF!</definedName>
    <definedName name="_CHK03" localSheetId="21">#REF!</definedName>
    <definedName name="_CHK03" localSheetId="22">#REF!</definedName>
    <definedName name="_CHK03" localSheetId="23">#REF!</definedName>
    <definedName name="_CHK03" localSheetId="24">#REF!</definedName>
    <definedName name="_CHK03" localSheetId="25">#REF!</definedName>
    <definedName name="_CHK03" localSheetId="26">#REF!</definedName>
    <definedName name="_CHK03" localSheetId="27">#REF!</definedName>
    <definedName name="_CHK03" localSheetId="28">#REF!</definedName>
    <definedName name="_CHK03" localSheetId="29">#REF!</definedName>
    <definedName name="_CHK03" localSheetId="30">#REF!</definedName>
    <definedName name="_CHK03" localSheetId="3">#REF!</definedName>
    <definedName name="_CHK03" localSheetId="31">#REF!</definedName>
    <definedName name="_CHK03" localSheetId="32">#REF!</definedName>
    <definedName name="_CHK03" localSheetId="33">#REF!</definedName>
    <definedName name="_CHK03" localSheetId="34">#REF!</definedName>
    <definedName name="_CHK03" localSheetId="35">#REF!</definedName>
    <definedName name="_CHK03" localSheetId="36">#REF!</definedName>
    <definedName name="_CHK03" localSheetId="37">#REF!</definedName>
    <definedName name="_CHK03" localSheetId="38">#REF!</definedName>
    <definedName name="_CHK03" localSheetId="39">#REF!</definedName>
    <definedName name="_CHK03" localSheetId="40">#REF!</definedName>
    <definedName name="_CHK03" localSheetId="4">#REF!</definedName>
    <definedName name="_CHK03" localSheetId="41">#REF!</definedName>
    <definedName name="_CHK03" localSheetId="42">#REF!</definedName>
    <definedName name="_CHK03" localSheetId="43">#REF!</definedName>
    <definedName name="_CHK03" localSheetId="44">#REF!</definedName>
    <definedName name="_CHK03" localSheetId="5">#REF!</definedName>
    <definedName name="_CHK03" localSheetId="6">#REF!</definedName>
    <definedName name="_CHK03" localSheetId="7">#REF!</definedName>
    <definedName name="_CHK03" localSheetId="8">#REF!</definedName>
    <definedName name="_CHK03" localSheetId="9">#REF!</definedName>
    <definedName name="_CHK03">#REF!</definedName>
    <definedName name="_CHK04" localSheetId="10">#REF!</definedName>
    <definedName name="_CHK04" localSheetId="11">#REF!</definedName>
    <definedName name="_CHK04" localSheetId="12">#REF!</definedName>
    <definedName name="_CHK04" localSheetId="13">#REF!</definedName>
    <definedName name="_CHK04" localSheetId="14">#REF!</definedName>
    <definedName name="_CHK04" localSheetId="15">#REF!</definedName>
    <definedName name="_CHK04" localSheetId="17">#REF!</definedName>
    <definedName name="_CHK04" localSheetId="18">#REF!</definedName>
    <definedName name="_CHK04" localSheetId="19">#REF!</definedName>
    <definedName name="_CHK04" localSheetId="20">#REF!</definedName>
    <definedName name="_CHK04" localSheetId="16">#REF!</definedName>
    <definedName name="_CHK04" localSheetId="21">#REF!</definedName>
    <definedName name="_CHK04" localSheetId="22">#REF!</definedName>
    <definedName name="_CHK04" localSheetId="23">#REF!</definedName>
    <definedName name="_CHK04" localSheetId="24">#REF!</definedName>
    <definedName name="_CHK04" localSheetId="25">#REF!</definedName>
    <definedName name="_CHK04" localSheetId="26">#REF!</definedName>
    <definedName name="_CHK04" localSheetId="27">#REF!</definedName>
    <definedName name="_CHK04" localSheetId="28">#REF!</definedName>
    <definedName name="_CHK04" localSheetId="29">#REF!</definedName>
    <definedName name="_CHK04" localSheetId="30">#REF!</definedName>
    <definedName name="_CHK04" localSheetId="3">#REF!</definedName>
    <definedName name="_CHK04" localSheetId="31">#REF!</definedName>
    <definedName name="_CHK04" localSheetId="32">#REF!</definedName>
    <definedName name="_CHK04" localSheetId="33">#REF!</definedName>
    <definedName name="_CHK04" localSheetId="34">#REF!</definedName>
    <definedName name="_CHK04" localSheetId="35">#REF!</definedName>
    <definedName name="_CHK04" localSheetId="36">#REF!</definedName>
    <definedName name="_CHK04" localSheetId="37">#REF!</definedName>
    <definedName name="_CHK04" localSheetId="38">#REF!</definedName>
    <definedName name="_CHK04" localSheetId="39">#REF!</definedName>
    <definedName name="_CHK04" localSheetId="40">#REF!</definedName>
    <definedName name="_CHK04" localSheetId="4">#REF!</definedName>
    <definedName name="_CHK04" localSheetId="41">#REF!</definedName>
    <definedName name="_CHK04" localSheetId="42">#REF!</definedName>
    <definedName name="_CHK04" localSheetId="43">#REF!</definedName>
    <definedName name="_CHK04" localSheetId="44">#REF!</definedName>
    <definedName name="_CHK04" localSheetId="5">#REF!</definedName>
    <definedName name="_CHK04" localSheetId="6">#REF!</definedName>
    <definedName name="_CHK04" localSheetId="7">#REF!</definedName>
    <definedName name="_CHK04" localSheetId="8">#REF!</definedName>
    <definedName name="_CHK04" localSheetId="9">#REF!</definedName>
    <definedName name="_CHK04">#REF!</definedName>
    <definedName name="_CHK05" localSheetId="10">#REF!</definedName>
    <definedName name="_CHK05" localSheetId="11">#REF!</definedName>
    <definedName name="_CHK05" localSheetId="12">#REF!</definedName>
    <definedName name="_CHK05" localSheetId="13">#REF!</definedName>
    <definedName name="_CHK05" localSheetId="14">#REF!</definedName>
    <definedName name="_CHK05" localSheetId="15">#REF!</definedName>
    <definedName name="_CHK05" localSheetId="17">#REF!</definedName>
    <definedName name="_CHK05" localSheetId="18">#REF!</definedName>
    <definedName name="_CHK05" localSheetId="19">#REF!</definedName>
    <definedName name="_CHK05" localSheetId="20">#REF!</definedName>
    <definedName name="_CHK05" localSheetId="16">#REF!</definedName>
    <definedName name="_CHK05" localSheetId="21">#REF!</definedName>
    <definedName name="_CHK05" localSheetId="22">#REF!</definedName>
    <definedName name="_CHK05" localSheetId="23">#REF!</definedName>
    <definedName name="_CHK05" localSheetId="24">#REF!</definedName>
    <definedName name="_CHK05" localSheetId="25">#REF!</definedName>
    <definedName name="_CHK05" localSheetId="26">#REF!</definedName>
    <definedName name="_CHK05" localSheetId="27">#REF!</definedName>
    <definedName name="_CHK05" localSheetId="28">#REF!</definedName>
    <definedName name="_CHK05" localSheetId="29">#REF!</definedName>
    <definedName name="_CHK05" localSheetId="30">#REF!</definedName>
    <definedName name="_CHK05" localSheetId="3">#REF!</definedName>
    <definedName name="_CHK05" localSheetId="31">#REF!</definedName>
    <definedName name="_CHK05" localSheetId="32">#REF!</definedName>
    <definedName name="_CHK05" localSheetId="33">#REF!</definedName>
    <definedName name="_CHK05" localSheetId="34">#REF!</definedName>
    <definedName name="_CHK05" localSheetId="35">#REF!</definedName>
    <definedName name="_CHK05" localSheetId="36">#REF!</definedName>
    <definedName name="_CHK05" localSheetId="37">#REF!</definedName>
    <definedName name="_CHK05" localSheetId="38">#REF!</definedName>
    <definedName name="_CHK05" localSheetId="39">#REF!</definedName>
    <definedName name="_CHK05" localSheetId="40">#REF!</definedName>
    <definedName name="_CHK05" localSheetId="4">#REF!</definedName>
    <definedName name="_CHK05" localSheetId="41">#REF!</definedName>
    <definedName name="_CHK05" localSheetId="42">#REF!</definedName>
    <definedName name="_CHK05" localSheetId="43">#REF!</definedName>
    <definedName name="_CHK05" localSheetId="44">#REF!</definedName>
    <definedName name="_CHK05" localSheetId="5">#REF!</definedName>
    <definedName name="_CHK05" localSheetId="6">#REF!</definedName>
    <definedName name="_CHK05" localSheetId="7">#REF!</definedName>
    <definedName name="_CHK05" localSheetId="8">#REF!</definedName>
    <definedName name="_CHK05" localSheetId="9">#REF!</definedName>
    <definedName name="_CHK05">#REF!</definedName>
    <definedName name="_D">#REF!</definedName>
    <definedName name="_E">[1]Sheet1!$EZ$2:$EZ$2</definedName>
    <definedName name="_Fill" hidden="1">#REF!</definedName>
    <definedName name="_xlnm._FilterDatabase" hidden="1">#REF!</definedName>
    <definedName name="_Key1" hidden="1">#REF!</definedName>
    <definedName name="_Order1" hidden="1">255</definedName>
    <definedName name="_Regression_X" localSheetId="10" hidden="1">#REF!</definedName>
    <definedName name="_Regression_X" localSheetId="11" hidden="1">#REF!</definedName>
    <definedName name="_Regression_X" localSheetId="12" hidden="1">#REF!</definedName>
    <definedName name="_Regression_X" localSheetId="13" hidden="1">#REF!</definedName>
    <definedName name="_Regression_X" localSheetId="14" hidden="1">#REF!</definedName>
    <definedName name="_Regression_X" localSheetId="15" hidden="1">#REF!</definedName>
    <definedName name="_Regression_X" localSheetId="17" hidden="1">#REF!</definedName>
    <definedName name="_Regression_X" localSheetId="18" hidden="1">#REF!</definedName>
    <definedName name="_Regression_X" localSheetId="19" hidden="1">#REF!</definedName>
    <definedName name="_Regression_X" localSheetId="20" hidden="1">#REF!</definedName>
    <definedName name="_Regression_X" localSheetId="16" hidden="1">#REF!</definedName>
    <definedName name="_Regression_X" localSheetId="21" hidden="1">#REF!</definedName>
    <definedName name="_Regression_X" localSheetId="22" hidden="1">#REF!</definedName>
    <definedName name="_Regression_X" localSheetId="23" hidden="1">#REF!</definedName>
    <definedName name="_Regression_X" localSheetId="24" hidden="1">#REF!</definedName>
    <definedName name="_Regression_X" localSheetId="25" hidden="1">#REF!</definedName>
    <definedName name="_Regression_X" localSheetId="26" hidden="1">#REF!</definedName>
    <definedName name="_Regression_X" localSheetId="27" hidden="1">#REF!</definedName>
    <definedName name="_Regression_X" localSheetId="28" hidden="1">#REF!</definedName>
    <definedName name="_Regression_X" localSheetId="29" hidden="1">#REF!</definedName>
    <definedName name="_Regression_X" localSheetId="30" hidden="1">#REF!</definedName>
    <definedName name="_Regression_X" localSheetId="3" hidden="1">#REF!</definedName>
    <definedName name="_Regression_X" localSheetId="31" hidden="1">#REF!</definedName>
    <definedName name="_Regression_X" localSheetId="32" hidden="1">#REF!</definedName>
    <definedName name="_Regression_X" localSheetId="33" hidden="1">#REF!</definedName>
    <definedName name="_Regression_X" localSheetId="34" hidden="1">#REF!</definedName>
    <definedName name="_Regression_X" localSheetId="35" hidden="1">#REF!</definedName>
    <definedName name="_Regression_X" localSheetId="36" hidden="1">#REF!</definedName>
    <definedName name="_Regression_X" localSheetId="37" hidden="1">#REF!</definedName>
    <definedName name="_Regression_X" localSheetId="38" hidden="1">#REF!</definedName>
    <definedName name="_Regression_X" localSheetId="39" hidden="1">#REF!</definedName>
    <definedName name="_Regression_X" localSheetId="40" hidden="1">#REF!</definedName>
    <definedName name="_Regression_X" localSheetId="4" hidden="1">#REF!</definedName>
    <definedName name="_Regression_X" localSheetId="41" hidden="1">#REF!</definedName>
    <definedName name="_Regression_X" localSheetId="42" hidden="1">#REF!</definedName>
    <definedName name="_Regression_X" localSheetId="43" hidden="1">#REF!</definedName>
    <definedName name="_Regression_X" localSheetId="44" hidden="1">#REF!</definedName>
    <definedName name="_Regression_X" localSheetId="5" hidden="1">#REF!</definedName>
    <definedName name="_Regression_X" localSheetId="6" hidden="1">#REF!</definedName>
    <definedName name="_Regression_X" localSheetId="7" hidden="1">#REF!</definedName>
    <definedName name="_Regression_X" localSheetId="8" hidden="1">#REF!</definedName>
    <definedName name="_Regression_X" localSheetId="9" hidden="1">#REF!</definedName>
    <definedName name="_Regression_X" hidden="1">#REF!</definedName>
    <definedName name="_Sort" hidden="1">#REF!</definedName>
    <definedName name="aaaaa">#REF!</definedName>
    <definedName name="ADSL">#REF!</definedName>
    <definedName name="ADSL数">#REF!</definedName>
    <definedName name="CATEGORY">#REF!</definedName>
    <definedName name="caza">#REF!</definedName>
    <definedName name="ｃｃｃ" localSheetId="10">[2]!Sort確認用</definedName>
    <definedName name="ｃｃｃ" localSheetId="11">[2]!Sort確認用</definedName>
    <definedName name="ｃｃｃ" localSheetId="12">[2]!Sort確認用</definedName>
    <definedName name="ｃｃｃ" localSheetId="13">[2]!Sort確認用</definedName>
    <definedName name="ｃｃｃ" localSheetId="14">[2]!Sort確認用</definedName>
    <definedName name="ｃｃｃ" localSheetId="15">[2]!Sort確認用</definedName>
    <definedName name="ｃｃｃ" localSheetId="17">[2]!Sort確認用</definedName>
    <definedName name="ｃｃｃ" localSheetId="18">[2]!Sort確認用</definedName>
    <definedName name="ｃｃｃ" localSheetId="19">[2]!Sort確認用</definedName>
    <definedName name="ｃｃｃ" localSheetId="20">[2]!Sort確認用</definedName>
    <definedName name="ｃｃｃ" localSheetId="16">[2]!Sort確認用</definedName>
    <definedName name="ｃｃｃ" localSheetId="21">[2]!Sort確認用</definedName>
    <definedName name="ｃｃｃ" localSheetId="22">[2]!Sort確認用</definedName>
    <definedName name="ｃｃｃ" localSheetId="23">[2]!Sort確認用</definedName>
    <definedName name="ｃｃｃ" localSheetId="24">[2]!Sort確認用</definedName>
    <definedName name="ｃｃｃ" localSheetId="25">[2]!Sort確認用</definedName>
    <definedName name="ｃｃｃ" localSheetId="26">[2]!Sort確認用</definedName>
    <definedName name="ｃｃｃ" localSheetId="27">[2]!Sort確認用</definedName>
    <definedName name="ｃｃｃ" localSheetId="28">[2]!Sort確認用</definedName>
    <definedName name="ｃｃｃ" localSheetId="29">[2]!Sort確認用</definedName>
    <definedName name="ｃｃｃ" localSheetId="30">[2]!Sort確認用</definedName>
    <definedName name="ｃｃｃ" localSheetId="3">[2]!Sort確認用</definedName>
    <definedName name="ｃｃｃ" localSheetId="31">[2]!Sort確認用</definedName>
    <definedName name="ｃｃｃ" localSheetId="32">[2]!Sort確認用</definedName>
    <definedName name="ｃｃｃ" localSheetId="33">[2]!Sort確認用</definedName>
    <definedName name="ｃｃｃ" localSheetId="34">[2]!Sort確認用</definedName>
    <definedName name="ｃｃｃ" localSheetId="35">[2]!Sort確認用</definedName>
    <definedName name="ｃｃｃ" localSheetId="36">[2]!Sort確認用</definedName>
    <definedName name="ｃｃｃ" localSheetId="37">[2]!Sort確認用</definedName>
    <definedName name="ｃｃｃ" localSheetId="38">[2]!Sort確認用</definedName>
    <definedName name="ｃｃｃ" localSheetId="39">[2]!Sort確認用</definedName>
    <definedName name="ｃｃｃ" localSheetId="40">[2]!Sort確認用</definedName>
    <definedName name="ｃｃｃ" localSheetId="4">[2]!Sort確認用</definedName>
    <definedName name="ｃｃｃ" localSheetId="41">[2]!Sort確認用</definedName>
    <definedName name="ｃｃｃ" localSheetId="42">[2]!Sort確認用</definedName>
    <definedName name="ｃｃｃ" localSheetId="43">[2]!Sort確認用</definedName>
    <definedName name="ｃｃｃ" localSheetId="44">[2]!Sort確認用</definedName>
    <definedName name="ｃｃｃ" localSheetId="5">[2]!Sort確認用</definedName>
    <definedName name="ｃｃｃ" localSheetId="6">[2]!Sort確認用</definedName>
    <definedName name="ｃｃｃ" localSheetId="7">[2]!Sort確認用</definedName>
    <definedName name="ｃｃｃ" localSheetId="8">[2]!Sort確認用</definedName>
    <definedName name="ｃｃｃ" localSheetId="9">[2]!Sort確認用</definedName>
    <definedName name="ｃｃｃ">[2]!Sort確認用</definedName>
    <definedName name="CHECK">[3]会社ﾏｽﾀ!$J$8</definedName>
    <definedName name="CreateSQL" localSheetId="10">[4]!CreateSQL</definedName>
    <definedName name="CreateSQL" localSheetId="11">[4]!CreateSQL</definedName>
    <definedName name="CreateSQL" localSheetId="12">[4]!CreateSQL</definedName>
    <definedName name="CreateSQL" localSheetId="13">[4]!CreateSQL</definedName>
    <definedName name="CreateSQL" localSheetId="14">[4]!CreateSQL</definedName>
    <definedName name="CreateSQL" localSheetId="15">[4]!CreateSQL</definedName>
    <definedName name="CreateSQL" localSheetId="17">[4]!CreateSQL</definedName>
    <definedName name="CreateSQL" localSheetId="18">[4]!CreateSQL</definedName>
    <definedName name="CreateSQL" localSheetId="19">[4]!CreateSQL</definedName>
    <definedName name="CreateSQL" localSheetId="20">[4]!CreateSQL</definedName>
    <definedName name="CreateSQL" localSheetId="16">[4]!CreateSQL</definedName>
    <definedName name="CreateSQL" localSheetId="21">[4]!CreateSQL</definedName>
    <definedName name="CreateSQL" localSheetId="22">[4]!CreateSQL</definedName>
    <definedName name="CreateSQL" localSheetId="23">[4]!CreateSQL</definedName>
    <definedName name="CreateSQL" localSheetId="24">[4]!CreateSQL</definedName>
    <definedName name="CreateSQL" localSheetId="25">[4]!CreateSQL</definedName>
    <definedName name="CreateSQL" localSheetId="26">[4]!CreateSQL</definedName>
    <definedName name="CreateSQL" localSheetId="27">[4]!CreateSQL</definedName>
    <definedName name="CreateSQL" localSheetId="28">[4]!CreateSQL</definedName>
    <definedName name="CreateSQL" localSheetId="29">[4]!CreateSQL</definedName>
    <definedName name="CreateSQL" localSheetId="30">[4]!CreateSQL</definedName>
    <definedName name="CreateSQL" localSheetId="3">[4]!CreateSQL</definedName>
    <definedName name="CreateSQL" localSheetId="31">[4]!CreateSQL</definedName>
    <definedName name="CreateSQL" localSheetId="32">[4]!CreateSQL</definedName>
    <definedName name="CreateSQL" localSheetId="33">[4]!CreateSQL</definedName>
    <definedName name="CreateSQL" localSheetId="34">[4]!CreateSQL</definedName>
    <definedName name="CreateSQL" localSheetId="35">[4]!CreateSQL</definedName>
    <definedName name="CreateSQL" localSheetId="36">[4]!CreateSQL</definedName>
    <definedName name="CreateSQL" localSheetId="37">[4]!CreateSQL</definedName>
    <definedName name="CreateSQL" localSheetId="38">[4]!CreateSQL</definedName>
    <definedName name="CreateSQL" localSheetId="39">[4]!CreateSQL</definedName>
    <definedName name="CreateSQL" localSheetId="40">[4]!CreateSQL</definedName>
    <definedName name="CreateSQL" localSheetId="4">[4]!CreateSQL</definedName>
    <definedName name="CreateSQL" localSheetId="41">[4]!CreateSQL</definedName>
    <definedName name="CreateSQL" localSheetId="42">[4]!CreateSQL</definedName>
    <definedName name="CreateSQL" localSheetId="43">[4]!CreateSQL</definedName>
    <definedName name="CreateSQL" localSheetId="44">[4]!CreateSQL</definedName>
    <definedName name="CreateSQL" localSheetId="5">[4]!CreateSQL</definedName>
    <definedName name="CreateSQL" localSheetId="6">[4]!CreateSQL</definedName>
    <definedName name="CreateSQL" localSheetId="7">[4]!CreateSQL</definedName>
    <definedName name="CreateSQL" localSheetId="8">[4]!CreateSQL</definedName>
    <definedName name="CreateSQL" localSheetId="9">[4]!CreateSQL</definedName>
    <definedName name="CreateSQL">[4]!CreateSQL</definedName>
    <definedName name="dbcount">#REF!</definedName>
    <definedName name="DU">#REF!</definedName>
    <definedName name="DU数">#REF!</definedName>
    <definedName name="ERRMSG">[5]errMsg一覧!$C$7:$C$14</definedName>
    <definedName name="FromConcordeLS" localSheetId="10">#REF!,#REF!,#REF!,#REF!,#REF!</definedName>
    <definedName name="FromConcordeLS" localSheetId="11">#REF!,#REF!,#REF!,#REF!,#REF!</definedName>
    <definedName name="FromConcordeLS" localSheetId="12">#REF!,#REF!,#REF!,#REF!,#REF!</definedName>
    <definedName name="FromConcordeLS" localSheetId="13">#REF!,#REF!,#REF!,#REF!,#REF!</definedName>
    <definedName name="FromConcordeLS" localSheetId="14">#REF!,#REF!,#REF!,#REF!,#REF!</definedName>
    <definedName name="FromConcordeLS" localSheetId="15">#REF!,#REF!,#REF!,#REF!,#REF!</definedName>
    <definedName name="FromConcordeLS" localSheetId="17">#REF!,#REF!,#REF!,#REF!,#REF!</definedName>
    <definedName name="FromConcordeLS" localSheetId="18">#REF!,#REF!,#REF!,#REF!,#REF!</definedName>
    <definedName name="FromConcordeLS" localSheetId="19">#REF!,#REF!,#REF!,#REF!,#REF!</definedName>
    <definedName name="FromConcordeLS" localSheetId="20">#REF!,#REF!,#REF!,#REF!,#REF!</definedName>
    <definedName name="FromConcordeLS" localSheetId="16">#REF!,#REF!,#REF!,#REF!,#REF!</definedName>
    <definedName name="FromConcordeLS" localSheetId="21">#REF!,#REF!,#REF!,#REF!,#REF!</definedName>
    <definedName name="FromConcordeLS" localSheetId="22">#REF!,#REF!,#REF!,#REF!,#REF!</definedName>
    <definedName name="FromConcordeLS" localSheetId="23">#REF!,#REF!,#REF!,#REF!,#REF!</definedName>
    <definedName name="FromConcordeLS" localSheetId="24">#REF!,#REF!,#REF!,#REF!,#REF!</definedName>
    <definedName name="FromConcordeLS" localSheetId="25">#REF!,#REF!,#REF!,#REF!,#REF!</definedName>
    <definedName name="FromConcordeLS" localSheetId="26">#REF!,#REF!,#REF!,#REF!,#REF!</definedName>
    <definedName name="FromConcordeLS" localSheetId="27">#REF!,#REF!,#REF!,#REF!,#REF!</definedName>
    <definedName name="FromConcordeLS" localSheetId="28">#REF!,#REF!,#REF!,#REF!,#REF!</definedName>
    <definedName name="FromConcordeLS" localSheetId="29">#REF!,#REF!,#REF!,#REF!,#REF!</definedName>
    <definedName name="FromConcordeLS" localSheetId="30">#REF!,#REF!,#REF!,#REF!,#REF!</definedName>
    <definedName name="FromConcordeLS" localSheetId="3">#REF!,#REF!,#REF!,#REF!,#REF!</definedName>
    <definedName name="FromConcordeLS" localSheetId="31">#REF!,#REF!,#REF!,#REF!,#REF!</definedName>
    <definedName name="FromConcordeLS" localSheetId="32">#REF!,#REF!,#REF!,#REF!,#REF!</definedName>
    <definedName name="FromConcordeLS" localSheetId="33">#REF!,#REF!,#REF!,#REF!,#REF!</definedName>
    <definedName name="FromConcordeLS" localSheetId="34">#REF!,#REF!,#REF!,#REF!,#REF!</definedName>
    <definedName name="FromConcordeLS" localSheetId="35">#REF!,#REF!,#REF!,#REF!,#REF!</definedName>
    <definedName name="FromConcordeLS" localSheetId="36">#REF!,#REF!,#REF!,#REF!,#REF!</definedName>
    <definedName name="FromConcordeLS" localSheetId="37">#REF!,#REF!,#REF!,#REF!,#REF!</definedName>
    <definedName name="FromConcordeLS" localSheetId="38">#REF!,#REF!,#REF!,#REF!,#REF!</definedName>
    <definedName name="FromConcordeLS" localSheetId="39">#REF!,#REF!,#REF!,#REF!,#REF!</definedName>
    <definedName name="FromConcordeLS" localSheetId="40">#REF!,#REF!,#REF!,#REF!,#REF!</definedName>
    <definedName name="FromConcordeLS" localSheetId="4">#REF!,#REF!,#REF!,#REF!,#REF!</definedName>
    <definedName name="FromConcordeLS" localSheetId="41">#REF!,#REF!,#REF!,#REF!,#REF!</definedName>
    <definedName name="FromConcordeLS" localSheetId="42">#REF!,#REF!,#REF!,#REF!,#REF!</definedName>
    <definedName name="FromConcordeLS" localSheetId="43">#REF!,#REF!,#REF!,#REF!,#REF!</definedName>
    <definedName name="FromConcordeLS" localSheetId="44">#REF!,#REF!,#REF!,#REF!,#REF!</definedName>
    <definedName name="FromConcordeLS" localSheetId="5">#REF!,#REF!,#REF!,#REF!,#REF!</definedName>
    <definedName name="FromConcordeLS" localSheetId="6">#REF!,#REF!,#REF!,#REF!,#REF!</definedName>
    <definedName name="FromConcordeLS" localSheetId="7">#REF!,#REF!,#REF!,#REF!,#REF!</definedName>
    <definedName name="FromConcordeLS" localSheetId="8">#REF!,#REF!,#REF!,#REF!,#REF!</definedName>
    <definedName name="FromConcordeLS" localSheetId="9">#REF!,#REF!,#REF!,#REF!,#REF!</definedName>
    <definedName name="FromConcordeLS">#REF!,#REF!,#REF!,#REF!,#REF!</definedName>
    <definedName name="IDX_NEXT">[3]会社ﾏｽﾀ!$N$23</definedName>
    <definedName name="IDX_PctFree">[3]会社ﾏｽﾀ!$N$21</definedName>
    <definedName name="IDX_SPACE">[3]会社ﾏｽﾀ!$N$20</definedName>
    <definedName name="IDX_Storage">[3]会社ﾏｽﾀ!$N$22</definedName>
    <definedName name="IFGS" localSheetId="10">#REF!</definedName>
    <definedName name="IFGS" localSheetId="11">#REF!</definedName>
    <definedName name="IFGS" localSheetId="12">#REF!</definedName>
    <definedName name="IFGS" localSheetId="13">#REF!</definedName>
    <definedName name="IFGS" localSheetId="14">#REF!</definedName>
    <definedName name="IFGS" localSheetId="15">#REF!</definedName>
    <definedName name="IFGS" localSheetId="17">#REF!</definedName>
    <definedName name="IFGS" localSheetId="18">#REF!</definedName>
    <definedName name="IFGS" localSheetId="19">#REF!</definedName>
    <definedName name="IFGS" localSheetId="20">#REF!</definedName>
    <definedName name="IFGS" localSheetId="16">#REF!</definedName>
    <definedName name="IFGS" localSheetId="21">#REF!</definedName>
    <definedName name="IFGS" localSheetId="22">#REF!</definedName>
    <definedName name="IFGS" localSheetId="23">#REF!</definedName>
    <definedName name="IFGS" localSheetId="24">#REF!</definedName>
    <definedName name="IFGS" localSheetId="25">#REF!</definedName>
    <definedName name="IFGS" localSheetId="26">#REF!</definedName>
    <definedName name="IFGS" localSheetId="27">#REF!</definedName>
    <definedName name="IFGS" localSheetId="28">#REF!</definedName>
    <definedName name="IFGS" localSheetId="29">#REF!</definedName>
    <definedName name="IFGS" localSheetId="30">#REF!</definedName>
    <definedName name="IFGS" localSheetId="3">#REF!</definedName>
    <definedName name="IFGS" localSheetId="31">#REF!</definedName>
    <definedName name="IFGS" localSheetId="32">#REF!</definedName>
    <definedName name="IFGS" localSheetId="33">#REF!</definedName>
    <definedName name="IFGS" localSheetId="34">#REF!</definedName>
    <definedName name="IFGS" localSheetId="35">#REF!</definedName>
    <definedName name="IFGS" localSheetId="36">#REF!</definedName>
    <definedName name="IFGS" localSheetId="37">#REF!</definedName>
    <definedName name="IFGS" localSheetId="38">#REF!</definedName>
    <definedName name="IFGS" localSheetId="39">#REF!</definedName>
    <definedName name="IFGS" localSheetId="40">#REF!</definedName>
    <definedName name="IFGS" localSheetId="4">#REF!</definedName>
    <definedName name="IFGS" localSheetId="41">#REF!</definedName>
    <definedName name="IFGS" localSheetId="42">#REF!</definedName>
    <definedName name="IFGS" localSheetId="43">#REF!</definedName>
    <definedName name="IFGS" localSheetId="44">#REF!</definedName>
    <definedName name="IFGS" localSheetId="5">#REF!</definedName>
    <definedName name="IFGS" localSheetId="6">#REF!</definedName>
    <definedName name="IFGS" localSheetId="7">#REF!</definedName>
    <definedName name="IFGS" localSheetId="8">#REF!</definedName>
    <definedName name="IFGS" localSheetId="9">#REF!</definedName>
    <definedName name="IFGS">#REF!</definedName>
    <definedName name="IFLS">#REF!</definedName>
    <definedName name="IFMALGS">#REF!</definedName>
    <definedName name="IFMALLS">#REF!</definedName>
    <definedName name="IFVPN">#REF!</definedName>
    <definedName name="in_ＡＤＳＬ利用">#REF!</definedName>
    <definedName name="in_PBﾀﾞｲﾔﾙｲﾝ・ﾓﾃﾞﾑﾀﾞｲﾔﾙｲﾝ">#REF!</definedName>
    <definedName name="in_ダイヤルイン桁数指定">#REF!</definedName>
    <definedName name="in_回線種別">#REF!</definedName>
    <definedName name="in_実回線・追加番号">#REF!</definedName>
    <definedName name="in_接続方式">#REF!</definedName>
    <definedName name="in_代表グループ">#REF!</definedName>
    <definedName name="in_代表ハント方式">#REF!</definedName>
    <definedName name="in_代表順位">#REF!</definedName>
    <definedName name="in_発着信専用">#REF!</definedName>
    <definedName name="in_利用有無">#REF!</definedName>
    <definedName name="INDEX">[3]会社ﾏｽﾀ!$H$8</definedName>
    <definedName name="Index_Length">[3]会社ﾏｽﾀ!$N$19</definedName>
    <definedName name="INITVALUE">[3]会社ﾏｽﾀ!$I$8</definedName>
    <definedName name="ITEM">[3]会社ﾏｽﾀ!$C$8</definedName>
    <definedName name="k" localSheetId="10" hidden="1">#REF!</definedName>
    <definedName name="k" localSheetId="11" hidden="1">#REF!</definedName>
    <definedName name="k" localSheetId="12" hidden="1">#REF!</definedName>
    <definedName name="k" localSheetId="13" hidden="1">#REF!</definedName>
    <definedName name="k" localSheetId="14" hidden="1">#REF!</definedName>
    <definedName name="k" localSheetId="15" hidden="1">#REF!</definedName>
    <definedName name="k" localSheetId="17" hidden="1">#REF!</definedName>
    <definedName name="k" localSheetId="18" hidden="1">#REF!</definedName>
    <definedName name="k" localSheetId="19" hidden="1">#REF!</definedName>
    <definedName name="k" localSheetId="20" hidden="1">#REF!</definedName>
    <definedName name="k" localSheetId="16" hidden="1">#REF!</definedName>
    <definedName name="k" localSheetId="21" hidden="1">#REF!</definedName>
    <definedName name="k" localSheetId="22" hidden="1">#REF!</definedName>
    <definedName name="k" localSheetId="23" hidden="1">#REF!</definedName>
    <definedName name="k" localSheetId="24" hidden="1">#REF!</definedName>
    <definedName name="k" localSheetId="25" hidden="1">#REF!</definedName>
    <definedName name="k" localSheetId="26" hidden="1">#REF!</definedName>
    <definedName name="k" localSheetId="27" hidden="1">#REF!</definedName>
    <definedName name="k" localSheetId="28" hidden="1">#REF!</definedName>
    <definedName name="k" localSheetId="29" hidden="1">#REF!</definedName>
    <definedName name="k" localSheetId="30" hidden="1">#REF!</definedName>
    <definedName name="k" localSheetId="3" hidden="1">#REF!</definedName>
    <definedName name="k" localSheetId="31" hidden="1">#REF!</definedName>
    <definedName name="k" localSheetId="32" hidden="1">#REF!</definedName>
    <definedName name="k" localSheetId="33" hidden="1">#REF!</definedName>
    <definedName name="k" localSheetId="34" hidden="1">#REF!</definedName>
    <definedName name="k" localSheetId="35" hidden="1">#REF!</definedName>
    <definedName name="k" localSheetId="36" hidden="1">#REF!</definedName>
    <definedName name="k" localSheetId="37" hidden="1">#REF!</definedName>
    <definedName name="k" localSheetId="38" hidden="1">#REF!</definedName>
    <definedName name="k" localSheetId="39" hidden="1">#REF!</definedName>
    <definedName name="k" localSheetId="40" hidden="1">#REF!</definedName>
    <definedName name="k" localSheetId="4" hidden="1">#REF!</definedName>
    <definedName name="k" localSheetId="41" hidden="1">#REF!</definedName>
    <definedName name="k" localSheetId="42" hidden="1">#REF!</definedName>
    <definedName name="k" localSheetId="43" hidden="1">#REF!</definedName>
    <definedName name="k" localSheetId="44" hidden="1">#REF!</definedName>
    <definedName name="k" localSheetId="5" hidden="1">#REF!</definedName>
    <definedName name="k" localSheetId="6" hidden="1">#REF!</definedName>
    <definedName name="k" localSheetId="7" hidden="1">#REF!</definedName>
    <definedName name="k" localSheetId="8" hidden="1">#REF!</definedName>
    <definedName name="k" localSheetId="9" hidden="1">#REF!</definedName>
    <definedName name="k" hidden="1">#REF!</definedName>
    <definedName name="KEITAI">#REF!</definedName>
    <definedName name="KETA">[3]会社ﾏｽﾀ!$E$8</definedName>
    <definedName name="KEY">[3]会社ﾏｽﾀ!$F$8</definedName>
    <definedName name="KOUTEI">#REF!</definedName>
    <definedName name="LANG">#REF!</definedName>
    <definedName name="Layout_Exp_Set" localSheetId="0">テスト観点!Layout_Exp_Set</definedName>
    <definedName name="Layout_Exp_Set" localSheetId="1">異業種商材申込情報抽出!Layout_Exp_Set</definedName>
    <definedName name="Layout_Exp_Set">[0]!Layout_Exp_Set</definedName>
    <definedName name="Layout_Exp_Set2" localSheetId="0">テスト観点!Layout_Exp_Set2</definedName>
    <definedName name="Layout_Exp_Set2" localSheetId="1">異業種商材申込情報抽出!Layout_Exp_Set2</definedName>
    <definedName name="Layout_Exp_Set2">[0]!Layout_Exp_Set2</definedName>
    <definedName name="Layout_Exp_Set3" localSheetId="0">テスト観点!Layout_Exp_Set3</definedName>
    <definedName name="Layout_Exp_Set3" localSheetId="1">異業種商材申込情報抽出!Layout_Exp_Set3</definedName>
    <definedName name="Layout_Exp_Set3">[0]!Layout_Exp_Set3</definedName>
    <definedName name="LIST_ACTION">#REF!</definedName>
    <definedName name="LIST_EVENT">#REF!</definedName>
    <definedName name="LIST_FORM">#REF!</definedName>
    <definedName name="LIST_IO">#REF!</definedName>
    <definedName name="LIST_JPTBL">#REF!</definedName>
    <definedName name="LIST_OBJ">#REF!</definedName>
    <definedName name="LIST_SIZE">#REF!</definedName>
    <definedName name="LIST_TABLE">#REF!</definedName>
    <definedName name="LIST_VAL">#REF!</definedName>
    <definedName name="LIST_WIN">#REF!</definedName>
    <definedName name="maica">#REF!</definedName>
    <definedName name="NewBook☆" localSheetId="10">[2]!NewBook☆</definedName>
    <definedName name="NewBook☆" localSheetId="11">[2]!NewBook☆</definedName>
    <definedName name="NewBook☆" localSheetId="12">[2]!NewBook☆</definedName>
    <definedName name="NewBook☆" localSheetId="13">[2]!NewBook☆</definedName>
    <definedName name="NewBook☆" localSheetId="14">[2]!NewBook☆</definedName>
    <definedName name="NewBook☆" localSheetId="15">[2]!NewBook☆</definedName>
    <definedName name="NewBook☆" localSheetId="17">[2]!NewBook☆</definedName>
    <definedName name="NewBook☆" localSheetId="18">[2]!NewBook☆</definedName>
    <definedName name="NewBook☆" localSheetId="19">[2]!NewBook☆</definedName>
    <definedName name="NewBook☆" localSheetId="20">[2]!NewBook☆</definedName>
    <definedName name="NewBook☆" localSheetId="16">[2]!NewBook☆</definedName>
    <definedName name="NewBook☆" localSheetId="21">[2]!NewBook☆</definedName>
    <definedName name="NewBook☆" localSheetId="22">[2]!NewBook☆</definedName>
    <definedName name="NewBook☆" localSheetId="23">[2]!NewBook☆</definedName>
    <definedName name="NewBook☆" localSheetId="24">[2]!NewBook☆</definedName>
    <definedName name="NewBook☆" localSheetId="25">[2]!NewBook☆</definedName>
    <definedName name="NewBook☆" localSheetId="26">[2]!NewBook☆</definedName>
    <definedName name="NewBook☆" localSheetId="27">[2]!NewBook☆</definedName>
    <definedName name="NewBook☆" localSheetId="28">[2]!NewBook☆</definedName>
    <definedName name="NewBook☆" localSheetId="29">[2]!NewBook☆</definedName>
    <definedName name="NewBook☆" localSheetId="30">[2]!NewBook☆</definedName>
    <definedName name="NewBook☆" localSheetId="3">[2]!NewBook☆</definedName>
    <definedName name="NewBook☆" localSheetId="31">[2]!NewBook☆</definedName>
    <definedName name="NewBook☆" localSheetId="32">[2]!NewBook☆</definedName>
    <definedName name="NewBook☆" localSheetId="33">[2]!NewBook☆</definedName>
    <definedName name="NewBook☆" localSheetId="34">[2]!NewBook☆</definedName>
    <definedName name="NewBook☆" localSheetId="35">[2]!NewBook☆</definedName>
    <definedName name="NewBook☆" localSheetId="36">[2]!NewBook☆</definedName>
    <definedName name="NewBook☆" localSheetId="37">[2]!NewBook☆</definedName>
    <definedName name="NewBook☆" localSheetId="38">[2]!NewBook☆</definedName>
    <definedName name="NewBook☆" localSheetId="39">[2]!NewBook☆</definedName>
    <definedName name="NewBook☆" localSheetId="40">[2]!NewBook☆</definedName>
    <definedName name="NewBook☆" localSheetId="4">[2]!NewBook☆</definedName>
    <definedName name="NewBook☆" localSheetId="41">[2]!NewBook☆</definedName>
    <definedName name="NewBook☆" localSheetId="42">[2]!NewBook☆</definedName>
    <definedName name="NewBook☆" localSheetId="43">[2]!NewBook☆</definedName>
    <definedName name="NewBook☆" localSheetId="44">[2]!NewBook☆</definedName>
    <definedName name="NewBook☆" localSheetId="5">[2]!NewBook☆</definedName>
    <definedName name="NewBook☆" localSheetId="6">[2]!NewBook☆</definedName>
    <definedName name="NewBook☆" localSheetId="7">[2]!NewBook☆</definedName>
    <definedName name="NewBook☆" localSheetId="8">[2]!NewBook☆</definedName>
    <definedName name="NewBook☆" localSheetId="9">[2]!NewBook☆</definedName>
    <definedName name="NewBook☆">[2]!NewBook☆</definedName>
    <definedName name="NewBook★" localSheetId="10">[2]!NewBook★</definedName>
    <definedName name="NewBook★" localSheetId="11">[2]!NewBook★</definedName>
    <definedName name="NewBook★" localSheetId="12">[2]!NewBook★</definedName>
    <definedName name="NewBook★" localSheetId="13">[2]!NewBook★</definedName>
    <definedName name="NewBook★" localSheetId="14">[2]!NewBook★</definedName>
    <definedName name="NewBook★" localSheetId="15">[2]!NewBook★</definedName>
    <definedName name="NewBook★" localSheetId="17">[2]!NewBook★</definedName>
    <definedName name="NewBook★" localSheetId="18">[2]!NewBook★</definedName>
    <definedName name="NewBook★" localSheetId="19">[2]!NewBook★</definedName>
    <definedName name="NewBook★" localSheetId="20">[2]!NewBook★</definedName>
    <definedName name="NewBook★" localSheetId="16">[2]!NewBook★</definedName>
    <definedName name="NewBook★" localSheetId="21">[2]!NewBook★</definedName>
    <definedName name="NewBook★" localSheetId="22">[2]!NewBook★</definedName>
    <definedName name="NewBook★" localSheetId="23">[2]!NewBook★</definedName>
    <definedName name="NewBook★" localSheetId="24">[2]!NewBook★</definedName>
    <definedName name="NewBook★" localSheetId="25">[2]!NewBook★</definedName>
    <definedName name="NewBook★" localSheetId="26">[2]!NewBook★</definedName>
    <definedName name="NewBook★" localSheetId="27">[2]!NewBook★</definedName>
    <definedName name="NewBook★" localSheetId="28">[2]!NewBook★</definedName>
    <definedName name="NewBook★" localSheetId="29">[2]!NewBook★</definedName>
    <definedName name="NewBook★" localSheetId="30">[2]!NewBook★</definedName>
    <definedName name="NewBook★" localSheetId="3">[2]!NewBook★</definedName>
    <definedName name="NewBook★" localSheetId="31">[2]!NewBook★</definedName>
    <definedName name="NewBook★" localSheetId="32">[2]!NewBook★</definedName>
    <definedName name="NewBook★" localSheetId="33">[2]!NewBook★</definedName>
    <definedName name="NewBook★" localSheetId="34">[2]!NewBook★</definedName>
    <definedName name="NewBook★" localSheetId="35">[2]!NewBook★</definedName>
    <definedName name="NewBook★" localSheetId="36">[2]!NewBook★</definedName>
    <definedName name="NewBook★" localSheetId="37">[2]!NewBook★</definedName>
    <definedName name="NewBook★" localSheetId="38">[2]!NewBook★</definedName>
    <definedName name="NewBook★" localSheetId="39">[2]!NewBook★</definedName>
    <definedName name="NewBook★" localSheetId="40">[2]!NewBook★</definedName>
    <definedName name="NewBook★" localSheetId="4">[2]!NewBook★</definedName>
    <definedName name="NewBook★" localSheetId="41">[2]!NewBook★</definedName>
    <definedName name="NewBook★" localSheetId="42">[2]!NewBook★</definedName>
    <definedName name="NewBook★" localSheetId="43">[2]!NewBook★</definedName>
    <definedName name="NewBook★" localSheetId="44">[2]!NewBook★</definedName>
    <definedName name="NewBook★" localSheetId="5">[2]!NewBook★</definedName>
    <definedName name="NewBook★" localSheetId="6">[2]!NewBook★</definedName>
    <definedName name="NewBook★" localSheetId="7">[2]!NewBook★</definedName>
    <definedName name="NewBook★" localSheetId="8">[2]!NewBook★</definedName>
    <definedName name="NewBook★" localSheetId="9">[2]!NewBook★</definedName>
    <definedName name="NewBook★">[2]!NewBook★</definedName>
    <definedName name="NOTNULL">[3]会社ﾏｽﾀ!$G$8</definedName>
    <definedName name="OBJ003_SYSCONTROL">#REF!</definedName>
    <definedName name="P_ALL">#REF!</definedName>
    <definedName name="P_LOG">#REF!</definedName>
    <definedName name="ｐｒｉｎｔ">#REF!</definedName>
    <definedName name="_xlnm.Print_Area" localSheetId="10">#REF!</definedName>
    <definedName name="_xlnm.Print_Area" localSheetId="11">#REF!</definedName>
    <definedName name="_xlnm.Print_Area" localSheetId="12">#REF!</definedName>
    <definedName name="_xlnm.Print_Area" localSheetId="13">#REF!</definedName>
    <definedName name="_xlnm.Print_Area" localSheetId="14">#REF!</definedName>
    <definedName name="_xlnm.Print_Area" localSheetId="15">#REF!</definedName>
    <definedName name="_xlnm.Print_Area" localSheetId="17">#REF!</definedName>
    <definedName name="_xlnm.Print_Area" localSheetId="18">#REF!</definedName>
    <definedName name="_xlnm.Print_Area" localSheetId="19">#REF!</definedName>
    <definedName name="_xlnm.Print_Area" localSheetId="20">#REF!</definedName>
    <definedName name="_xlnm.Print_Area" localSheetId="16">#REF!</definedName>
    <definedName name="_xlnm.Print_Area" localSheetId="21">#REF!</definedName>
    <definedName name="_xlnm.Print_Area" localSheetId="22">#REF!</definedName>
    <definedName name="_xlnm.Print_Area" localSheetId="23">#REF!</definedName>
    <definedName name="_xlnm.Print_Area" localSheetId="24">#REF!</definedName>
    <definedName name="_xlnm.Print_Area" localSheetId="25">#REF!</definedName>
    <definedName name="_xlnm.Print_Area" localSheetId="26">#REF!</definedName>
    <definedName name="_xlnm.Print_Area" localSheetId="27">#REF!</definedName>
    <definedName name="_xlnm.Print_Area" localSheetId="28">#REF!</definedName>
    <definedName name="_xlnm.Print_Area" localSheetId="29">#REF!</definedName>
    <definedName name="_xlnm.Print_Area" localSheetId="30">#REF!</definedName>
    <definedName name="_xlnm.Print_Area" localSheetId="3">#REF!</definedName>
    <definedName name="_xlnm.Print_Area" localSheetId="31">#REF!</definedName>
    <definedName name="_xlnm.Print_Area" localSheetId="32">#REF!</definedName>
    <definedName name="_xlnm.Print_Area" localSheetId="33">#REF!</definedName>
    <definedName name="_xlnm.Print_Area" localSheetId="34">#REF!</definedName>
    <definedName name="_xlnm.Print_Area" localSheetId="35">#REF!</definedName>
    <definedName name="_xlnm.Print_Area" localSheetId="36">#REF!</definedName>
    <definedName name="_xlnm.Print_Area" localSheetId="37">#REF!</definedName>
    <definedName name="_xlnm.Print_Area" localSheetId="38">#REF!</definedName>
    <definedName name="_xlnm.Print_Area" localSheetId="39">#REF!</definedName>
    <definedName name="_xlnm.Print_Area" localSheetId="40">#REF!</definedName>
    <definedName name="_xlnm.Print_Area" localSheetId="4">#REF!</definedName>
    <definedName name="_xlnm.Print_Area" localSheetId="41">#REF!</definedName>
    <definedName name="_xlnm.Print_Area" localSheetId="42">#REF!</definedName>
    <definedName name="_xlnm.Print_Area" localSheetId="43">#REF!</definedName>
    <definedName name="_xlnm.Print_Area" localSheetId="44">#REF!</definedName>
    <definedName name="_xlnm.Print_Area" localSheetId="5">#REF!</definedName>
    <definedName name="_xlnm.Print_Area" localSheetId="6">#REF!</definedName>
    <definedName name="_xlnm.Print_Area" localSheetId="7">#REF!</definedName>
    <definedName name="_xlnm.Print_Area" localSheetId="8">#REF!</definedName>
    <definedName name="_xlnm.Print_Area" localSheetId="9">#REF!</definedName>
    <definedName name="_xlnm.Print_Area" localSheetId="1">異業種商材申込情報抽出!$A$1:$BL$209</definedName>
    <definedName name="_xlnm.Print_Area">#REF!</definedName>
    <definedName name="Print_Title">#REF!</definedName>
    <definedName name="_xlnm.Print_Titles" localSheetId="1">異業種商材申込情報抽出!$A:$T,異業種商材申込情報抽出!$1:$8</definedName>
    <definedName name="_xlnm.Print_Titles">#N/A</definedName>
    <definedName name="Print_Titles_MI">#REF!</definedName>
    <definedName name="Q">#REF!</definedName>
    <definedName name="ｑｑｑ" localSheetId="10">[2]!Sort完了予定</definedName>
    <definedName name="ｑｑｑ" localSheetId="11">[2]!Sort完了予定</definedName>
    <definedName name="ｑｑｑ" localSheetId="12">[2]!Sort完了予定</definedName>
    <definedName name="ｑｑｑ" localSheetId="13">[2]!Sort完了予定</definedName>
    <definedName name="ｑｑｑ" localSheetId="14">[2]!Sort完了予定</definedName>
    <definedName name="ｑｑｑ" localSheetId="15">[2]!Sort完了予定</definedName>
    <definedName name="ｑｑｑ" localSheetId="17">[2]!Sort完了予定</definedName>
    <definedName name="ｑｑｑ" localSheetId="18">[2]!Sort完了予定</definedName>
    <definedName name="ｑｑｑ" localSheetId="19">[2]!Sort完了予定</definedName>
    <definedName name="ｑｑｑ" localSheetId="20">[2]!Sort完了予定</definedName>
    <definedName name="ｑｑｑ" localSheetId="16">[2]!Sort完了予定</definedName>
    <definedName name="ｑｑｑ" localSheetId="21">[2]!Sort完了予定</definedName>
    <definedName name="ｑｑｑ" localSheetId="22">[2]!Sort完了予定</definedName>
    <definedName name="ｑｑｑ" localSheetId="23">[2]!Sort完了予定</definedName>
    <definedName name="ｑｑｑ" localSheetId="24">[2]!Sort完了予定</definedName>
    <definedName name="ｑｑｑ" localSheetId="25">[2]!Sort完了予定</definedName>
    <definedName name="ｑｑｑ" localSheetId="26">[2]!Sort完了予定</definedName>
    <definedName name="ｑｑｑ" localSheetId="27">[2]!Sort完了予定</definedName>
    <definedName name="ｑｑｑ" localSheetId="28">[2]!Sort完了予定</definedName>
    <definedName name="ｑｑｑ" localSheetId="29">[2]!Sort完了予定</definedName>
    <definedName name="ｑｑｑ" localSheetId="30">[2]!Sort完了予定</definedName>
    <definedName name="ｑｑｑ" localSheetId="3">[2]!Sort完了予定</definedName>
    <definedName name="ｑｑｑ" localSheetId="31">[2]!Sort完了予定</definedName>
    <definedName name="ｑｑｑ" localSheetId="32">[2]!Sort完了予定</definedName>
    <definedName name="ｑｑｑ" localSheetId="33">[2]!Sort完了予定</definedName>
    <definedName name="ｑｑｑ" localSheetId="34">[2]!Sort完了予定</definedName>
    <definedName name="ｑｑｑ" localSheetId="35">[2]!Sort完了予定</definedName>
    <definedName name="ｑｑｑ" localSheetId="36">[2]!Sort完了予定</definedName>
    <definedName name="ｑｑｑ" localSheetId="37">[2]!Sort完了予定</definedName>
    <definedName name="ｑｑｑ" localSheetId="38">[2]!Sort完了予定</definedName>
    <definedName name="ｑｑｑ" localSheetId="39">[2]!Sort完了予定</definedName>
    <definedName name="ｑｑｑ" localSheetId="40">[2]!Sort完了予定</definedName>
    <definedName name="ｑｑｑ" localSheetId="4">[2]!Sort完了予定</definedName>
    <definedName name="ｑｑｑ" localSheetId="41">[2]!Sort完了予定</definedName>
    <definedName name="ｑｑｑ" localSheetId="42">[2]!Sort完了予定</definedName>
    <definedName name="ｑｑｑ" localSheetId="43">[2]!Sort完了予定</definedName>
    <definedName name="ｑｑｑ" localSheetId="44">[2]!Sort完了予定</definedName>
    <definedName name="ｑｑｑ" localSheetId="5">[2]!Sort完了予定</definedName>
    <definedName name="ｑｑｑ" localSheetId="6">[2]!Sort完了予定</definedName>
    <definedName name="ｑｑｑ" localSheetId="7">[2]!Sort完了予定</definedName>
    <definedName name="ｑｑｑ" localSheetId="8">[2]!Sort完了予定</definedName>
    <definedName name="ｑｑｑ" localSheetId="9">[2]!Sort完了予定</definedName>
    <definedName name="ｑｑｑ">[2]!Sort完了予定</definedName>
    <definedName name="R_LOG">#REF!</definedName>
    <definedName name="Rec_Length">[3]会社ﾏｽﾀ!$N$9</definedName>
    <definedName name="Return_Menu" localSheetId="0">テスト観点!Return_Menu</definedName>
    <definedName name="Return_Menu" localSheetId="1">異業種商材申込情報抽出!Return_Menu</definedName>
    <definedName name="Return_Menu">[0]!Return_Menu</definedName>
    <definedName name="Return_Menu2" localSheetId="0">テスト観点!Return_Menu2</definedName>
    <definedName name="Return_Menu2" localSheetId="1">異業種商材申込情報抽出!Return_Menu2</definedName>
    <definedName name="Return_Menu2">[0]!Return_Menu2</definedName>
    <definedName name="SortNewBook" localSheetId="10">[2]!SortNewBook</definedName>
    <definedName name="SortNewBook" localSheetId="11">[2]!SortNewBook</definedName>
    <definedName name="SortNewBook" localSheetId="12">[2]!SortNewBook</definedName>
    <definedName name="SortNewBook" localSheetId="13">[2]!SortNewBook</definedName>
    <definedName name="SortNewBook" localSheetId="14">[2]!SortNewBook</definedName>
    <definedName name="SortNewBook" localSheetId="15">[2]!SortNewBook</definedName>
    <definedName name="SortNewBook" localSheetId="17">[2]!SortNewBook</definedName>
    <definedName name="SortNewBook" localSheetId="18">[2]!SortNewBook</definedName>
    <definedName name="SortNewBook" localSheetId="19">[2]!SortNewBook</definedName>
    <definedName name="SortNewBook" localSheetId="20">[2]!SortNewBook</definedName>
    <definedName name="SortNewBook" localSheetId="16">[2]!SortNewBook</definedName>
    <definedName name="SortNewBook" localSheetId="21">[2]!SortNewBook</definedName>
    <definedName name="SortNewBook" localSheetId="22">[2]!SortNewBook</definedName>
    <definedName name="SortNewBook" localSheetId="23">[2]!SortNewBook</definedName>
    <definedName name="SortNewBook" localSheetId="24">[2]!SortNewBook</definedName>
    <definedName name="SortNewBook" localSheetId="25">[2]!SortNewBook</definedName>
    <definedName name="SortNewBook" localSheetId="26">[2]!SortNewBook</definedName>
    <definedName name="SortNewBook" localSheetId="27">[2]!SortNewBook</definedName>
    <definedName name="SortNewBook" localSheetId="28">[2]!SortNewBook</definedName>
    <definedName name="SortNewBook" localSheetId="29">[2]!SortNewBook</definedName>
    <definedName name="SortNewBook" localSheetId="30">[2]!SortNewBook</definedName>
    <definedName name="SortNewBook" localSheetId="3">[2]!SortNewBook</definedName>
    <definedName name="SortNewBook" localSheetId="31">[2]!SortNewBook</definedName>
    <definedName name="SortNewBook" localSheetId="32">[2]!SortNewBook</definedName>
    <definedName name="SortNewBook" localSheetId="33">[2]!SortNewBook</definedName>
    <definedName name="SortNewBook" localSheetId="34">[2]!SortNewBook</definedName>
    <definedName name="SortNewBook" localSheetId="35">[2]!SortNewBook</definedName>
    <definedName name="SortNewBook" localSheetId="36">[2]!SortNewBook</definedName>
    <definedName name="SortNewBook" localSheetId="37">[2]!SortNewBook</definedName>
    <definedName name="SortNewBook" localSheetId="38">[2]!SortNewBook</definedName>
    <definedName name="SortNewBook" localSheetId="39">[2]!SortNewBook</definedName>
    <definedName name="SortNewBook" localSheetId="40">[2]!SortNewBook</definedName>
    <definedName name="SortNewBook" localSheetId="4">[2]!SortNewBook</definedName>
    <definedName name="SortNewBook" localSheetId="41">[2]!SortNewBook</definedName>
    <definedName name="SortNewBook" localSheetId="42">[2]!SortNewBook</definedName>
    <definedName name="SortNewBook" localSheetId="43">[2]!SortNewBook</definedName>
    <definedName name="SortNewBook" localSheetId="44">[2]!SortNewBook</definedName>
    <definedName name="SortNewBook" localSheetId="5">[2]!SortNewBook</definedName>
    <definedName name="SortNewBook" localSheetId="6">[2]!SortNewBook</definedName>
    <definedName name="SortNewBook" localSheetId="7">[2]!SortNewBook</definedName>
    <definedName name="SortNewBook" localSheetId="8">[2]!SortNewBook</definedName>
    <definedName name="SortNewBook" localSheetId="9">[2]!SortNewBook</definedName>
    <definedName name="SortNewBook">[2]!SortNewBook</definedName>
    <definedName name="SortモジュｰルID" localSheetId="10">[2]!SortモジュｰルID</definedName>
    <definedName name="SortモジュｰルID" localSheetId="11">[2]!SortモジュｰルID</definedName>
    <definedName name="SortモジュｰルID" localSheetId="12">[2]!SortモジュｰルID</definedName>
    <definedName name="SortモジュｰルID" localSheetId="13">[2]!SortモジュｰルID</definedName>
    <definedName name="SortモジュｰルID" localSheetId="14">[2]!SortモジュｰルID</definedName>
    <definedName name="SortモジュｰルID" localSheetId="15">[2]!SortモジュｰルID</definedName>
    <definedName name="SortモジュｰルID" localSheetId="17">[2]!SortモジュｰルID</definedName>
    <definedName name="SortモジュｰルID" localSheetId="18">[2]!SortモジュｰルID</definedName>
    <definedName name="SortモジュｰルID" localSheetId="19">[2]!SortモジュｰルID</definedName>
    <definedName name="SortモジュｰルID" localSheetId="20">[2]!SortモジュｰルID</definedName>
    <definedName name="SortモジュｰルID" localSheetId="16">[2]!SortモジュｰルID</definedName>
    <definedName name="SortモジュｰルID" localSheetId="21">[2]!SortモジュｰルID</definedName>
    <definedName name="SortモジュｰルID" localSheetId="22">[2]!SortモジュｰルID</definedName>
    <definedName name="SortモジュｰルID" localSheetId="23">[2]!SortモジュｰルID</definedName>
    <definedName name="SortモジュｰルID" localSheetId="24">[2]!SortモジュｰルID</definedName>
    <definedName name="SortモジュｰルID" localSheetId="25">[2]!SortモジュｰルID</definedName>
    <definedName name="SortモジュｰルID" localSheetId="26">[2]!SortモジュｰルID</definedName>
    <definedName name="SortモジュｰルID" localSheetId="27">[2]!SortモジュｰルID</definedName>
    <definedName name="SortモジュｰルID" localSheetId="28">[2]!SortモジュｰルID</definedName>
    <definedName name="SortモジュｰルID" localSheetId="29">[2]!SortモジュｰルID</definedName>
    <definedName name="SortモジュｰルID" localSheetId="30">[2]!SortモジュｰルID</definedName>
    <definedName name="SortモジュｰルID" localSheetId="3">[2]!SortモジュｰルID</definedName>
    <definedName name="SortモジュｰルID" localSheetId="31">[2]!SortモジュｰルID</definedName>
    <definedName name="SortモジュｰルID" localSheetId="32">[2]!SortモジュｰルID</definedName>
    <definedName name="SortモジュｰルID" localSheetId="33">[2]!SortモジュｰルID</definedName>
    <definedName name="SortモジュｰルID" localSheetId="34">[2]!SortモジュｰルID</definedName>
    <definedName name="SortモジュｰルID" localSheetId="35">[2]!SortモジュｰルID</definedName>
    <definedName name="SortモジュｰルID" localSheetId="36">[2]!SortモジュｰルID</definedName>
    <definedName name="SortモジュｰルID" localSheetId="37">[2]!SortモジュｰルID</definedName>
    <definedName name="SortモジュｰルID" localSheetId="38">[2]!SortモジュｰルID</definedName>
    <definedName name="SortモジュｰルID" localSheetId="39">[2]!SortモジュｰルID</definedName>
    <definedName name="SortモジュｰルID" localSheetId="40">[2]!SortモジュｰルID</definedName>
    <definedName name="SortモジュｰルID" localSheetId="4">[2]!SortモジュｰルID</definedName>
    <definedName name="SortモジュｰルID" localSheetId="41">[2]!SortモジュｰルID</definedName>
    <definedName name="SortモジュｰルID" localSheetId="42">[2]!SortモジュｰルID</definedName>
    <definedName name="SortモジュｰルID" localSheetId="43">[2]!SortモジュｰルID</definedName>
    <definedName name="SortモジュｰルID" localSheetId="44">[2]!SortモジュｰルID</definedName>
    <definedName name="SortモジュｰルID" localSheetId="5">[2]!SortモジュｰルID</definedName>
    <definedName name="SortモジュｰルID" localSheetId="6">[2]!SortモジュｰルID</definedName>
    <definedName name="SortモジュｰルID" localSheetId="7">[2]!SortモジュｰルID</definedName>
    <definedName name="SortモジュｰルID" localSheetId="8">[2]!SortモジュｰルID</definedName>
    <definedName name="SortモジュｰルID" localSheetId="9">[2]!SortモジュｰルID</definedName>
    <definedName name="SortモジュｰルID">[2]!SortモジュｰルID</definedName>
    <definedName name="Sort確認用" localSheetId="10">[2]!Sort確認用</definedName>
    <definedName name="Sort確認用" localSheetId="11">[2]!Sort確認用</definedName>
    <definedName name="Sort確認用" localSheetId="12">[2]!Sort確認用</definedName>
    <definedName name="Sort確認用" localSheetId="13">[2]!Sort確認用</definedName>
    <definedName name="Sort確認用" localSheetId="14">[2]!Sort確認用</definedName>
    <definedName name="Sort確認用" localSheetId="15">[2]!Sort確認用</definedName>
    <definedName name="Sort確認用" localSheetId="17">[2]!Sort確認用</definedName>
    <definedName name="Sort確認用" localSheetId="18">[2]!Sort確認用</definedName>
    <definedName name="Sort確認用" localSheetId="19">[2]!Sort確認用</definedName>
    <definedName name="Sort確認用" localSheetId="20">[2]!Sort確認用</definedName>
    <definedName name="Sort確認用" localSheetId="16">[2]!Sort確認用</definedName>
    <definedName name="Sort確認用" localSheetId="21">[2]!Sort確認用</definedName>
    <definedName name="Sort確認用" localSheetId="22">[2]!Sort確認用</definedName>
    <definedName name="Sort確認用" localSheetId="23">[2]!Sort確認用</definedName>
    <definedName name="Sort確認用" localSheetId="24">[2]!Sort確認用</definedName>
    <definedName name="Sort確認用" localSheetId="25">[2]!Sort確認用</definedName>
    <definedName name="Sort確認用" localSheetId="26">[2]!Sort確認用</definedName>
    <definedName name="Sort確認用" localSheetId="27">[2]!Sort確認用</definedName>
    <definedName name="Sort確認用" localSheetId="28">[2]!Sort確認用</definedName>
    <definedName name="Sort確認用" localSheetId="29">[2]!Sort確認用</definedName>
    <definedName name="Sort確認用" localSheetId="30">[2]!Sort確認用</definedName>
    <definedName name="Sort確認用" localSheetId="3">[2]!Sort確認用</definedName>
    <definedName name="Sort確認用" localSheetId="31">[2]!Sort確認用</definedName>
    <definedName name="Sort確認用" localSheetId="32">[2]!Sort確認用</definedName>
    <definedName name="Sort確認用" localSheetId="33">[2]!Sort確認用</definedName>
    <definedName name="Sort確認用" localSheetId="34">[2]!Sort確認用</definedName>
    <definedName name="Sort確認用" localSheetId="35">[2]!Sort確認用</definedName>
    <definedName name="Sort確認用" localSheetId="36">[2]!Sort確認用</definedName>
    <definedName name="Sort確認用" localSheetId="37">[2]!Sort確認用</definedName>
    <definedName name="Sort確認用" localSheetId="38">[2]!Sort確認用</definedName>
    <definedName name="Sort確認用" localSheetId="39">[2]!Sort確認用</definedName>
    <definedName name="Sort確認用" localSheetId="40">[2]!Sort確認用</definedName>
    <definedName name="Sort確認用" localSheetId="4">[2]!Sort確認用</definedName>
    <definedName name="Sort確認用" localSheetId="41">[2]!Sort確認用</definedName>
    <definedName name="Sort確認用" localSheetId="42">[2]!Sort確認用</definedName>
    <definedName name="Sort確認用" localSheetId="43">[2]!Sort確認用</definedName>
    <definedName name="Sort確認用" localSheetId="44">[2]!Sort確認用</definedName>
    <definedName name="Sort確認用" localSheetId="5">[2]!Sort確認用</definedName>
    <definedName name="Sort確認用" localSheetId="6">[2]!Sort確認用</definedName>
    <definedName name="Sort確認用" localSheetId="7">[2]!Sort確認用</definedName>
    <definedName name="Sort確認用" localSheetId="8">[2]!Sort確認用</definedName>
    <definedName name="Sort確認用" localSheetId="9">[2]!Sort確認用</definedName>
    <definedName name="Sort確認用">[2]!Sort確認用</definedName>
    <definedName name="Sort完了予定" localSheetId="10">[2]!Sort完了予定</definedName>
    <definedName name="Sort完了予定" localSheetId="11">[2]!Sort完了予定</definedName>
    <definedName name="Sort完了予定" localSheetId="12">[2]!Sort完了予定</definedName>
    <definedName name="Sort完了予定" localSheetId="13">[2]!Sort完了予定</definedName>
    <definedName name="Sort完了予定" localSheetId="14">[2]!Sort完了予定</definedName>
    <definedName name="Sort完了予定" localSheetId="15">[2]!Sort完了予定</definedName>
    <definedName name="Sort完了予定" localSheetId="17">[2]!Sort完了予定</definedName>
    <definedName name="Sort完了予定" localSheetId="18">[2]!Sort完了予定</definedName>
    <definedName name="Sort完了予定" localSheetId="19">[2]!Sort完了予定</definedName>
    <definedName name="Sort完了予定" localSheetId="20">[2]!Sort完了予定</definedName>
    <definedName name="Sort完了予定" localSheetId="16">[2]!Sort完了予定</definedName>
    <definedName name="Sort完了予定" localSheetId="21">[2]!Sort完了予定</definedName>
    <definedName name="Sort完了予定" localSheetId="22">[2]!Sort完了予定</definedName>
    <definedName name="Sort完了予定" localSheetId="23">[2]!Sort完了予定</definedName>
    <definedName name="Sort完了予定" localSheetId="24">[2]!Sort完了予定</definedName>
    <definedName name="Sort完了予定" localSheetId="25">[2]!Sort完了予定</definedName>
    <definedName name="Sort完了予定" localSheetId="26">[2]!Sort完了予定</definedName>
    <definedName name="Sort完了予定" localSheetId="27">[2]!Sort完了予定</definedName>
    <definedName name="Sort完了予定" localSheetId="28">[2]!Sort完了予定</definedName>
    <definedName name="Sort完了予定" localSheetId="29">[2]!Sort完了予定</definedName>
    <definedName name="Sort完了予定" localSheetId="30">[2]!Sort完了予定</definedName>
    <definedName name="Sort完了予定" localSheetId="3">[2]!Sort完了予定</definedName>
    <definedName name="Sort完了予定" localSheetId="31">[2]!Sort完了予定</definedName>
    <definedName name="Sort完了予定" localSheetId="32">[2]!Sort完了予定</definedName>
    <definedName name="Sort完了予定" localSheetId="33">[2]!Sort完了予定</definedName>
    <definedName name="Sort完了予定" localSheetId="34">[2]!Sort完了予定</definedName>
    <definedName name="Sort完了予定" localSheetId="35">[2]!Sort完了予定</definedName>
    <definedName name="Sort完了予定" localSheetId="36">[2]!Sort完了予定</definedName>
    <definedName name="Sort完了予定" localSheetId="37">[2]!Sort完了予定</definedName>
    <definedName name="Sort完了予定" localSheetId="38">[2]!Sort完了予定</definedName>
    <definedName name="Sort完了予定" localSheetId="39">[2]!Sort完了予定</definedName>
    <definedName name="Sort完了予定" localSheetId="40">[2]!Sort完了予定</definedName>
    <definedName name="Sort完了予定" localSheetId="4">[2]!Sort完了予定</definedName>
    <definedName name="Sort完了予定" localSheetId="41">[2]!Sort完了予定</definedName>
    <definedName name="Sort完了予定" localSheetId="42">[2]!Sort完了予定</definedName>
    <definedName name="Sort完了予定" localSheetId="43">[2]!Sort完了予定</definedName>
    <definedName name="Sort完了予定" localSheetId="44">[2]!Sort完了予定</definedName>
    <definedName name="Sort完了予定" localSheetId="5">[2]!Sort完了予定</definedName>
    <definedName name="Sort完了予定" localSheetId="6">[2]!Sort完了予定</definedName>
    <definedName name="Sort完了予定" localSheetId="7">[2]!Sort完了予定</definedName>
    <definedName name="Sort完了予定" localSheetId="8">[2]!Sort完了予定</definedName>
    <definedName name="Sort完了予定" localSheetId="9">[2]!Sort完了予定</definedName>
    <definedName name="Sort完了予定">[2]!Sort完了予定</definedName>
    <definedName name="Sort管理No" localSheetId="10">[2]!Sort管理No</definedName>
    <definedName name="Sort管理No" localSheetId="11">[2]!Sort管理No</definedName>
    <definedName name="Sort管理No" localSheetId="12">[2]!Sort管理No</definedName>
    <definedName name="Sort管理No" localSheetId="13">[2]!Sort管理No</definedName>
    <definedName name="Sort管理No" localSheetId="14">[2]!Sort管理No</definedName>
    <definedName name="Sort管理No" localSheetId="15">[2]!Sort管理No</definedName>
    <definedName name="Sort管理No" localSheetId="17">[2]!Sort管理No</definedName>
    <definedName name="Sort管理No" localSheetId="18">[2]!Sort管理No</definedName>
    <definedName name="Sort管理No" localSheetId="19">[2]!Sort管理No</definedName>
    <definedName name="Sort管理No" localSheetId="20">[2]!Sort管理No</definedName>
    <definedName name="Sort管理No" localSheetId="16">[2]!Sort管理No</definedName>
    <definedName name="Sort管理No" localSheetId="21">[2]!Sort管理No</definedName>
    <definedName name="Sort管理No" localSheetId="22">[2]!Sort管理No</definedName>
    <definedName name="Sort管理No" localSheetId="23">[2]!Sort管理No</definedName>
    <definedName name="Sort管理No" localSheetId="24">[2]!Sort管理No</definedName>
    <definedName name="Sort管理No" localSheetId="25">[2]!Sort管理No</definedName>
    <definedName name="Sort管理No" localSheetId="26">[2]!Sort管理No</definedName>
    <definedName name="Sort管理No" localSheetId="27">[2]!Sort管理No</definedName>
    <definedName name="Sort管理No" localSheetId="28">[2]!Sort管理No</definedName>
    <definedName name="Sort管理No" localSheetId="29">[2]!Sort管理No</definedName>
    <definedName name="Sort管理No" localSheetId="30">[2]!Sort管理No</definedName>
    <definedName name="Sort管理No" localSheetId="3">[2]!Sort管理No</definedName>
    <definedName name="Sort管理No" localSheetId="31">[2]!Sort管理No</definedName>
    <definedName name="Sort管理No" localSheetId="32">[2]!Sort管理No</definedName>
    <definedName name="Sort管理No" localSheetId="33">[2]!Sort管理No</definedName>
    <definedName name="Sort管理No" localSheetId="34">[2]!Sort管理No</definedName>
    <definedName name="Sort管理No" localSheetId="35">[2]!Sort管理No</definedName>
    <definedName name="Sort管理No" localSheetId="36">[2]!Sort管理No</definedName>
    <definedName name="Sort管理No" localSheetId="37">[2]!Sort管理No</definedName>
    <definedName name="Sort管理No" localSheetId="38">[2]!Sort管理No</definedName>
    <definedName name="Sort管理No" localSheetId="39">[2]!Sort管理No</definedName>
    <definedName name="Sort管理No" localSheetId="40">[2]!Sort管理No</definedName>
    <definedName name="Sort管理No" localSheetId="4">[2]!Sort管理No</definedName>
    <definedName name="Sort管理No" localSheetId="41">[2]!Sort管理No</definedName>
    <definedName name="Sort管理No" localSheetId="42">[2]!Sort管理No</definedName>
    <definedName name="Sort管理No" localSheetId="43">[2]!Sort管理No</definedName>
    <definedName name="Sort管理No" localSheetId="44">[2]!Sort管理No</definedName>
    <definedName name="Sort管理No" localSheetId="5">[2]!Sort管理No</definedName>
    <definedName name="Sort管理No" localSheetId="6">[2]!Sort管理No</definedName>
    <definedName name="Sort管理No" localSheetId="7">[2]!Sort管理No</definedName>
    <definedName name="Sort管理No" localSheetId="8">[2]!Sort管理No</definedName>
    <definedName name="Sort管理No" localSheetId="9">[2]!Sort管理No</definedName>
    <definedName name="Sort管理No">[2]!Sort管理No</definedName>
    <definedName name="SPUSER_SERVER_SHUBETSU">#REF!</definedName>
    <definedName name="TBL_NEXT">[3]会社ﾏｽﾀ!$N$15</definedName>
    <definedName name="TBL_PctFree">[3]会社ﾏｽﾀ!$N$12</definedName>
    <definedName name="TBL_PctUsed">[3]会社ﾏｽﾀ!$N$13</definedName>
    <definedName name="TBL_SPACE">[3]会社ﾏｽﾀ!$N$11</definedName>
    <definedName name="TBL_Storage">[3]会社ﾏｽﾀ!$N$14</definedName>
    <definedName name="TEKIYOU">#REF!</definedName>
    <definedName name="Ｔｐ名称">[6]Ｔｐ資料!$A$1:$A$120</definedName>
    <definedName name="TYPE">[3]会社ﾏｽﾀ!$D$8</definedName>
    <definedName name="UserID" localSheetId="10">[7]data!#REF!</definedName>
    <definedName name="UserID" localSheetId="11">[7]data!#REF!</definedName>
    <definedName name="UserID" localSheetId="12">[7]data!#REF!</definedName>
    <definedName name="UserID" localSheetId="13">[7]data!#REF!</definedName>
    <definedName name="UserID" localSheetId="14">[7]data!#REF!</definedName>
    <definedName name="UserID" localSheetId="15">[7]data!#REF!</definedName>
    <definedName name="UserID" localSheetId="17">[7]data!#REF!</definedName>
    <definedName name="UserID" localSheetId="18">[7]data!#REF!</definedName>
    <definedName name="UserID" localSheetId="19">[7]data!#REF!</definedName>
    <definedName name="UserID" localSheetId="20">[7]data!#REF!</definedName>
    <definedName name="UserID" localSheetId="16">[7]data!#REF!</definedName>
    <definedName name="UserID" localSheetId="21">[7]data!#REF!</definedName>
    <definedName name="UserID" localSheetId="22">[7]data!#REF!</definedName>
    <definedName name="UserID" localSheetId="23">[7]data!#REF!</definedName>
    <definedName name="UserID" localSheetId="24">[7]data!#REF!</definedName>
    <definedName name="UserID" localSheetId="25">[7]data!#REF!</definedName>
    <definedName name="UserID" localSheetId="26">[7]data!#REF!</definedName>
    <definedName name="UserID" localSheetId="27">[7]data!#REF!</definedName>
    <definedName name="UserID" localSheetId="28">[7]data!#REF!</definedName>
    <definedName name="UserID" localSheetId="29">[7]data!#REF!</definedName>
    <definedName name="UserID" localSheetId="30">[7]data!#REF!</definedName>
    <definedName name="UserID" localSheetId="3">[7]data!#REF!</definedName>
    <definedName name="UserID" localSheetId="31">[7]data!#REF!</definedName>
    <definedName name="UserID" localSheetId="32">[7]data!#REF!</definedName>
    <definedName name="UserID" localSheetId="33">[7]data!#REF!</definedName>
    <definedName name="UserID" localSheetId="34">[7]data!#REF!</definedName>
    <definedName name="UserID" localSheetId="35">[7]data!#REF!</definedName>
    <definedName name="UserID" localSheetId="36">[7]data!#REF!</definedName>
    <definedName name="UserID" localSheetId="37">[7]data!#REF!</definedName>
    <definedName name="UserID" localSheetId="38">[7]data!#REF!</definedName>
    <definedName name="UserID" localSheetId="39">[7]data!#REF!</definedName>
    <definedName name="UserID" localSheetId="40">[7]data!#REF!</definedName>
    <definedName name="UserID" localSheetId="4">[7]data!#REF!</definedName>
    <definedName name="UserID" localSheetId="41">[7]data!#REF!</definedName>
    <definedName name="UserID" localSheetId="42">[7]data!#REF!</definedName>
    <definedName name="UserID" localSheetId="43">[7]data!#REF!</definedName>
    <definedName name="UserID" localSheetId="44">[7]data!#REF!</definedName>
    <definedName name="UserID" localSheetId="5">[7]data!#REF!</definedName>
    <definedName name="UserID" localSheetId="6">[7]data!#REF!</definedName>
    <definedName name="UserID" localSheetId="7">[7]data!#REF!</definedName>
    <definedName name="UserID" localSheetId="8">[7]data!#REF!</definedName>
    <definedName name="UserID" localSheetId="9">[7]data!#REF!</definedName>
    <definedName name="UserID">[7]data!#REF!</definedName>
    <definedName name="ああ">#REF!</definedName>
    <definedName name="さああ">[3]会社ﾏｽﾀ!$J$8</definedName>
    <definedName name="テーブル物理名称">OFFSET([8]テーブル定義!$A$1,0,0,1,COUNTA([8]テーブル定義!$A$1:$IV$1))</definedName>
    <definedName name="ね表紙" localSheetId="10" hidden="1">#REF!</definedName>
    <definedName name="ね表紙" localSheetId="11" hidden="1">#REF!</definedName>
    <definedName name="ね表紙" localSheetId="12" hidden="1">#REF!</definedName>
    <definedName name="ね表紙" localSheetId="13" hidden="1">#REF!</definedName>
    <definedName name="ね表紙" localSheetId="14" hidden="1">#REF!</definedName>
    <definedName name="ね表紙" localSheetId="15" hidden="1">#REF!</definedName>
    <definedName name="ね表紙" localSheetId="17" hidden="1">#REF!</definedName>
    <definedName name="ね表紙" localSheetId="18" hidden="1">#REF!</definedName>
    <definedName name="ね表紙" localSheetId="19" hidden="1">#REF!</definedName>
    <definedName name="ね表紙" localSheetId="20" hidden="1">#REF!</definedName>
    <definedName name="ね表紙" localSheetId="16" hidden="1">#REF!</definedName>
    <definedName name="ね表紙" localSheetId="21" hidden="1">#REF!</definedName>
    <definedName name="ね表紙" localSheetId="22" hidden="1">#REF!</definedName>
    <definedName name="ね表紙" localSheetId="23" hidden="1">#REF!</definedName>
    <definedName name="ね表紙" localSheetId="24" hidden="1">#REF!</definedName>
    <definedName name="ね表紙" localSheetId="25" hidden="1">#REF!</definedName>
    <definedName name="ね表紙" localSheetId="26" hidden="1">#REF!</definedName>
    <definedName name="ね表紙" localSheetId="27" hidden="1">#REF!</definedName>
    <definedName name="ね表紙" localSheetId="28" hidden="1">#REF!</definedName>
    <definedName name="ね表紙" localSheetId="29" hidden="1">#REF!</definedName>
    <definedName name="ね表紙" localSheetId="30" hidden="1">#REF!</definedName>
    <definedName name="ね表紙" localSheetId="3" hidden="1">#REF!</definedName>
    <definedName name="ね表紙" localSheetId="31" hidden="1">#REF!</definedName>
    <definedName name="ね表紙" localSheetId="32" hidden="1">#REF!</definedName>
    <definedName name="ね表紙" localSheetId="33" hidden="1">#REF!</definedName>
    <definedName name="ね表紙" localSheetId="34" hidden="1">#REF!</definedName>
    <definedName name="ね表紙" localSheetId="35" hidden="1">#REF!</definedName>
    <definedName name="ね表紙" localSheetId="36" hidden="1">#REF!</definedName>
    <definedName name="ね表紙" localSheetId="37" hidden="1">#REF!</definedName>
    <definedName name="ね表紙" localSheetId="38" hidden="1">#REF!</definedName>
    <definedName name="ね表紙" localSheetId="39" hidden="1">#REF!</definedName>
    <definedName name="ね表紙" localSheetId="40" hidden="1">#REF!</definedName>
    <definedName name="ね表紙" localSheetId="4" hidden="1">#REF!</definedName>
    <definedName name="ね表紙" localSheetId="41" hidden="1">#REF!</definedName>
    <definedName name="ね表紙" localSheetId="42" hidden="1">#REF!</definedName>
    <definedName name="ね表紙" localSheetId="43" hidden="1">#REF!</definedName>
    <definedName name="ね表紙" localSheetId="44" hidden="1">#REF!</definedName>
    <definedName name="ね表紙" localSheetId="5" hidden="1">#REF!</definedName>
    <definedName name="ね表紙" localSheetId="6" hidden="1">#REF!</definedName>
    <definedName name="ね表紙" localSheetId="7" hidden="1">#REF!</definedName>
    <definedName name="ね表紙" localSheetId="8" hidden="1">#REF!</definedName>
    <definedName name="ね表紙" localSheetId="9" hidden="1">#REF!</definedName>
    <definedName name="ね表紙" hidden="1">#REF!</definedName>
    <definedName name="バリデータ">[5]選択!$A$2:$A$6</definedName>
    <definedName name="プロジェクト名">[9]表紙!$N$2</definedName>
    <definedName name="ﾛｰｶﾙ得意先マスタ">#REF!</definedName>
    <definedName name="ﾛｰｶﾙ得意先商品マスタ">#REF!</definedName>
    <definedName name="科目コード表抽出クエリ">#REF!</definedName>
    <definedName name="回線">#REF!</definedName>
    <definedName name="回線数">#REF!</definedName>
    <definedName name="勘定科目①">[10]Sheet1!$F$4:$F$6</definedName>
    <definedName name="関連表" localSheetId="10" hidden="1">#REF!</definedName>
    <definedName name="関連表" localSheetId="11" hidden="1">#REF!</definedName>
    <definedName name="関連表" localSheetId="12" hidden="1">#REF!</definedName>
    <definedName name="関連表" localSheetId="13" hidden="1">#REF!</definedName>
    <definedName name="関連表" localSheetId="14" hidden="1">#REF!</definedName>
    <definedName name="関連表" localSheetId="15" hidden="1">#REF!</definedName>
    <definedName name="関連表" localSheetId="17" hidden="1">#REF!</definedName>
    <definedName name="関連表" localSheetId="18" hidden="1">#REF!</definedName>
    <definedName name="関連表" localSheetId="19" hidden="1">#REF!</definedName>
    <definedName name="関連表" localSheetId="20" hidden="1">#REF!</definedName>
    <definedName name="関連表" localSheetId="16" hidden="1">#REF!</definedName>
    <definedName name="関連表" localSheetId="21" hidden="1">#REF!</definedName>
    <definedName name="関連表" localSheetId="22" hidden="1">#REF!</definedName>
    <definedName name="関連表" localSheetId="23" hidden="1">#REF!</definedName>
    <definedName name="関連表" localSheetId="24" hidden="1">#REF!</definedName>
    <definedName name="関連表" localSheetId="25" hidden="1">#REF!</definedName>
    <definedName name="関連表" localSheetId="26" hidden="1">#REF!</definedName>
    <definedName name="関連表" localSheetId="27" hidden="1">#REF!</definedName>
    <definedName name="関連表" localSheetId="28" hidden="1">#REF!</definedName>
    <definedName name="関連表" localSheetId="29" hidden="1">#REF!</definedName>
    <definedName name="関連表" localSheetId="30" hidden="1">#REF!</definedName>
    <definedName name="関連表" localSheetId="3" hidden="1">#REF!</definedName>
    <definedName name="関連表" localSheetId="31" hidden="1">#REF!</definedName>
    <definedName name="関連表" localSheetId="32" hidden="1">#REF!</definedName>
    <definedName name="関連表" localSheetId="33" hidden="1">#REF!</definedName>
    <definedName name="関連表" localSheetId="34" hidden="1">#REF!</definedName>
    <definedName name="関連表" localSheetId="35" hidden="1">#REF!</definedName>
    <definedName name="関連表" localSheetId="36" hidden="1">#REF!</definedName>
    <definedName name="関連表" localSheetId="37" hidden="1">#REF!</definedName>
    <definedName name="関連表" localSheetId="38" hidden="1">#REF!</definedName>
    <definedName name="関連表" localSheetId="39" hidden="1">#REF!</definedName>
    <definedName name="関連表" localSheetId="40" hidden="1">#REF!</definedName>
    <definedName name="関連表" localSheetId="4" hidden="1">#REF!</definedName>
    <definedName name="関連表" localSheetId="41" hidden="1">#REF!</definedName>
    <definedName name="関連表" localSheetId="42" hidden="1">#REF!</definedName>
    <definedName name="関連表" localSheetId="43" hidden="1">#REF!</definedName>
    <definedName name="関連表" localSheetId="44" hidden="1">#REF!</definedName>
    <definedName name="関連表" localSheetId="5" hidden="1">#REF!</definedName>
    <definedName name="関連表" localSheetId="6" hidden="1">#REF!</definedName>
    <definedName name="関連表" localSheetId="7" hidden="1">#REF!</definedName>
    <definedName name="関連表" localSheetId="8" hidden="1">#REF!</definedName>
    <definedName name="関連表" localSheetId="9" hidden="1">#REF!</definedName>
    <definedName name="関連表" hidden="1">#REF!</definedName>
    <definedName name="項番１" localSheetId="10">#REF!</definedName>
    <definedName name="項番１" localSheetId="11">#REF!</definedName>
    <definedName name="項番１" localSheetId="12">#REF!</definedName>
    <definedName name="項番１" localSheetId="13">#REF!</definedName>
    <definedName name="項番１" localSheetId="14">#REF!</definedName>
    <definedName name="項番１" localSheetId="15">#REF!</definedName>
    <definedName name="項番１" localSheetId="17">#REF!</definedName>
    <definedName name="項番１" localSheetId="18">#REF!</definedName>
    <definedName name="項番１" localSheetId="19">#REF!</definedName>
    <definedName name="項番１" localSheetId="20">#REF!</definedName>
    <definedName name="項番１" localSheetId="16">#REF!</definedName>
    <definedName name="項番１" localSheetId="21">#REF!</definedName>
    <definedName name="項番１" localSheetId="22">#REF!</definedName>
    <definedName name="項番１" localSheetId="23">#REF!</definedName>
    <definedName name="項番１" localSheetId="24">#REF!</definedName>
    <definedName name="項番１" localSheetId="25">#REF!</definedName>
    <definedName name="項番１" localSheetId="26">#REF!</definedName>
    <definedName name="項番１" localSheetId="27">#REF!</definedName>
    <definedName name="項番１" localSheetId="28">#REF!</definedName>
    <definedName name="項番１" localSheetId="29">#REF!</definedName>
    <definedName name="項番１" localSheetId="30">#REF!</definedName>
    <definedName name="項番１" localSheetId="3">#REF!</definedName>
    <definedName name="項番１" localSheetId="31">#REF!</definedName>
    <definedName name="項番１" localSheetId="32">#REF!</definedName>
    <definedName name="項番１" localSheetId="33">#REF!</definedName>
    <definedName name="項番１" localSheetId="34">#REF!</definedName>
    <definedName name="項番１" localSheetId="35">#REF!</definedName>
    <definedName name="項番１" localSheetId="36">#REF!</definedName>
    <definedName name="項番１" localSheetId="37">#REF!</definedName>
    <definedName name="項番１" localSheetId="38">#REF!</definedName>
    <definedName name="項番１" localSheetId="39">#REF!</definedName>
    <definedName name="項番１" localSheetId="40">#REF!</definedName>
    <definedName name="項番１" localSheetId="4">#REF!</definedName>
    <definedName name="項番１" localSheetId="41">#REF!</definedName>
    <definedName name="項番１" localSheetId="42">#REF!</definedName>
    <definedName name="項番１" localSheetId="43">#REF!</definedName>
    <definedName name="項番１" localSheetId="44">#REF!</definedName>
    <definedName name="項番１" localSheetId="5">#REF!</definedName>
    <definedName name="項番１" localSheetId="6">#REF!</definedName>
    <definedName name="項番１" localSheetId="7">#REF!</definedName>
    <definedName name="項番１" localSheetId="8">#REF!</definedName>
    <definedName name="項番１" localSheetId="9">#REF!</definedName>
    <definedName name="項番１">#REF!</definedName>
    <definedName name="項目☆" localSheetId="10">[2]!項目☆</definedName>
    <definedName name="項目☆" localSheetId="11">[2]!項目☆</definedName>
    <definedName name="項目☆" localSheetId="12">[2]!項目☆</definedName>
    <definedName name="項目☆" localSheetId="13">[2]!項目☆</definedName>
    <definedName name="項目☆" localSheetId="14">[2]!項目☆</definedName>
    <definedName name="項目☆" localSheetId="15">[2]!項目☆</definedName>
    <definedName name="項目☆" localSheetId="17">[2]!項目☆</definedName>
    <definedName name="項目☆" localSheetId="18">[2]!項目☆</definedName>
    <definedName name="項目☆" localSheetId="19">[2]!項目☆</definedName>
    <definedName name="項目☆" localSheetId="20">[2]!項目☆</definedName>
    <definedName name="項目☆" localSheetId="16">[2]!項目☆</definedName>
    <definedName name="項目☆" localSheetId="21">[2]!項目☆</definedName>
    <definedName name="項目☆" localSheetId="22">[2]!項目☆</definedName>
    <definedName name="項目☆" localSheetId="23">[2]!項目☆</definedName>
    <definedName name="項目☆" localSheetId="24">[2]!項目☆</definedName>
    <definedName name="項目☆" localSheetId="25">[2]!項目☆</definedName>
    <definedName name="項目☆" localSheetId="26">[2]!項目☆</definedName>
    <definedName name="項目☆" localSheetId="27">[2]!項目☆</definedName>
    <definedName name="項目☆" localSheetId="28">[2]!項目☆</definedName>
    <definedName name="項目☆" localSheetId="29">[2]!項目☆</definedName>
    <definedName name="項目☆" localSheetId="30">[2]!項目☆</definedName>
    <definedName name="項目☆" localSheetId="3">[2]!項目☆</definedName>
    <definedName name="項目☆" localSheetId="31">[2]!項目☆</definedName>
    <definedName name="項目☆" localSheetId="32">[2]!項目☆</definedName>
    <definedName name="項目☆" localSheetId="33">[2]!項目☆</definedName>
    <definedName name="項目☆" localSheetId="34">[2]!項目☆</definedName>
    <definedName name="項目☆" localSheetId="35">[2]!項目☆</definedName>
    <definedName name="項目☆" localSheetId="36">[2]!項目☆</definedName>
    <definedName name="項目☆" localSheetId="37">[2]!項目☆</definedName>
    <definedName name="項目☆" localSheetId="38">[2]!項目☆</definedName>
    <definedName name="項目☆" localSheetId="39">[2]!項目☆</definedName>
    <definedName name="項目☆" localSheetId="40">[2]!項目☆</definedName>
    <definedName name="項目☆" localSheetId="4">[2]!項目☆</definedName>
    <definedName name="項目☆" localSheetId="41">[2]!項目☆</definedName>
    <definedName name="項目☆" localSheetId="42">[2]!項目☆</definedName>
    <definedName name="項目☆" localSheetId="43">[2]!項目☆</definedName>
    <definedName name="項目☆" localSheetId="44">[2]!項目☆</definedName>
    <definedName name="項目☆" localSheetId="5">[2]!項目☆</definedName>
    <definedName name="項目☆" localSheetId="6">[2]!項目☆</definedName>
    <definedName name="項目☆" localSheetId="7">[2]!項目☆</definedName>
    <definedName name="項目☆" localSheetId="8">[2]!項目☆</definedName>
    <definedName name="項目☆" localSheetId="9">[2]!項目☆</definedName>
    <definedName name="項目☆">[2]!項目☆</definedName>
    <definedName name="項目ＤＢ">[11]項目一覧!$A$3:$D$2998</definedName>
    <definedName name="項目一覧">[12]項目一覧!$C$7:$C$28</definedName>
    <definedName name="作成者">[9]表紙!$N$7</definedName>
    <definedName name="作成日">[9]表紙!$N$9</definedName>
    <definedName name="集計" localSheetId="10">[2]!集計</definedName>
    <definedName name="集計" localSheetId="11">[2]!集計</definedName>
    <definedName name="集計" localSheetId="12">[2]!集計</definedName>
    <definedName name="集計" localSheetId="13">[2]!集計</definedName>
    <definedName name="集計" localSheetId="14">[2]!集計</definedName>
    <definedName name="集計" localSheetId="15">[2]!集計</definedName>
    <definedName name="集計" localSheetId="17">[2]!集計</definedName>
    <definedName name="集計" localSheetId="18">[2]!集計</definedName>
    <definedName name="集計" localSheetId="19">[2]!集計</definedName>
    <definedName name="集計" localSheetId="20">[2]!集計</definedName>
    <definedName name="集計" localSheetId="16">[2]!集計</definedName>
    <definedName name="集計" localSheetId="21">[2]!集計</definedName>
    <definedName name="集計" localSheetId="22">[2]!集計</definedName>
    <definedName name="集計" localSheetId="23">[2]!集計</definedName>
    <definedName name="集計" localSheetId="24">[2]!集計</definedName>
    <definedName name="集計" localSheetId="25">[2]!集計</definedName>
    <definedName name="集計" localSheetId="26">[2]!集計</definedName>
    <definedName name="集計" localSheetId="27">[2]!集計</definedName>
    <definedName name="集計" localSheetId="28">[2]!集計</definedName>
    <definedName name="集計" localSheetId="29">[2]!集計</definedName>
    <definedName name="集計" localSheetId="30">[2]!集計</definedName>
    <definedName name="集計" localSheetId="3">[2]!集計</definedName>
    <definedName name="集計" localSheetId="31">[2]!集計</definedName>
    <definedName name="集計" localSheetId="32">[2]!集計</definedName>
    <definedName name="集計" localSheetId="33">[2]!集計</definedName>
    <definedName name="集計" localSheetId="34">[2]!集計</definedName>
    <definedName name="集計" localSheetId="35">[2]!集計</definedName>
    <definedName name="集計" localSheetId="36">[2]!集計</definedName>
    <definedName name="集計" localSheetId="37">[2]!集計</definedName>
    <definedName name="集計" localSheetId="38">[2]!集計</definedName>
    <definedName name="集計" localSheetId="39">[2]!集計</definedName>
    <definedName name="集計" localSheetId="40">[2]!集計</definedName>
    <definedName name="集計" localSheetId="4">[2]!集計</definedName>
    <definedName name="集計" localSheetId="41">[2]!集計</definedName>
    <definedName name="集計" localSheetId="42">[2]!集計</definedName>
    <definedName name="集計" localSheetId="43">[2]!集計</definedName>
    <definedName name="集計" localSheetId="44">[2]!集計</definedName>
    <definedName name="集計" localSheetId="5">[2]!集計</definedName>
    <definedName name="集計" localSheetId="6">[2]!集計</definedName>
    <definedName name="集計" localSheetId="7">[2]!集計</definedName>
    <definedName name="集計" localSheetId="8">[2]!集計</definedName>
    <definedName name="集計" localSheetId="9">[2]!集計</definedName>
    <definedName name="集計">[2]!集計</definedName>
    <definedName name="重複">[8]凡例!$C$8:$C$9</definedName>
    <definedName name="条件式">#REF!</definedName>
    <definedName name="申込数">#REF!</definedName>
    <definedName name="請求ＤＢ">#REF!</definedName>
    <definedName name="電話帳数">#REF!</definedName>
    <definedName name="版数">[9]表紙!$N$6</definedName>
    <definedName name="品目コード表抽出クエリ_GATE">#REF!</definedName>
    <definedName name="分析ﾃﾞｰﾀ">[13]データ!$A$1:$B$60</definedName>
    <definedName name="文書名">[9]表紙!$N$4</definedName>
    <definedName name="料金科目TBL">[14]料金科目テーブル!$F$1:$N$190</definedName>
  </definedNames>
  <calcPr calcId="179017"/>
</workbook>
</file>

<file path=xl/calcChain.xml><?xml version="1.0" encoding="utf-8"?>
<calcChain xmlns="http://schemas.openxmlformats.org/spreadsheetml/2006/main">
  <c r="BT35" i="67" l="1"/>
  <c r="BU35" i="67" s="1"/>
  <c r="BX35" i="67"/>
  <c r="BY35" i="67" s="1"/>
  <c r="CB35" i="67"/>
  <c r="CC35" i="67" s="1"/>
  <c r="CF35" i="67"/>
  <c r="CG35" i="67" s="1"/>
  <c r="CJ35" i="67"/>
  <c r="CK35" i="67" s="1"/>
  <c r="CN35" i="67"/>
  <c r="CO35" i="67" s="1"/>
  <c r="CR35" i="67"/>
  <c r="CS35" i="67" s="1"/>
  <c r="CV35" i="67"/>
  <c r="CW35" i="67" s="1"/>
  <c r="CZ35" i="67"/>
  <c r="DA35" i="67" s="1"/>
  <c r="DD35" i="67"/>
  <c r="DE35" i="67" s="1"/>
  <c r="DH35" i="67"/>
  <c r="DI35" i="67" s="1"/>
  <c r="DL35" i="67"/>
  <c r="DM35" i="67" s="1"/>
  <c r="DP35" i="67"/>
  <c r="DQ35" i="67" s="1"/>
  <c r="DT35" i="67"/>
  <c r="DU35" i="67" s="1"/>
  <c r="DX35" i="67"/>
  <c r="DY35" i="67" s="1"/>
  <c r="EB35" i="67"/>
  <c r="EC35" i="67" s="1"/>
  <c r="EF35" i="67"/>
  <c r="EG35" i="67" s="1"/>
  <c r="EJ35" i="67"/>
  <c r="EK35" i="67" s="1"/>
  <c r="EN35" i="67"/>
  <c r="EO35" i="67" s="1"/>
  <c r="ER35" i="67"/>
  <c r="ES35" i="67" s="1"/>
  <c r="EV35" i="67"/>
  <c r="EW35" i="67" s="1"/>
  <c r="EZ35" i="67"/>
  <c r="FA35" i="67" s="1"/>
  <c r="FD35" i="67"/>
  <c r="FE35" i="67" s="1"/>
  <c r="FH35" i="67"/>
  <c r="FI35" i="67" s="1"/>
  <c r="FL35" i="67"/>
  <c r="FM35" i="67" s="1"/>
  <c r="FP35" i="67"/>
  <c r="FQ35" i="67" s="1"/>
  <c r="FT35" i="67"/>
  <c r="FU35" i="67" s="1"/>
  <c r="FX35" i="67"/>
  <c r="FY35" i="67" s="1"/>
  <c r="GB35" i="67"/>
  <c r="GC35" i="67" s="1"/>
  <c r="GF35" i="67"/>
  <c r="GG35" i="67" s="1"/>
  <c r="GJ35" i="67"/>
  <c r="GK35" i="67" s="1"/>
  <c r="GN35" i="67"/>
  <c r="GO35" i="67" s="1"/>
  <c r="BP35" i="67"/>
  <c r="BQ35" i="67" s="1"/>
  <c r="GS81" i="67"/>
  <c r="GS80" i="67"/>
  <c r="GR79" i="67"/>
  <c r="GS79" i="67" s="1"/>
  <c r="GS78" i="67"/>
  <c r="GR77" i="67"/>
  <c r="GS77" i="67"/>
  <c r="GR76" i="67"/>
  <c r="GS76" i="67"/>
  <c r="GR75" i="67"/>
  <c r="GS75" i="67" s="1"/>
  <c r="GR74" i="67"/>
  <c r="GS74" i="67"/>
  <c r="GR73" i="67"/>
  <c r="GS73" i="67"/>
  <c r="GR72" i="67"/>
  <c r="GS72" i="67"/>
  <c r="GR71" i="67"/>
  <c r="GS71" i="67"/>
  <c r="GR70" i="67"/>
  <c r="GS70" i="67"/>
  <c r="GR69" i="67"/>
  <c r="GS69" i="67"/>
  <c r="GR68" i="67"/>
  <c r="GS68" i="67"/>
  <c r="GR67" i="67"/>
  <c r="GS67" i="67" s="1"/>
  <c r="GR66" i="67"/>
  <c r="GS66" i="67"/>
  <c r="GR65" i="67"/>
  <c r="GS65" i="67"/>
  <c r="GR64" i="67"/>
  <c r="GS64" i="67"/>
  <c r="GR63" i="67"/>
  <c r="GS63" i="67" s="1"/>
  <c r="GR62" i="67"/>
  <c r="GS62" i="67"/>
  <c r="GR61" i="67"/>
  <c r="GS61" i="67"/>
  <c r="GR60" i="67"/>
  <c r="GS60" i="67"/>
  <c r="GR59" i="67"/>
  <c r="GS59" i="67" s="1"/>
  <c r="GR58" i="67"/>
  <c r="GS58" i="67"/>
  <c r="GR57" i="67"/>
  <c r="GS57" i="67"/>
  <c r="GR56" i="67"/>
  <c r="GS56" i="67"/>
  <c r="GR55" i="67"/>
  <c r="GS55" i="67" s="1"/>
  <c r="GR54" i="67"/>
  <c r="GS54" i="67"/>
  <c r="GR53" i="67"/>
  <c r="GS53" i="67"/>
  <c r="GR52" i="67"/>
  <c r="GS52" i="67"/>
  <c r="GR51" i="67"/>
  <c r="GS51" i="67" s="1"/>
  <c r="GR50" i="67"/>
  <c r="GS50" i="67"/>
  <c r="GR49" i="67"/>
  <c r="GS49" i="67"/>
  <c r="GR48" i="67"/>
  <c r="GS48" i="67"/>
  <c r="GR47" i="67"/>
  <c r="GS47" i="67" s="1"/>
  <c r="GR46" i="67"/>
  <c r="GS46" i="67"/>
  <c r="GR45" i="67"/>
  <c r="GS45" i="67"/>
  <c r="GS44" i="67"/>
  <c r="GR43" i="67"/>
  <c r="GS43" i="67" s="1"/>
  <c r="GR42" i="67"/>
  <c r="GS42" i="67" s="1"/>
  <c r="GS41" i="67"/>
  <c r="GR40" i="67"/>
  <c r="GS40" i="67"/>
  <c r="GR39" i="67"/>
  <c r="GS39" i="67"/>
  <c r="GR38" i="67"/>
  <c r="GS38" i="67" s="1"/>
  <c r="GR37" i="67"/>
  <c r="GS37" i="67"/>
  <c r="GR36" i="67"/>
  <c r="GS36" i="67"/>
  <c r="GR35" i="67"/>
  <c r="GS35" i="67"/>
  <c r="GR34" i="67"/>
  <c r="GS34" i="67" s="1"/>
  <c r="GR33" i="67"/>
  <c r="GS33" i="67"/>
  <c r="GR32" i="67"/>
  <c r="GS32" i="67"/>
  <c r="GR31" i="67"/>
  <c r="GS31" i="67"/>
  <c r="GR30" i="67"/>
  <c r="GS30" i="67"/>
  <c r="GR29" i="67"/>
  <c r="GS29" i="67"/>
  <c r="GR28" i="67"/>
  <c r="GS28" i="67"/>
  <c r="GR27" i="67"/>
  <c r="GS27" i="67"/>
  <c r="GR26" i="67"/>
  <c r="GS26" i="67" s="1"/>
  <c r="GR25" i="67"/>
  <c r="GS25" i="67"/>
  <c r="GS24" i="67"/>
  <c r="GR23" i="67"/>
  <c r="GS23" i="67" s="1"/>
  <c r="GR22" i="67"/>
  <c r="GS22" i="67" s="1"/>
  <c r="GS21" i="67"/>
  <c r="GR20" i="67"/>
  <c r="GS20" i="67"/>
  <c r="GR19" i="67"/>
  <c r="GS19" i="67"/>
  <c r="GR18" i="67"/>
  <c r="GS18" i="67"/>
  <c r="GR17" i="67"/>
  <c r="GS17" i="67" s="1"/>
  <c r="GR16" i="67"/>
  <c r="GS16" i="67"/>
  <c r="GR15" i="67"/>
  <c r="GS15" i="67"/>
  <c r="GS14" i="67"/>
  <c r="GR13" i="67"/>
  <c r="GS13" i="67" s="1"/>
  <c r="GR12" i="67"/>
  <c r="GS12" i="67" s="1"/>
  <c r="GR11" i="67"/>
  <c r="GS11" i="67" s="1"/>
  <c r="GR10" i="67"/>
  <c r="GS10" i="67" s="1"/>
  <c r="GR9" i="67"/>
  <c r="GS9" i="67" s="1"/>
  <c r="GR8" i="67"/>
  <c r="GS8" i="67" s="1"/>
  <c r="GQ7" i="67"/>
  <c r="GP7" i="67"/>
  <c r="GF70" i="67"/>
  <c r="GG70" i="67" s="1"/>
  <c r="GJ70" i="67"/>
  <c r="GK70" i="67" s="1"/>
  <c r="GF71" i="67"/>
  <c r="GG71" i="67" s="1"/>
  <c r="GJ71" i="67"/>
  <c r="GK71" i="67" s="1"/>
  <c r="GO81" i="67"/>
  <c r="GK81" i="67"/>
  <c r="GG81" i="67"/>
  <c r="GO80" i="67"/>
  <c r="GK80" i="67"/>
  <c r="GG80" i="67"/>
  <c r="GN79" i="67"/>
  <c r="GO79" i="67" s="1"/>
  <c r="GJ79" i="67"/>
  <c r="GK79" i="67" s="1"/>
  <c r="GF79" i="67"/>
  <c r="GG79" i="67" s="1"/>
  <c r="GO78" i="67"/>
  <c r="GK78" i="67"/>
  <c r="GG78" i="67"/>
  <c r="GO77" i="67"/>
  <c r="GN77" i="67"/>
  <c r="GJ77" i="67"/>
  <c r="GK77" i="67"/>
  <c r="GF77" i="67"/>
  <c r="GG77" i="67" s="1"/>
  <c r="GN76" i="67"/>
  <c r="GO76" i="67"/>
  <c r="GK76" i="67"/>
  <c r="GJ76" i="67"/>
  <c r="GF76" i="67"/>
  <c r="GG76" i="67"/>
  <c r="GN75" i="67"/>
  <c r="GO75" i="67" s="1"/>
  <c r="GJ75" i="67"/>
  <c r="GK75" i="67"/>
  <c r="GF75" i="67"/>
  <c r="GG75" i="67" s="1"/>
  <c r="GN74" i="67"/>
  <c r="GO74" i="67"/>
  <c r="GJ74" i="67"/>
  <c r="GK74" i="67" s="1"/>
  <c r="GF74" i="67"/>
  <c r="GG74" i="67"/>
  <c r="GO73" i="67"/>
  <c r="GN73" i="67"/>
  <c r="GJ73" i="67"/>
  <c r="GK73" i="67"/>
  <c r="GF73" i="67"/>
  <c r="GG73" i="67" s="1"/>
  <c r="GN72" i="67"/>
  <c r="GO72" i="67"/>
  <c r="GJ72" i="67"/>
  <c r="GK72" i="67" s="1"/>
  <c r="GF72" i="67"/>
  <c r="GG72" i="67"/>
  <c r="GN71" i="67"/>
  <c r="GO71" i="67" s="1"/>
  <c r="GN70" i="67"/>
  <c r="GO70" i="67"/>
  <c r="GO69" i="67"/>
  <c r="GN69" i="67"/>
  <c r="GJ69" i="67"/>
  <c r="GK69" i="67"/>
  <c r="GF69" i="67"/>
  <c r="GG69" i="67" s="1"/>
  <c r="GN68" i="67"/>
  <c r="GO68" i="67"/>
  <c r="GK68" i="67"/>
  <c r="GJ68" i="67"/>
  <c r="GF68" i="67"/>
  <c r="GG68" i="67"/>
  <c r="GN67" i="67"/>
  <c r="GO67" i="67" s="1"/>
  <c r="GJ67" i="67"/>
  <c r="GK67" i="67"/>
  <c r="GF67" i="67"/>
  <c r="GG67" i="67" s="1"/>
  <c r="GN66" i="67"/>
  <c r="GO66" i="67"/>
  <c r="GJ66" i="67"/>
  <c r="GK66" i="67" s="1"/>
  <c r="GF66" i="67"/>
  <c r="GG66" i="67"/>
  <c r="GO65" i="67"/>
  <c r="GN65" i="67"/>
  <c r="GJ65" i="67"/>
  <c r="GK65" i="67"/>
  <c r="GF65" i="67"/>
  <c r="GG65" i="67" s="1"/>
  <c r="GN64" i="67"/>
  <c r="GO64" i="67"/>
  <c r="GJ64" i="67"/>
  <c r="GK64" i="67" s="1"/>
  <c r="GF64" i="67"/>
  <c r="GG64" i="67"/>
  <c r="GN63" i="67"/>
  <c r="GO63" i="67" s="1"/>
  <c r="GJ63" i="67"/>
  <c r="GK63" i="67"/>
  <c r="GF63" i="67"/>
  <c r="GG63" i="67" s="1"/>
  <c r="GN62" i="67"/>
  <c r="GO62" i="67"/>
  <c r="GJ62" i="67"/>
  <c r="GK62" i="67" s="1"/>
  <c r="GF62" i="67"/>
  <c r="GG62" i="67"/>
  <c r="GO61" i="67"/>
  <c r="GN61" i="67"/>
  <c r="GJ61" i="67"/>
  <c r="GK61" i="67"/>
  <c r="GF61" i="67"/>
  <c r="GG61" i="67" s="1"/>
  <c r="GN60" i="67"/>
  <c r="GO60" i="67"/>
  <c r="GJ60" i="67"/>
  <c r="GK60" i="67" s="1"/>
  <c r="GF60" i="67"/>
  <c r="GG60" i="67"/>
  <c r="GN59" i="67"/>
  <c r="GO59" i="67" s="1"/>
  <c r="GJ59" i="67"/>
  <c r="GK59" i="67"/>
  <c r="GF59" i="67"/>
  <c r="GG59" i="67" s="1"/>
  <c r="GN58" i="67"/>
  <c r="GO58" i="67"/>
  <c r="GJ58" i="67"/>
  <c r="GK58" i="67" s="1"/>
  <c r="GF58" i="67"/>
  <c r="GG58" i="67"/>
  <c r="GO57" i="67"/>
  <c r="GN57" i="67"/>
  <c r="GJ57" i="67"/>
  <c r="GK57" i="67"/>
  <c r="GF57" i="67"/>
  <c r="GG57" i="67" s="1"/>
  <c r="GN56" i="67"/>
  <c r="GO56" i="67"/>
  <c r="GJ56" i="67"/>
  <c r="GK56" i="67" s="1"/>
  <c r="GF56" i="67"/>
  <c r="GG56" i="67"/>
  <c r="GN55" i="67"/>
  <c r="GO55" i="67" s="1"/>
  <c r="GJ55" i="67"/>
  <c r="GK55" i="67"/>
  <c r="GG55" i="67"/>
  <c r="GF55" i="67"/>
  <c r="GN54" i="67"/>
  <c r="GO54" i="67"/>
  <c r="GJ54" i="67"/>
  <c r="GK54" i="67" s="1"/>
  <c r="GF54" i="67"/>
  <c r="GG54" i="67"/>
  <c r="GO53" i="67"/>
  <c r="GN53" i="67"/>
  <c r="GJ53" i="67"/>
  <c r="GK53" i="67"/>
  <c r="GF53" i="67"/>
  <c r="GG53" i="67" s="1"/>
  <c r="GN52" i="67"/>
  <c r="GO52" i="67"/>
  <c r="GJ52" i="67"/>
  <c r="GK52" i="67" s="1"/>
  <c r="GF52" i="67"/>
  <c r="GG52" i="67"/>
  <c r="GN51" i="67"/>
  <c r="GO51" i="67" s="1"/>
  <c r="GJ51" i="67"/>
  <c r="GK51" i="67"/>
  <c r="GF51" i="67"/>
  <c r="GG51" i="67" s="1"/>
  <c r="GN50" i="67"/>
  <c r="GO50" i="67"/>
  <c r="GJ50" i="67"/>
  <c r="GK50" i="67" s="1"/>
  <c r="GF50" i="67"/>
  <c r="GG50" i="67"/>
  <c r="GO49" i="67"/>
  <c r="GN49" i="67"/>
  <c r="GJ49" i="67"/>
  <c r="GK49" i="67"/>
  <c r="GF49" i="67"/>
  <c r="GG49" i="67" s="1"/>
  <c r="GN48" i="67"/>
  <c r="GO48" i="67"/>
  <c r="GJ48" i="67"/>
  <c r="GK48" i="67" s="1"/>
  <c r="GF48" i="67"/>
  <c r="GG48" i="67"/>
  <c r="GN47" i="67"/>
  <c r="GO47" i="67" s="1"/>
  <c r="GJ47" i="67"/>
  <c r="GK47" i="67"/>
  <c r="GG47" i="67"/>
  <c r="GF47" i="67"/>
  <c r="GN46" i="67"/>
  <c r="GO46" i="67"/>
  <c r="GJ46" i="67"/>
  <c r="GK46" i="67" s="1"/>
  <c r="GF46" i="67"/>
  <c r="GG46" i="67"/>
  <c r="GO45" i="67"/>
  <c r="GN45" i="67"/>
  <c r="GJ45" i="67"/>
  <c r="GK45" i="67"/>
  <c r="GF45" i="67"/>
  <c r="GG45" i="67" s="1"/>
  <c r="GO44" i="67"/>
  <c r="GK44" i="67"/>
  <c r="GG44" i="67"/>
  <c r="GN43" i="67"/>
  <c r="GO43" i="67" s="1"/>
  <c r="GJ43" i="67"/>
  <c r="GK43" i="67" s="1"/>
  <c r="GF43" i="67"/>
  <c r="GG43" i="67" s="1"/>
  <c r="GN42" i="67"/>
  <c r="GO42" i="67"/>
  <c r="GJ42" i="67"/>
  <c r="GK42" i="67" s="1"/>
  <c r="GF42" i="67"/>
  <c r="GG42" i="67"/>
  <c r="GO41" i="67"/>
  <c r="GK41" i="67"/>
  <c r="GG41" i="67"/>
  <c r="GO40" i="67"/>
  <c r="GN40" i="67"/>
  <c r="GJ40" i="67"/>
  <c r="GK40" i="67"/>
  <c r="GF40" i="67"/>
  <c r="GG40" i="67" s="1"/>
  <c r="GN39" i="67"/>
  <c r="GO39" i="67"/>
  <c r="GK39" i="67"/>
  <c r="GJ39" i="67"/>
  <c r="GF39" i="67"/>
  <c r="GG39" i="67"/>
  <c r="GN38" i="67"/>
  <c r="GO38" i="67" s="1"/>
  <c r="GJ38" i="67"/>
  <c r="GK38" i="67"/>
  <c r="GG38" i="67"/>
  <c r="GF38" i="67"/>
  <c r="GN37" i="67"/>
  <c r="GO37" i="67"/>
  <c r="GJ37" i="67"/>
  <c r="GK37" i="67" s="1"/>
  <c r="GF37" i="67"/>
  <c r="GG37" i="67"/>
  <c r="GO36" i="67"/>
  <c r="GN36" i="67"/>
  <c r="GJ36" i="67"/>
  <c r="GK36" i="67"/>
  <c r="GF36" i="67"/>
  <c r="GG36" i="67" s="1"/>
  <c r="GN34" i="67"/>
  <c r="GO34" i="67"/>
  <c r="GK34" i="67"/>
  <c r="GJ34" i="67"/>
  <c r="GF34" i="67"/>
  <c r="GG34" i="67"/>
  <c r="GO33" i="67"/>
  <c r="GN33" i="67"/>
  <c r="GJ33" i="67"/>
  <c r="GK33" i="67"/>
  <c r="GG33" i="67"/>
  <c r="GF33" i="67"/>
  <c r="GN32" i="67"/>
  <c r="GO32" i="67"/>
  <c r="GK32" i="67"/>
  <c r="GJ32" i="67"/>
  <c r="GF32" i="67"/>
  <c r="GG32" i="67"/>
  <c r="GO31" i="67"/>
  <c r="GN31" i="67"/>
  <c r="GJ31" i="67"/>
  <c r="GK31" i="67"/>
  <c r="GG31" i="67"/>
  <c r="GF31" i="67"/>
  <c r="GN30" i="67"/>
  <c r="GO30" i="67"/>
  <c r="GK30" i="67"/>
  <c r="GJ30" i="67"/>
  <c r="GF30" i="67"/>
  <c r="GG30" i="67"/>
  <c r="GO29" i="67"/>
  <c r="GN29" i="67"/>
  <c r="GJ29" i="67"/>
  <c r="GK29" i="67"/>
  <c r="GG29" i="67"/>
  <c r="GF29" i="67"/>
  <c r="GN28" i="67"/>
  <c r="GO28" i="67"/>
  <c r="GK28" i="67"/>
  <c r="GJ28" i="67"/>
  <c r="GF28" i="67"/>
  <c r="GG28" i="67"/>
  <c r="GO27" i="67"/>
  <c r="GN27" i="67"/>
  <c r="GJ27" i="67"/>
  <c r="GK27" i="67"/>
  <c r="GG27" i="67"/>
  <c r="GF27" i="67"/>
  <c r="GN26" i="67"/>
  <c r="GO26" i="67"/>
  <c r="GK26" i="67"/>
  <c r="GJ26" i="67"/>
  <c r="GF26" i="67"/>
  <c r="GG26" i="67"/>
  <c r="GO25" i="67"/>
  <c r="GN25" i="67"/>
  <c r="GJ25" i="67"/>
  <c r="GK25" i="67"/>
  <c r="GG25" i="67"/>
  <c r="GF25" i="67"/>
  <c r="GO24" i="67"/>
  <c r="GK24" i="67"/>
  <c r="GG24" i="67"/>
  <c r="GN23" i="67"/>
  <c r="GO23" i="67"/>
  <c r="GJ23" i="67"/>
  <c r="GK23" i="67" s="1"/>
  <c r="GF23" i="67"/>
  <c r="GG23" i="67"/>
  <c r="GN22" i="67"/>
  <c r="GO22" i="67" s="1"/>
  <c r="GJ22" i="67"/>
  <c r="GK22" i="67"/>
  <c r="GF22" i="67"/>
  <c r="GG22" i="67" s="1"/>
  <c r="GO21" i="67"/>
  <c r="GK21" i="67"/>
  <c r="GG21" i="67"/>
  <c r="GO20" i="67"/>
  <c r="GN20" i="67"/>
  <c r="GJ20" i="67"/>
  <c r="GK20" i="67"/>
  <c r="GG20" i="67"/>
  <c r="GF20" i="67"/>
  <c r="GN19" i="67"/>
  <c r="GO19" i="67"/>
  <c r="GK19" i="67"/>
  <c r="GJ19" i="67"/>
  <c r="GF19" i="67"/>
  <c r="GG19" i="67"/>
  <c r="GO18" i="67"/>
  <c r="GN18" i="67"/>
  <c r="GJ18" i="67"/>
  <c r="GK18" i="67"/>
  <c r="GG18" i="67"/>
  <c r="GF18" i="67"/>
  <c r="GN17" i="67"/>
  <c r="GO17" i="67"/>
  <c r="GK17" i="67"/>
  <c r="GJ17" i="67"/>
  <c r="GF17" i="67"/>
  <c r="GG17" i="67"/>
  <c r="GO16" i="67"/>
  <c r="GN16" i="67"/>
  <c r="GJ16" i="67"/>
  <c r="GK16" i="67"/>
  <c r="GG16" i="67"/>
  <c r="GF16" i="67"/>
  <c r="GN15" i="67"/>
  <c r="GO15" i="67"/>
  <c r="GK15" i="67"/>
  <c r="GJ15" i="67"/>
  <c r="GF15" i="67"/>
  <c r="GG15" i="67"/>
  <c r="GO14" i="67"/>
  <c r="GK14" i="67"/>
  <c r="GG14" i="67"/>
  <c r="GN13" i="67"/>
  <c r="GO13" i="67" s="1"/>
  <c r="GJ13" i="67"/>
  <c r="GK13" i="67"/>
  <c r="GF13" i="67"/>
  <c r="GG13" i="67" s="1"/>
  <c r="GN12" i="67"/>
  <c r="GO12" i="67"/>
  <c r="GJ12" i="67"/>
  <c r="GK12" i="67" s="1"/>
  <c r="GF12" i="67"/>
  <c r="GG12" i="67"/>
  <c r="GN11" i="67"/>
  <c r="GO11" i="67" s="1"/>
  <c r="GJ11" i="67"/>
  <c r="GK11" i="67"/>
  <c r="GF11" i="67"/>
  <c r="GG11" i="67" s="1"/>
  <c r="GN10" i="67"/>
  <c r="GO10" i="67"/>
  <c r="GJ10" i="67"/>
  <c r="GK10" i="67" s="1"/>
  <c r="GF10" i="67"/>
  <c r="GG10" i="67"/>
  <c r="GN9" i="67"/>
  <c r="GO9" i="67" s="1"/>
  <c r="GJ9" i="67"/>
  <c r="GK9" i="67"/>
  <c r="GF9" i="67"/>
  <c r="GG9" i="67" s="1"/>
  <c r="GN8" i="67"/>
  <c r="GO8" i="67"/>
  <c r="GJ8" i="67"/>
  <c r="GK8" i="67" s="1"/>
  <c r="GF8" i="67"/>
  <c r="GG8" i="67"/>
  <c r="GM7" i="67"/>
  <c r="GL7" i="67"/>
  <c r="GI7" i="67"/>
  <c r="GH7" i="67"/>
  <c r="GE7" i="67"/>
  <c r="GD7" i="67"/>
  <c r="FT69" i="67"/>
  <c r="FU69" i="67" s="1"/>
  <c r="FX69" i="67"/>
  <c r="FY69" i="67"/>
  <c r="FT70" i="67"/>
  <c r="FU70" i="67" s="1"/>
  <c r="FX70" i="67"/>
  <c r="FY70" i="67" s="1"/>
  <c r="GC81" i="67"/>
  <c r="FY81" i="67"/>
  <c r="FU81" i="67"/>
  <c r="GC80" i="67"/>
  <c r="FY80" i="67"/>
  <c r="FU80" i="67"/>
  <c r="GB79" i="67"/>
  <c r="GC79" i="67" s="1"/>
  <c r="FY79" i="67"/>
  <c r="FX79" i="67"/>
  <c r="FT79" i="67"/>
  <c r="FU79" i="67" s="1"/>
  <c r="GC78" i="67"/>
  <c r="FY78" i="67"/>
  <c r="FU78" i="67"/>
  <c r="GB77" i="67"/>
  <c r="GC77" i="67" s="1"/>
  <c r="FX77" i="67"/>
  <c r="FY77" i="67"/>
  <c r="FT77" i="67"/>
  <c r="FU77" i="67" s="1"/>
  <c r="GB76" i="67"/>
  <c r="GC76" i="67"/>
  <c r="FX76" i="67"/>
  <c r="FY76" i="67" s="1"/>
  <c r="FT76" i="67"/>
  <c r="FU76" i="67"/>
  <c r="GB75" i="67"/>
  <c r="GC75" i="67" s="1"/>
  <c r="FX75" i="67"/>
  <c r="FY75" i="67"/>
  <c r="FT75" i="67"/>
  <c r="FU75" i="67" s="1"/>
  <c r="GB74" i="67"/>
  <c r="GC74" i="67" s="1"/>
  <c r="FX74" i="67"/>
  <c r="FY74" i="67" s="1"/>
  <c r="FT74" i="67"/>
  <c r="FU74" i="67"/>
  <c r="GB73" i="67"/>
  <c r="GC73" i="67" s="1"/>
  <c r="FX73" i="67"/>
  <c r="FY73" i="67" s="1"/>
  <c r="FT73" i="67"/>
  <c r="FU73" i="67" s="1"/>
  <c r="GB72" i="67"/>
  <c r="GC72" i="67" s="1"/>
  <c r="FX72" i="67"/>
  <c r="FY72" i="67" s="1"/>
  <c r="FT72" i="67"/>
  <c r="FU72" i="67" s="1"/>
  <c r="GB71" i="67"/>
  <c r="GC71" i="67" s="1"/>
  <c r="FX71" i="67"/>
  <c r="FY71" i="67"/>
  <c r="FT71" i="67"/>
  <c r="FU71" i="67" s="1"/>
  <c r="GB70" i="67"/>
  <c r="GC70" i="67" s="1"/>
  <c r="GB69" i="67"/>
  <c r="GC69" i="67" s="1"/>
  <c r="GB68" i="67"/>
  <c r="GC68" i="67" s="1"/>
  <c r="FX68" i="67"/>
  <c r="FY68" i="67" s="1"/>
  <c r="FT68" i="67"/>
  <c r="FU68" i="67" s="1"/>
  <c r="GB67" i="67"/>
  <c r="GC67" i="67" s="1"/>
  <c r="FX67" i="67"/>
  <c r="FY67" i="67"/>
  <c r="FT67" i="67"/>
  <c r="FU67" i="67" s="1"/>
  <c r="GB66" i="67"/>
  <c r="GC66" i="67" s="1"/>
  <c r="FX66" i="67"/>
  <c r="FY66" i="67" s="1"/>
  <c r="FT66" i="67"/>
  <c r="FU66" i="67" s="1"/>
  <c r="GB65" i="67"/>
  <c r="GC65" i="67" s="1"/>
  <c r="FX65" i="67"/>
  <c r="FY65" i="67" s="1"/>
  <c r="FT65" i="67"/>
  <c r="FU65" i="67" s="1"/>
  <c r="GB64" i="67"/>
  <c r="GC64" i="67"/>
  <c r="FX64" i="67"/>
  <c r="FY64" i="67" s="1"/>
  <c r="FT64" i="67"/>
  <c r="FU64" i="67" s="1"/>
  <c r="GB63" i="67"/>
  <c r="GC63" i="67" s="1"/>
  <c r="FX63" i="67"/>
  <c r="FY63" i="67" s="1"/>
  <c r="FT63" i="67"/>
  <c r="FU63" i="67" s="1"/>
  <c r="GB62" i="67"/>
  <c r="GC62" i="67" s="1"/>
  <c r="FX62" i="67"/>
  <c r="FY62" i="67" s="1"/>
  <c r="FT62" i="67"/>
  <c r="FU62" i="67"/>
  <c r="GB61" i="67"/>
  <c r="GC61" i="67" s="1"/>
  <c r="FX61" i="67"/>
  <c r="FY61" i="67" s="1"/>
  <c r="FT61" i="67"/>
  <c r="FU61" i="67" s="1"/>
  <c r="GB60" i="67"/>
  <c r="GC60" i="67" s="1"/>
  <c r="FX60" i="67"/>
  <c r="FY60" i="67" s="1"/>
  <c r="FT60" i="67"/>
  <c r="FU60" i="67" s="1"/>
  <c r="GB59" i="67"/>
  <c r="GC59" i="67" s="1"/>
  <c r="FX59" i="67"/>
  <c r="FY59" i="67"/>
  <c r="FT59" i="67"/>
  <c r="FU59" i="67" s="1"/>
  <c r="GB58" i="67"/>
  <c r="GC58" i="67" s="1"/>
  <c r="FX58" i="67"/>
  <c r="FY58" i="67" s="1"/>
  <c r="FT58" i="67"/>
  <c r="FU58" i="67" s="1"/>
  <c r="GB57" i="67"/>
  <c r="GC57" i="67" s="1"/>
  <c r="FX57" i="67"/>
  <c r="FY57" i="67" s="1"/>
  <c r="FT57" i="67"/>
  <c r="FU57" i="67" s="1"/>
  <c r="GB56" i="67"/>
  <c r="GC56" i="67"/>
  <c r="FX56" i="67"/>
  <c r="FY56" i="67" s="1"/>
  <c r="FT56" i="67"/>
  <c r="FU56" i="67" s="1"/>
  <c r="GB55" i="67"/>
  <c r="GC55" i="67" s="1"/>
  <c r="FX55" i="67"/>
  <c r="FY55" i="67" s="1"/>
  <c r="FT55" i="67"/>
  <c r="FU55" i="67" s="1"/>
  <c r="GB54" i="67"/>
  <c r="GC54" i="67" s="1"/>
  <c r="FX54" i="67"/>
  <c r="FY54" i="67" s="1"/>
  <c r="FT54" i="67"/>
  <c r="FU54" i="67"/>
  <c r="GB53" i="67"/>
  <c r="GC53" i="67" s="1"/>
  <c r="FX53" i="67"/>
  <c r="FY53" i="67" s="1"/>
  <c r="FT53" i="67"/>
  <c r="FU53" i="67" s="1"/>
  <c r="GB52" i="67"/>
  <c r="GC52" i="67" s="1"/>
  <c r="FX52" i="67"/>
  <c r="FY52" i="67" s="1"/>
  <c r="FT52" i="67"/>
  <c r="FU52" i="67" s="1"/>
  <c r="GB51" i="67"/>
  <c r="GC51" i="67" s="1"/>
  <c r="FX51" i="67"/>
  <c r="FY51" i="67"/>
  <c r="FT51" i="67"/>
  <c r="FU51" i="67" s="1"/>
  <c r="GB50" i="67"/>
  <c r="GC50" i="67"/>
  <c r="FX50" i="67"/>
  <c r="FY50" i="67" s="1"/>
  <c r="FT50" i="67"/>
  <c r="FU50" i="67" s="1"/>
  <c r="GB49" i="67"/>
  <c r="GC49" i="67" s="1"/>
  <c r="FX49" i="67"/>
  <c r="FY49" i="67" s="1"/>
  <c r="FT49" i="67"/>
  <c r="FU49" i="67" s="1"/>
  <c r="GB48" i="67"/>
  <c r="GC48" i="67"/>
  <c r="FX48" i="67"/>
  <c r="FY48" i="67" s="1"/>
  <c r="FT48" i="67"/>
  <c r="FU48" i="67"/>
  <c r="GB47" i="67"/>
  <c r="GC47" i="67" s="1"/>
  <c r="FX47" i="67"/>
  <c r="FY47" i="67" s="1"/>
  <c r="FT47" i="67"/>
  <c r="FU47" i="67" s="1"/>
  <c r="GB46" i="67"/>
  <c r="GC46" i="67" s="1"/>
  <c r="FX46" i="67"/>
  <c r="FY46" i="67" s="1"/>
  <c r="FT46" i="67"/>
  <c r="FU46" i="67"/>
  <c r="GB45" i="67"/>
  <c r="GC45" i="67" s="1"/>
  <c r="FX45" i="67"/>
  <c r="FY45" i="67"/>
  <c r="FT45" i="67"/>
  <c r="FU45" i="67" s="1"/>
  <c r="GC44" i="67"/>
  <c r="FY44" i="67"/>
  <c r="FU44" i="67"/>
  <c r="GB43" i="67"/>
  <c r="GC43" i="67" s="1"/>
  <c r="FX43" i="67"/>
  <c r="FY43" i="67" s="1"/>
  <c r="FT43" i="67"/>
  <c r="FU43" i="67"/>
  <c r="GB42" i="67"/>
  <c r="GC42" i="67" s="1"/>
  <c r="FX42" i="67"/>
  <c r="FY42" i="67" s="1"/>
  <c r="FT42" i="67"/>
  <c r="FU42" i="67" s="1"/>
  <c r="GC41" i="67"/>
  <c r="FY41" i="67"/>
  <c r="FU41" i="67"/>
  <c r="GB40" i="67"/>
  <c r="GC40" i="67" s="1"/>
  <c r="FX40" i="67"/>
  <c r="FY40" i="67"/>
  <c r="FT40" i="67"/>
  <c r="FU40" i="67" s="1"/>
  <c r="GB39" i="67"/>
  <c r="GC39" i="67"/>
  <c r="FX39" i="67"/>
  <c r="FY39" i="67" s="1"/>
  <c r="FT39" i="67"/>
  <c r="FU39" i="67"/>
  <c r="GB38" i="67"/>
  <c r="GC38" i="67" s="1"/>
  <c r="FX38" i="67"/>
  <c r="FY38" i="67"/>
  <c r="FT38" i="67"/>
  <c r="FU38" i="67" s="1"/>
  <c r="GB37" i="67"/>
  <c r="GC37" i="67"/>
  <c r="FX37" i="67"/>
  <c r="FY37" i="67" s="1"/>
  <c r="FT37" i="67"/>
  <c r="FU37" i="67"/>
  <c r="GB36" i="67"/>
  <c r="GC36" i="67" s="1"/>
  <c r="FX36" i="67"/>
  <c r="FY36" i="67"/>
  <c r="FT36" i="67"/>
  <c r="FU36" i="67" s="1"/>
  <c r="GB34" i="67"/>
  <c r="GC34" i="67"/>
  <c r="FX34" i="67"/>
  <c r="FY34" i="67" s="1"/>
  <c r="FT34" i="67"/>
  <c r="FU34" i="67"/>
  <c r="GB33" i="67"/>
  <c r="GC33" i="67" s="1"/>
  <c r="FX33" i="67"/>
  <c r="FY33" i="67"/>
  <c r="FT33" i="67"/>
  <c r="FU33" i="67" s="1"/>
  <c r="GB32" i="67"/>
  <c r="GC32" i="67"/>
  <c r="FX32" i="67"/>
  <c r="FY32" i="67" s="1"/>
  <c r="FT32" i="67"/>
  <c r="FU32" i="67"/>
  <c r="GB31" i="67"/>
  <c r="GC31" i="67" s="1"/>
  <c r="FX31" i="67"/>
  <c r="FY31" i="67"/>
  <c r="FT31" i="67"/>
  <c r="FU31" i="67" s="1"/>
  <c r="GB30" i="67"/>
  <c r="GC30" i="67"/>
  <c r="FX30" i="67"/>
  <c r="FY30" i="67" s="1"/>
  <c r="FT30" i="67"/>
  <c r="FU30" i="67"/>
  <c r="GB29" i="67"/>
  <c r="GC29" i="67" s="1"/>
  <c r="FX29" i="67"/>
  <c r="FY29" i="67"/>
  <c r="FT29" i="67"/>
  <c r="FU29" i="67" s="1"/>
  <c r="GB28" i="67"/>
  <c r="GC28" i="67"/>
  <c r="FX28" i="67"/>
  <c r="FY28" i="67" s="1"/>
  <c r="FT28" i="67"/>
  <c r="FU28" i="67"/>
  <c r="GB27" i="67"/>
  <c r="GC27" i="67" s="1"/>
  <c r="FX27" i="67"/>
  <c r="FY27" i="67"/>
  <c r="FT27" i="67"/>
  <c r="FU27" i="67" s="1"/>
  <c r="GB26" i="67"/>
  <c r="GC26" i="67"/>
  <c r="FX26" i="67"/>
  <c r="FY26" i="67" s="1"/>
  <c r="FT26" i="67"/>
  <c r="FU26" i="67"/>
  <c r="GB25" i="67"/>
  <c r="GC25" i="67" s="1"/>
  <c r="FX25" i="67"/>
  <c r="FY25" i="67"/>
  <c r="FT25" i="67"/>
  <c r="FU25" i="67" s="1"/>
  <c r="GC24" i="67"/>
  <c r="FY24" i="67"/>
  <c r="FU24" i="67"/>
  <c r="GB23" i="67"/>
  <c r="GC23" i="67"/>
  <c r="FX23" i="67"/>
  <c r="FY23" i="67" s="1"/>
  <c r="FT23" i="67"/>
  <c r="FU23" i="67"/>
  <c r="GC22" i="67"/>
  <c r="GB22" i="67"/>
  <c r="FX22" i="67"/>
  <c r="FY22" i="67"/>
  <c r="FT22" i="67"/>
  <c r="FU22" i="67" s="1"/>
  <c r="GC21" i="67"/>
  <c r="FY21" i="67"/>
  <c r="FU21" i="67"/>
  <c r="GB20" i="67"/>
  <c r="GC20" i="67" s="1"/>
  <c r="FX20" i="67"/>
  <c r="FY20" i="67"/>
  <c r="FT20" i="67"/>
  <c r="FU20" i="67" s="1"/>
  <c r="GB19" i="67"/>
  <c r="GC19" i="67"/>
  <c r="FX19" i="67"/>
  <c r="FY19" i="67" s="1"/>
  <c r="FT19" i="67"/>
  <c r="FU19" i="67"/>
  <c r="GB18" i="67"/>
  <c r="GC18" i="67" s="1"/>
  <c r="FX18" i="67"/>
  <c r="FY18" i="67"/>
  <c r="FT18" i="67"/>
  <c r="FU18" i="67" s="1"/>
  <c r="GB17" i="67"/>
  <c r="GC17" i="67"/>
  <c r="FX17" i="67"/>
  <c r="FY17" i="67" s="1"/>
  <c r="FT17" i="67"/>
  <c r="FU17" i="67"/>
  <c r="GB16" i="67"/>
  <c r="GC16" i="67" s="1"/>
  <c r="FX16" i="67"/>
  <c r="FY16" i="67"/>
  <c r="FT16" i="67"/>
  <c r="FU16" i="67" s="1"/>
  <c r="GB15" i="67"/>
  <c r="GC15" i="67"/>
  <c r="FX15" i="67"/>
  <c r="FY15" i="67" s="1"/>
  <c r="FT15" i="67"/>
  <c r="FU15" i="67"/>
  <c r="GC14" i="67"/>
  <c r="FY14" i="67"/>
  <c r="FU14" i="67"/>
  <c r="GB13" i="67"/>
  <c r="GC13" i="67" s="1"/>
  <c r="FX13" i="67"/>
  <c r="FY13" i="67"/>
  <c r="FT13" i="67"/>
  <c r="FU13" i="67" s="1"/>
  <c r="GB12" i="67"/>
  <c r="GC12" i="67" s="1"/>
  <c r="FY12" i="67"/>
  <c r="FX12" i="67"/>
  <c r="FT12" i="67"/>
  <c r="FU12" i="67"/>
  <c r="GB11" i="67"/>
  <c r="GC11" i="67" s="1"/>
  <c r="FX11" i="67"/>
  <c r="FY11" i="67"/>
  <c r="FU11" i="67"/>
  <c r="FT11" i="67"/>
  <c r="GB10" i="67"/>
  <c r="GC10" i="67"/>
  <c r="FX10" i="67"/>
  <c r="FY10" i="67" s="1"/>
  <c r="FT10" i="67"/>
  <c r="FU10" i="67"/>
  <c r="GC9" i="67"/>
  <c r="GB9" i="67"/>
  <c r="FX9" i="67"/>
  <c r="FY9" i="67"/>
  <c r="FT9" i="67"/>
  <c r="FU9" i="67" s="1"/>
  <c r="GB8" i="67"/>
  <c r="GC8" i="67"/>
  <c r="FY8" i="67"/>
  <c r="FX8" i="67"/>
  <c r="FT8" i="67"/>
  <c r="FU8" i="67"/>
  <c r="GA7" i="67"/>
  <c r="FZ7" i="67"/>
  <c r="FW7" i="67"/>
  <c r="FV7" i="67"/>
  <c r="FS7" i="67"/>
  <c r="FR7" i="67"/>
  <c r="FH68" i="67"/>
  <c r="FI68" i="67"/>
  <c r="FL68" i="67"/>
  <c r="FM68" i="67" s="1"/>
  <c r="FH69" i="67"/>
  <c r="FI69" i="67"/>
  <c r="FL69" i="67"/>
  <c r="FM69" i="67" s="1"/>
  <c r="FQ81" i="67"/>
  <c r="FM81" i="67"/>
  <c r="FI81" i="67"/>
  <c r="FQ80" i="67"/>
  <c r="FM80" i="67"/>
  <c r="FI80" i="67"/>
  <c r="FP79" i="67"/>
  <c r="FQ79" i="67" s="1"/>
  <c r="FL79" i="67"/>
  <c r="FM79" i="67"/>
  <c r="FH79" i="67"/>
  <c r="FI79" i="67" s="1"/>
  <c r="FQ78" i="67"/>
  <c r="FM78" i="67"/>
  <c r="FI78" i="67"/>
  <c r="FP77" i="67"/>
  <c r="FQ77" i="67" s="1"/>
  <c r="FL77" i="67"/>
  <c r="FM77" i="67"/>
  <c r="FH77" i="67"/>
  <c r="FI77" i="67" s="1"/>
  <c r="FP76" i="67"/>
  <c r="FQ76" i="67"/>
  <c r="FL76" i="67"/>
  <c r="FM76" i="67" s="1"/>
  <c r="FH76" i="67"/>
  <c r="FI76" i="67"/>
  <c r="FP75" i="67"/>
  <c r="FQ75" i="67" s="1"/>
  <c r="FL75" i="67"/>
  <c r="FM75" i="67"/>
  <c r="FH75" i="67"/>
  <c r="FI75" i="67" s="1"/>
  <c r="FP74" i="67"/>
  <c r="FQ74" i="67"/>
  <c r="FL74" i="67"/>
  <c r="FM74" i="67" s="1"/>
  <c r="FH74" i="67"/>
  <c r="FI74" i="67"/>
  <c r="FP73" i="67"/>
  <c r="FQ73" i="67" s="1"/>
  <c r="FL73" i="67"/>
  <c r="FM73" i="67"/>
  <c r="FH73" i="67"/>
  <c r="FI73" i="67" s="1"/>
  <c r="FP72" i="67"/>
  <c r="FQ72" i="67"/>
  <c r="FL72" i="67"/>
  <c r="FM72" i="67" s="1"/>
  <c r="FH72" i="67"/>
  <c r="FI72" i="67"/>
  <c r="FP71" i="67"/>
  <c r="FQ71" i="67" s="1"/>
  <c r="FL71" i="67"/>
  <c r="FM71" i="67"/>
  <c r="FH71" i="67"/>
  <c r="FI71" i="67" s="1"/>
  <c r="FP70" i="67"/>
  <c r="FQ70" i="67"/>
  <c r="FL70" i="67"/>
  <c r="FM70" i="67" s="1"/>
  <c r="FH70" i="67"/>
  <c r="FI70" i="67"/>
  <c r="FP69" i="67"/>
  <c r="FQ69" i="67" s="1"/>
  <c r="FP68" i="67"/>
  <c r="FQ68" i="67"/>
  <c r="FP67" i="67"/>
  <c r="FQ67" i="67" s="1"/>
  <c r="FL67" i="67"/>
  <c r="FM67" i="67"/>
  <c r="FH67" i="67"/>
  <c r="FI67" i="67" s="1"/>
  <c r="FP66" i="67"/>
  <c r="FQ66" i="67"/>
  <c r="FL66" i="67"/>
  <c r="FM66" i="67" s="1"/>
  <c r="FH66" i="67"/>
  <c r="FI66" i="67"/>
  <c r="FP65" i="67"/>
  <c r="FQ65" i="67" s="1"/>
  <c r="FL65" i="67"/>
  <c r="FM65" i="67"/>
  <c r="FH65" i="67"/>
  <c r="FI65" i="67" s="1"/>
  <c r="FP64" i="67"/>
  <c r="FQ64" i="67"/>
  <c r="FL64" i="67"/>
  <c r="FM64" i="67" s="1"/>
  <c r="FH64" i="67"/>
  <c r="FI64" i="67"/>
  <c r="FP63" i="67"/>
  <c r="FQ63" i="67" s="1"/>
  <c r="FL63" i="67"/>
  <c r="FM63" i="67"/>
  <c r="FH63" i="67"/>
  <c r="FI63" i="67" s="1"/>
  <c r="FP62" i="67"/>
  <c r="FQ62" i="67"/>
  <c r="FL62" i="67"/>
  <c r="FM62" i="67" s="1"/>
  <c r="FH62" i="67"/>
  <c r="FI62" i="67"/>
  <c r="FP61" i="67"/>
  <c r="FQ61" i="67" s="1"/>
  <c r="FL61" i="67"/>
  <c r="FM61" i="67"/>
  <c r="FH61" i="67"/>
  <c r="FI61" i="67" s="1"/>
  <c r="FP60" i="67"/>
  <c r="FQ60" i="67"/>
  <c r="FL60" i="67"/>
  <c r="FM60" i="67" s="1"/>
  <c r="FH60" i="67"/>
  <c r="FI60" i="67"/>
  <c r="FP59" i="67"/>
  <c r="FQ59" i="67" s="1"/>
  <c r="FL59" i="67"/>
  <c r="FM59" i="67"/>
  <c r="FH59" i="67"/>
  <c r="FI59" i="67" s="1"/>
  <c r="FP58" i="67"/>
  <c r="FQ58" i="67"/>
  <c r="FL58" i="67"/>
  <c r="FM58" i="67" s="1"/>
  <c r="FH58" i="67"/>
  <c r="FI58" i="67"/>
  <c r="FP57" i="67"/>
  <c r="FQ57" i="67" s="1"/>
  <c r="FL57" i="67"/>
  <c r="FM57" i="67"/>
  <c r="FH57" i="67"/>
  <c r="FI57" i="67" s="1"/>
  <c r="FP56" i="67"/>
  <c r="FQ56" i="67"/>
  <c r="FL56" i="67"/>
  <c r="FM56" i="67" s="1"/>
  <c r="FH56" i="67"/>
  <c r="FI56" i="67"/>
  <c r="FP55" i="67"/>
  <c r="FQ55" i="67" s="1"/>
  <c r="FL55" i="67"/>
  <c r="FM55" i="67"/>
  <c r="FH55" i="67"/>
  <c r="FI55" i="67" s="1"/>
  <c r="FP54" i="67"/>
  <c r="FQ54" i="67"/>
  <c r="FL54" i="67"/>
  <c r="FM54" i="67" s="1"/>
  <c r="FH54" i="67"/>
  <c r="FI54" i="67"/>
  <c r="FP53" i="67"/>
  <c r="FQ53" i="67" s="1"/>
  <c r="FL53" i="67"/>
  <c r="FM53" i="67"/>
  <c r="FH53" i="67"/>
  <c r="FI53" i="67" s="1"/>
  <c r="FP52" i="67"/>
  <c r="FQ52" i="67"/>
  <c r="FL52" i="67"/>
  <c r="FM52" i="67" s="1"/>
  <c r="FH52" i="67"/>
  <c r="FI52" i="67"/>
  <c r="FP51" i="67"/>
  <c r="FQ51" i="67" s="1"/>
  <c r="FL51" i="67"/>
  <c r="FM51" i="67"/>
  <c r="FH51" i="67"/>
  <c r="FI51" i="67" s="1"/>
  <c r="FP50" i="67"/>
  <c r="FQ50" i="67"/>
  <c r="FL50" i="67"/>
  <c r="FM50" i="67" s="1"/>
  <c r="FH50" i="67"/>
  <c r="FI50" i="67"/>
  <c r="FP49" i="67"/>
  <c r="FQ49" i="67" s="1"/>
  <c r="FL49" i="67"/>
  <c r="FM49" i="67"/>
  <c r="FH49" i="67"/>
  <c r="FI49" i="67" s="1"/>
  <c r="FP48" i="67"/>
  <c r="FQ48" i="67"/>
  <c r="FL48" i="67"/>
  <c r="FM48" i="67" s="1"/>
  <c r="FH48" i="67"/>
  <c r="FI48" i="67"/>
  <c r="FP47" i="67"/>
  <c r="FQ47" i="67" s="1"/>
  <c r="FL47" i="67"/>
  <c r="FM47" i="67"/>
  <c r="FH47" i="67"/>
  <c r="FI47" i="67" s="1"/>
  <c r="FP46" i="67"/>
  <c r="FQ46" i="67"/>
  <c r="FL46" i="67"/>
  <c r="FM46" i="67" s="1"/>
  <c r="FH46" i="67"/>
  <c r="FI46" i="67"/>
  <c r="FP45" i="67"/>
  <c r="FQ45" i="67" s="1"/>
  <c r="FL45" i="67"/>
  <c r="FM45" i="67"/>
  <c r="FH45" i="67"/>
  <c r="FI45" i="67" s="1"/>
  <c r="FQ44" i="67"/>
  <c r="FM44" i="67"/>
  <c r="FI44" i="67"/>
  <c r="FP43" i="67"/>
  <c r="FQ43" i="67"/>
  <c r="FL43" i="67"/>
  <c r="FM43" i="67" s="1"/>
  <c r="FH43" i="67"/>
  <c r="FI43" i="67"/>
  <c r="FP42" i="67"/>
  <c r="FQ42" i="67" s="1"/>
  <c r="FL42" i="67"/>
  <c r="FM42" i="67"/>
  <c r="FH42" i="67"/>
  <c r="FI42" i="67" s="1"/>
  <c r="FQ41" i="67"/>
  <c r="FM41" i="67"/>
  <c r="FI41" i="67"/>
  <c r="FP40" i="67"/>
  <c r="FQ40" i="67" s="1"/>
  <c r="FL40" i="67"/>
  <c r="FM40" i="67"/>
  <c r="FH40" i="67"/>
  <c r="FI40" i="67" s="1"/>
  <c r="FP39" i="67"/>
  <c r="FQ39" i="67"/>
  <c r="FL39" i="67"/>
  <c r="FM39" i="67" s="1"/>
  <c r="FH39" i="67"/>
  <c r="FI39" i="67"/>
  <c r="FP38" i="67"/>
  <c r="FQ38" i="67" s="1"/>
  <c r="FL38" i="67"/>
  <c r="FM38" i="67"/>
  <c r="FH38" i="67"/>
  <c r="FI38" i="67" s="1"/>
  <c r="FP37" i="67"/>
  <c r="FQ37" i="67"/>
  <c r="FL37" i="67"/>
  <c r="FM37" i="67" s="1"/>
  <c r="FH37" i="67"/>
  <c r="FI37" i="67"/>
  <c r="FP36" i="67"/>
  <c r="FQ36" i="67" s="1"/>
  <c r="FL36" i="67"/>
  <c r="FM36" i="67"/>
  <c r="FH36" i="67"/>
  <c r="FI36" i="67" s="1"/>
  <c r="FP34" i="67"/>
  <c r="FQ34" i="67"/>
  <c r="FL34" i="67"/>
  <c r="FM34" i="67" s="1"/>
  <c r="FH34" i="67"/>
  <c r="FI34" i="67"/>
  <c r="FP33" i="67"/>
  <c r="FQ33" i="67" s="1"/>
  <c r="FL33" i="67"/>
  <c r="FM33" i="67"/>
  <c r="FH33" i="67"/>
  <c r="FI33" i="67" s="1"/>
  <c r="FP32" i="67"/>
  <c r="FQ32" i="67"/>
  <c r="FL32" i="67"/>
  <c r="FM32" i="67" s="1"/>
  <c r="FH32" i="67"/>
  <c r="FI32" i="67"/>
  <c r="FP31" i="67"/>
  <c r="FQ31" i="67" s="1"/>
  <c r="FL31" i="67"/>
  <c r="FM31" i="67"/>
  <c r="FH31" i="67"/>
  <c r="FI31" i="67" s="1"/>
  <c r="FP30" i="67"/>
  <c r="FQ30" i="67"/>
  <c r="FL30" i="67"/>
  <c r="FM30" i="67" s="1"/>
  <c r="FH30" i="67"/>
  <c r="FI30" i="67"/>
  <c r="FP29" i="67"/>
  <c r="FQ29" i="67" s="1"/>
  <c r="FL29" i="67"/>
  <c r="FM29" i="67"/>
  <c r="FH29" i="67"/>
  <c r="FI29" i="67" s="1"/>
  <c r="FP28" i="67"/>
  <c r="FQ28" i="67"/>
  <c r="FL28" i="67"/>
  <c r="FM28" i="67" s="1"/>
  <c r="FH28" i="67"/>
  <c r="FI28" i="67"/>
  <c r="FP27" i="67"/>
  <c r="FQ27" i="67" s="1"/>
  <c r="FL27" i="67"/>
  <c r="FM27" i="67"/>
  <c r="FH27" i="67"/>
  <c r="FI27" i="67" s="1"/>
  <c r="FP26" i="67"/>
  <c r="FQ26" i="67"/>
  <c r="FL26" i="67"/>
  <c r="FM26" i="67" s="1"/>
  <c r="FH26" i="67"/>
  <c r="FI26" i="67"/>
  <c r="FP25" i="67"/>
  <c r="FQ25" i="67" s="1"/>
  <c r="FL25" i="67"/>
  <c r="FM25" i="67"/>
  <c r="FH25" i="67"/>
  <c r="FI25" i="67" s="1"/>
  <c r="FQ24" i="67"/>
  <c r="FM24" i="67"/>
  <c r="FI24" i="67"/>
  <c r="FP23" i="67"/>
  <c r="FQ23" i="67"/>
  <c r="FL23" i="67"/>
  <c r="FM23" i="67" s="1"/>
  <c r="FH23" i="67"/>
  <c r="FI23" i="67"/>
  <c r="FP22" i="67"/>
  <c r="FQ22" i="67" s="1"/>
  <c r="FL22" i="67"/>
  <c r="FM22" i="67"/>
  <c r="FH22" i="67"/>
  <c r="FI22" i="67" s="1"/>
  <c r="FQ21" i="67"/>
  <c r="FM21" i="67"/>
  <c r="FI21" i="67"/>
  <c r="FP20" i="67"/>
  <c r="FQ20" i="67" s="1"/>
  <c r="FL20" i="67"/>
  <c r="FM20" i="67"/>
  <c r="FH20" i="67"/>
  <c r="FI20" i="67" s="1"/>
  <c r="FP19" i="67"/>
  <c r="FQ19" i="67"/>
  <c r="FL19" i="67"/>
  <c r="FM19" i="67" s="1"/>
  <c r="FH19" i="67"/>
  <c r="FI19" i="67"/>
  <c r="FP18" i="67"/>
  <c r="FQ18" i="67" s="1"/>
  <c r="FL18" i="67"/>
  <c r="FM18" i="67"/>
  <c r="FH18" i="67"/>
  <c r="FI18" i="67" s="1"/>
  <c r="FP17" i="67"/>
  <c r="FQ17" i="67"/>
  <c r="FL17" i="67"/>
  <c r="FM17" i="67" s="1"/>
  <c r="FH17" i="67"/>
  <c r="FI17" i="67"/>
  <c r="FP16" i="67"/>
  <c r="FQ16" i="67" s="1"/>
  <c r="FL16" i="67"/>
  <c r="FM16" i="67"/>
  <c r="FH16" i="67"/>
  <c r="FI16" i="67" s="1"/>
  <c r="FP15" i="67"/>
  <c r="FQ15" i="67"/>
  <c r="FL15" i="67"/>
  <c r="FM15" i="67" s="1"/>
  <c r="FH15" i="67"/>
  <c r="FI15" i="67"/>
  <c r="FQ14" i="67"/>
  <c r="FM14" i="67"/>
  <c r="FI14" i="67"/>
  <c r="FP13" i="67"/>
  <c r="FQ13" i="67"/>
  <c r="FL13" i="67"/>
  <c r="FM13" i="67"/>
  <c r="FH13" i="67"/>
  <c r="FI13" i="67"/>
  <c r="FP12" i="67"/>
  <c r="FQ12" i="67"/>
  <c r="FL12" i="67"/>
  <c r="FM12" i="67"/>
  <c r="FH12" i="67"/>
  <c r="FI12" i="67"/>
  <c r="FP11" i="67"/>
  <c r="FQ11" i="67"/>
  <c r="FL11" i="67"/>
  <c r="FM11" i="67"/>
  <c r="FH11" i="67"/>
  <c r="FI11" i="67"/>
  <c r="FP10" i="67"/>
  <c r="FQ10" i="67"/>
  <c r="FL10" i="67"/>
  <c r="FM10" i="67"/>
  <c r="FH10" i="67"/>
  <c r="FI10" i="67"/>
  <c r="FP9" i="67"/>
  <c r="FQ9" i="67"/>
  <c r="FL9" i="67"/>
  <c r="FM9" i="67"/>
  <c r="FH9" i="67"/>
  <c r="FI9" i="67"/>
  <c r="FP8" i="67"/>
  <c r="FQ8" i="67"/>
  <c r="FL8" i="67"/>
  <c r="FM8" i="67"/>
  <c r="FH8" i="67"/>
  <c r="FI8" i="67"/>
  <c r="FO7" i="67"/>
  <c r="FN7" i="67"/>
  <c r="FK7" i="67"/>
  <c r="FJ7" i="67"/>
  <c r="FG7" i="67"/>
  <c r="FF7" i="67"/>
  <c r="EV67" i="67"/>
  <c r="EW67" i="67"/>
  <c r="EZ67" i="67"/>
  <c r="FA67" i="67"/>
  <c r="EV68" i="67"/>
  <c r="EW68" i="67"/>
  <c r="EZ68" i="67"/>
  <c r="FA68" i="67"/>
  <c r="FE81" i="67"/>
  <c r="FA81" i="67"/>
  <c r="EW81" i="67"/>
  <c r="FE80" i="67"/>
  <c r="FA80" i="67"/>
  <c r="EW80" i="67"/>
  <c r="FD79" i="67"/>
  <c r="FE79" i="67"/>
  <c r="EZ79" i="67"/>
  <c r="FA79" i="67" s="1"/>
  <c r="EV79" i="67"/>
  <c r="EW79" i="67" s="1"/>
  <c r="FE78" i="67"/>
  <c r="FA78" i="67"/>
  <c r="EW78" i="67"/>
  <c r="FD77" i="67"/>
  <c r="FE77" i="67" s="1"/>
  <c r="EZ77" i="67"/>
  <c r="FA77" i="67" s="1"/>
  <c r="EV77" i="67"/>
  <c r="EW77" i="67" s="1"/>
  <c r="FD76" i="67"/>
  <c r="FE76" i="67"/>
  <c r="EZ76" i="67"/>
  <c r="FA76" i="67" s="1"/>
  <c r="EV76" i="67"/>
  <c r="EW76" i="67" s="1"/>
  <c r="FD75" i="67"/>
  <c r="FE75" i="67" s="1"/>
  <c r="EZ75" i="67"/>
  <c r="FA75" i="67"/>
  <c r="EV75" i="67"/>
  <c r="EW75" i="67" s="1"/>
  <c r="FD74" i="67"/>
  <c r="FE74" i="67" s="1"/>
  <c r="EZ74" i="67"/>
  <c r="FA74" i="67" s="1"/>
  <c r="EV74" i="67"/>
  <c r="EW74" i="67"/>
  <c r="FD73" i="67"/>
  <c r="FE73" i="67" s="1"/>
  <c r="EZ73" i="67"/>
  <c r="FA73" i="67" s="1"/>
  <c r="EV73" i="67"/>
  <c r="EW73" i="67" s="1"/>
  <c r="FD72" i="67"/>
  <c r="FE72" i="67"/>
  <c r="EZ72" i="67"/>
  <c r="FA72" i="67" s="1"/>
  <c r="EV72" i="67"/>
  <c r="EW72" i="67" s="1"/>
  <c r="FD71" i="67"/>
  <c r="FE71" i="67" s="1"/>
  <c r="EZ71" i="67"/>
  <c r="FA71" i="67"/>
  <c r="EV71" i="67"/>
  <c r="EW71" i="67" s="1"/>
  <c r="FD70" i="67"/>
  <c r="FE70" i="67" s="1"/>
  <c r="EZ70" i="67"/>
  <c r="FA70" i="67" s="1"/>
  <c r="EV70" i="67"/>
  <c r="EW70" i="67"/>
  <c r="FD69" i="67"/>
  <c r="FE69" i="67" s="1"/>
  <c r="EZ69" i="67"/>
  <c r="FA69" i="67" s="1"/>
  <c r="EV69" i="67"/>
  <c r="EW69" i="67" s="1"/>
  <c r="FD68" i="67"/>
  <c r="FE68" i="67"/>
  <c r="FD67" i="67"/>
  <c r="FE67" i="67" s="1"/>
  <c r="FD66" i="67"/>
  <c r="FE66" i="67" s="1"/>
  <c r="EZ66" i="67"/>
  <c r="FA66" i="67" s="1"/>
  <c r="EV66" i="67"/>
  <c r="EW66" i="67"/>
  <c r="FD65" i="67"/>
  <c r="FE65" i="67" s="1"/>
  <c r="EZ65" i="67"/>
  <c r="FA65" i="67" s="1"/>
  <c r="EV65" i="67"/>
  <c r="EW65" i="67" s="1"/>
  <c r="FD64" i="67"/>
  <c r="FE64" i="67"/>
  <c r="EZ64" i="67"/>
  <c r="FA64" i="67" s="1"/>
  <c r="EV64" i="67"/>
  <c r="EW64" i="67" s="1"/>
  <c r="FD63" i="67"/>
  <c r="FE63" i="67" s="1"/>
  <c r="EZ63" i="67"/>
  <c r="FA63" i="67"/>
  <c r="EV63" i="67"/>
  <c r="EW63" i="67" s="1"/>
  <c r="FD62" i="67"/>
  <c r="FE62" i="67" s="1"/>
  <c r="EZ62" i="67"/>
  <c r="FA62" i="67" s="1"/>
  <c r="EV62" i="67"/>
  <c r="EW62" i="67"/>
  <c r="FE61" i="67"/>
  <c r="FD61" i="67"/>
  <c r="EZ61" i="67"/>
  <c r="FA61" i="67"/>
  <c r="EV61" i="67"/>
  <c r="EW61" i="67" s="1"/>
  <c r="FD60" i="67"/>
  <c r="FE60" i="67" s="1"/>
  <c r="EZ60" i="67"/>
  <c r="FA60" i="67" s="1"/>
  <c r="EV60" i="67"/>
  <c r="EW60" i="67"/>
  <c r="FD59" i="67"/>
  <c r="FE59" i="67" s="1"/>
  <c r="EZ59" i="67"/>
  <c r="FA59" i="67" s="1"/>
  <c r="EV59" i="67"/>
  <c r="EW59" i="67" s="1"/>
  <c r="FD58" i="67"/>
  <c r="FE58" i="67"/>
  <c r="EZ58" i="67"/>
  <c r="FA58" i="67" s="1"/>
  <c r="EV58" i="67"/>
  <c r="EW58" i="67" s="1"/>
  <c r="FD57" i="67"/>
  <c r="FE57" i="67" s="1"/>
  <c r="EZ57" i="67"/>
  <c r="FA57" i="67"/>
  <c r="EV57" i="67"/>
  <c r="EW57" i="67" s="1"/>
  <c r="FD56" i="67"/>
  <c r="FE56" i="67" s="1"/>
  <c r="EZ56" i="67"/>
  <c r="FA56" i="67" s="1"/>
  <c r="EV56" i="67"/>
  <c r="EW56" i="67"/>
  <c r="FD55" i="67"/>
  <c r="FE55" i="67" s="1"/>
  <c r="EZ55" i="67"/>
  <c r="FA55" i="67" s="1"/>
  <c r="EV55" i="67"/>
  <c r="EW55" i="67" s="1"/>
  <c r="FD54" i="67"/>
  <c r="FE54" i="67"/>
  <c r="EZ54" i="67"/>
  <c r="FA54" i="67" s="1"/>
  <c r="EV54" i="67"/>
  <c r="EW54" i="67" s="1"/>
  <c r="FD53" i="67"/>
  <c r="FE53" i="67" s="1"/>
  <c r="EZ53" i="67"/>
  <c r="FA53" i="67"/>
  <c r="EV53" i="67"/>
  <c r="EW53" i="67" s="1"/>
  <c r="FD52" i="67"/>
  <c r="FE52" i="67" s="1"/>
  <c r="EZ52" i="67"/>
  <c r="FA52" i="67" s="1"/>
  <c r="EV52" i="67"/>
  <c r="EW52" i="67"/>
  <c r="FD51" i="67"/>
  <c r="FE51" i="67" s="1"/>
  <c r="EZ51" i="67"/>
  <c r="FA51" i="67" s="1"/>
  <c r="EV51" i="67"/>
  <c r="EW51" i="67" s="1"/>
  <c r="FD50" i="67"/>
  <c r="FE50" i="67"/>
  <c r="EZ50" i="67"/>
  <c r="FA50" i="67" s="1"/>
  <c r="EV50" i="67"/>
  <c r="EW50" i="67" s="1"/>
  <c r="FD49" i="67"/>
  <c r="FE49" i="67" s="1"/>
  <c r="EZ49" i="67"/>
  <c r="FA49" i="67"/>
  <c r="EV49" i="67"/>
  <c r="EW49" i="67" s="1"/>
  <c r="FD48" i="67"/>
  <c r="FE48" i="67" s="1"/>
  <c r="EZ48" i="67"/>
  <c r="FA48" i="67" s="1"/>
  <c r="EV48" i="67"/>
  <c r="EW48" i="67"/>
  <c r="FD47" i="67"/>
  <c r="FE47" i="67"/>
  <c r="EZ47" i="67"/>
  <c r="FA47" i="67"/>
  <c r="EV47" i="67"/>
  <c r="EW47" i="67"/>
  <c r="FD46" i="67"/>
  <c r="FE46" i="67"/>
  <c r="EZ46" i="67"/>
  <c r="FA46" i="67"/>
  <c r="EV46" i="67"/>
  <c r="EW46" i="67"/>
  <c r="FD45" i="67"/>
  <c r="FE45" i="67"/>
  <c r="EZ45" i="67"/>
  <c r="FA45" i="67"/>
  <c r="EV45" i="67"/>
  <c r="EW45" i="67"/>
  <c r="FE44" i="67"/>
  <c r="FA44" i="67"/>
  <c r="EW44" i="67"/>
  <c r="FE43" i="67"/>
  <c r="FD43" i="67"/>
  <c r="EZ43" i="67"/>
  <c r="FA43" i="67" s="1"/>
  <c r="EV43" i="67"/>
  <c r="EW43" i="67" s="1"/>
  <c r="FD42" i="67"/>
  <c r="FE42" i="67" s="1"/>
  <c r="FA42" i="67"/>
  <c r="EZ42" i="67"/>
  <c r="EV42" i="67"/>
  <c r="EW42" i="67" s="1"/>
  <c r="FE41" i="67"/>
  <c r="FA41" i="67"/>
  <c r="EW41" i="67"/>
  <c r="FD40" i="67"/>
  <c r="FE40" i="67"/>
  <c r="EZ40" i="67"/>
  <c r="FA40" i="67"/>
  <c r="EV40" i="67"/>
  <c r="EW40" i="67"/>
  <c r="FD39" i="67"/>
  <c r="FE39" i="67"/>
  <c r="EZ39" i="67"/>
  <c r="FA39" i="67"/>
  <c r="EV39" i="67"/>
  <c r="EW39" i="67"/>
  <c r="FD38" i="67"/>
  <c r="FE38" i="67"/>
  <c r="EZ38" i="67"/>
  <c r="FA38" i="67"/>
  <c r="EV38" i="67"/>
  <c r="EW38" i="67"/>
  <c r="FD37" i="67"/>
  <c r="FE37" i="67"/>
  <c r="EZ37" i="67"/>
  <c r="FA37" i="67"/>
  <c r="EV37" i="67"/>
  <c r="EW37" i="67"/>
  <c r="FD36" i="67"/>
  <c r="FE36" i="67"/>
  <c r="EZ36" i="67"/>
  <c r="FA36" i="67"/>
  <c r="EV36" i="67"/>
  <c r="EW36" i="67"/>
  <c r="FD34" i="67"/>
  <c r="FE34" i="67"/>
  <c r="EZ34" i="67"/>
  <c r="FA34" i="67"/>
  <c r="EV34" i="67"/>
  <c r="EW34" i="67"/>
  <c r="FD33" i="67"/>
  <c r="FE33" i="67"/>
  <c r="EZ33" i="67"/>
  <c r="FA33" i="67"/>
  <c r="EV33" i="67"/>
  <c r="EW33" i="67"/>
  <c r="FD32" i="67"/>
  <c r="FE32" i="67"/>
  <c r="EZ32" i="67"/>
  <c r="FA32" i="67"/>
  <c r="EV32" i="67"/>
  <c r="EW32" i="67"/>
  <c r="FD31" i="67"/>
  <c r="FE31" i="67"/>
  <c r="EZ31" i="67"/>
  <c r="FA31" i="67"/>
  <c r="EV31" i="67"/>
  <c r="EW31" i="67"/>
  <c r="FD30" i="67"/>
  <c r="FE30" i="67"/>
  <c r="EZ30" i="67"/>
  <c r="FA30" i="67"/>
  <c r="EV30" i="67"/>
  <c r="EW30" i="67"/>
  <c r="FD29" i="67"/>
  <c r="FE29" i="67"/>
  <c r="EZ29" i="67"/>
  <c r="FA29" i="67"/>
  <c r="EV29" i="67"/>
  <c r="EW29" i="67"/>
  <c r="FD28" i="67"/>
  <c r="FE28" i="67"/>
  <c r="EZ28" i="67"/>
  <c r="FA28" i="67"/>
  <c r="EV28" i="67"/>
  <c r="EW28" i="67"/>
  <c r="FD27" i="67"/>
  <c r="FE27" i="67"/>
  <c r="EZ27" i="67"/>
  <c r="FA27" i="67"/>
  <c r="EV27" i="67"/>
  <c r="EW27" i="67"/>
  <c r="FD26" i="67"/>
  <c r="FE26" i="67"/>
  <c r="EZ26" i="67"/>
  <c r="FA26" i="67"/>
  <c r="EV26" i="67"/>
  <c r="EW26" i="67"/>
  <c r="FD25" i="67"/>
  <c r="FE25" i="67"/>
  <c r="EZ25" i="67"/>
  <c r="FA25" i="67"/>
  <c r="EV25" i="67"/>
  <c r="EW25" i="67"/>
  <c r="FE24" i="67"/>
  <c r="FA24" i="67"/>
  <c r="EW24" i="67"/>
  <c r="FD23" i="67"/>
  <c r="FE23" i="67" s="1"/>
  <c r="EZ23" i="67"/>
  <c r="FA23" i="67" s="1"/>
  <c r="EV23" i="67"/>
  <c r="EW23" i="67" s="1"/>
  <c r="FE22" i="67"/>
  <c r="FD22" i="67"/>
  <c r="EZ22" i="67"/>
  <c r="FA22" i="67" s="1"/>
  <c r="EV22" i="67"/>
  <c r="EW22" i="67" s="1"/>
  <c r="FE21" i="67"/>
  <c r="FA21" i="67"/>
  <c r="EW21" i="67"/>
  <c r="FD20" i="67"/>
  <c r="FE20" i="67"/>
  <c r="EZ20" i="67"/>
  <c r="FA20" i="67"/>
  <c r="EV20" i="67"/>
  <c r="EW20" i="67"/>
  <c r="FD19" i="67"/>
  <c r="FE19" i="67"/>
  <c r="EZ19" i="67"/>
  <c r="FA19" i="67"/>
  <c r="EV19" i="67"/>
  <c r="EW19" i="67"/>
  <c r="FD18" i="67"/>
  <c r="FE18" i="67"/>
  <c r="EZ18" i="67"/>
  <c r="FA18" i="67"/>
  <c r="EV18" i="67"/>
  <c r="EW18" i="67"/>
  <c r="FD17" i="67"/>
  <c r="FE17" i="67"/>
  <c r="EZ17" i="67"/>
  <c r="FA17" i="67"/>
  <c r="EV17" i="67"/>
  <c r="EW17" i="67"/>
  <c r="FD16" i="67"/>
  <c r="FE16" i="67"/>
  <c r="EZ16" i="67"/>
  <c r="FA16" i="67"/>
  <c r="EV16" i="67"/>
  <c r="EW16" i="67"/>
  <c r="FD15" i="67"/>
  <c r="FE15" i="67"/>
  <c r="EZ15" i="67"/>
  <c r="FA15" i="67"/>
  <c r="EV15" i="67"/>
  <c r="EW15" i="67"/>
  <c r="FE14" i="67"/>
  <c r="FA14" i="67"/>
  <c r="EW14" i="67"/>
  <c r="FD13" i="67"/>
  <c r="FE13" i="67" s="1"/>
  <c r="EZ13" i="67"/>
  <c r="FA13" i="67" s="1"/>
  <c r="EV13" i="67"/>
  <c r="EW13" i="67" s="1"/>
  <c r="FD12" i="67"/>
  <c r="FE12" i="67" s="1"/>
  <c r="FA12" i="67"/>
  <c r="EZ12" i="67"/>
  <c r="EV12" i="67"/>
  <c r="EW12" i="67" s="1"/>
  <c r="FD11" i="67"/>
  <c r="FE11" i="67" s="1"/>
  <c r="EZ11" i="67"/>
  <c r="FA11" i="67" s="1"/>
  <c r="EW11" i="67"/>
  <c r="EV11" i="67"/>
  <c r="FD10" i="67"/>
  <c r="FE10" i="67" s="1"/>
  <c r="EZ10" i="67"/>
  <c r="FA10" i="67" s="1"/>
  <c r="EV10" i="67"/>
  <c r="EW10" i="67" s="1"/>
  <c r="FE9" i="67"/>
  <c r="FD9" i="67"/>
  <c r="EZ9" i="67"/>
  <c r="FA9" i="67" s="1"/>
  <c r="EV9" i="67"/>
  <c r="EW9" i="67" s="1"/>
  <c r="FD8" i="67"/>
  <c r="FE8" i="67" s="1"/>
  <c r="FA8" i="67"/>
  <c r="EZ8" i="67"/>
  <c r="EV8" i="67"/>
  <c r="EW8" i="67" s="1"/>
  <c r="FC7" i="67"/>
  <c r="FB7" i="67"/>
  <c r="EY7" i="67"/>
  <c r="EX7" i="67"/>
  <c r="EU7" i="67"/>
  <c r="ET7" i="67"/>
  <c r="EN66" i="67"/>
  <c r="EO66" i="67" s="1"/>
  <c r="EJ66" i="67"/>
  <c r="EK66" i="67" s="1"/>
  <c r="EN67" i="67"/>
  <c r="EO67" i="67" s="1"/>
  <c r="EJ67" i="67"/>
  <c r="EK67" i="67" s="1"/>
  <c r="ES81" i="67"/>
  <c r="EO81" i="67"/>
  <c r="EK81" i="67"/>
  <c r="ES80" i="67"/>
  <c r="EO80" i="67"/>
  <c r="EK80" i="67"/>
  <c r="ER79" i="67"/>
  <c r="ES79" i="67" s="1"/>
  <c r="EN79" i="67"/>
  <c r="EO79" i="67" s="1"/>
  <c r="EK79" i="67"/>
  <c r="EJ79" i="67"/>
  <c r="ES78" i="67"/>
  <c r="EO78" i="67"/>
  <c r="EK78" i="67"/>
  <c r="ER77" i="67"/>
  <c r="ES77" i="67"/>
  <c r="EN77" i="67"/>
  <c r="EO77" i="67"/>
  <c r="EJ77" i="67"/>
  <c r="EK77" i="67"/>
  <c r="ER76" i="67"/>
  <c r="ES76" i="67"/>
  <c r="EN76" i="67"/>
  <c r="EO76" i="67"/>
  <c r="EJ76" i="67"/>
  <c r="EK76" i="67"/>
  <c r="ER75" i="67"/>
  <c r="ES75" i="67"/>
  <c r="EN75" i="67"/>
  <c r="EO75" i="67"/>
  <c r="EJ75" i="67"/>
  <c r="EK75" i="67"/>
  <c r="ER74" i="67"/>
  <c r="ES74" i="67"/>
  <c r="EN74" i="67"/>
  <c r="EO74" i="67"/>
  <c r="EJ74" i="67"/>
  <c r="EK74" i="67"/>
  <c r="ER73" i="67"/>
  <c r="ES73" i="67"/>
  <c r="EN73" i="67"/>
  <c r="EO73" i="67"/>
  <c r="EJ73" i="67"/>
  <c r="EK73" i="67"/>
  <c r="ER72" i="67"/>
  <c r="ES72" i="67"/>
  <c r="EN72" i="67"/>
  <c r="EO72" i="67"/>
  <c r="EJ72" i="67"/>
  <c r="EK72" i="67"/>
  <c r="ER71" i="67"/>
  <c r="ES71" i="67"/>
  <c r="EN71" i="67"/>
  <c r="EO71" i="67"/>
  <c r="EJ71" i="67"/>
  <c r="EK71" i="67"/>
  <c r="ER70" i="67"/>
  <c r="ES70" i="67"/>
  <c r="EN70" i="67"/>
  <c r="EO70" i="67"/>
  <c r="EJ70" i="67"/>
  <c r="EK70" i="67"/>
  <c r="ER69" i="67"/>
  <c r="ES69" i="67"/>
  <c r="EN69" i="67"/>
  <c r="EO69" i="67"/>
  <c r="EJ69" i="67"/>
  <c r="EK69" i="67"/>
  <c r="ER68" i="67"/>
  <c r="ES68" i="67"/>
  <c r="EN68" i="67"/>
  <c r="EO68" i="67"/>
  <c r="EJ68" i="67"/>
  <c r="EK68" i="67"/>
  <c r="ER67" i="67"/>
  <c r="ES67" i="67"/>
  <c r="ER66" i="67"/>
  <c r="ES66" i="67"/>
  <c r="ER65" i="67"/>
  <c r="ES65" i="67"/>
  <c r="EN65" i="67"/>
  <c r="EO65" i="67"/>
  <c r="EJ65" i="67"/>
  <c r="EK65" i="67"/>
  <c r="ER64" i="67"/>
  <c r="ES64" i="67"/>
  <c r="EN64" i="67"/>
  <c r="EO64" i="67"/>
  <c r="EJ64" i="67"/>
  <c r="EK64" i="67"/>
  <c r="ER63" i="67"/>
  <c r="ES63" i="67"/>
  <c r="EN63" i="67"/>
  <c r="EO63" i="67"/>
  <c r="EJ63" i="67"/>
  <c r="EK63" i="67"/>
  <c r="ER62" i="67"/>
  <c r="ES62" i="67"/>
  <c r="EN62" i="67"/>
  <c r="EO62" i="67"/>
  <c r="EJ62" i="67"/>
  <c r="EK62" i="67"/>
  <c r="ER61" i="67"/>
  <c r="ES61" i="67"/>
  <c r="EN61" i="67"/>
  <c r="EO61" i="67"/>
  <c r="EJ61" i="67"/>
  <c r="EK61" i="67"/>
  <c r="ER60" i="67"/>
  <c r="ES60" i="67"/>
  <c r="EN60" i="67"/>
  <c r="EO60" i="67"/>
  <c r="EJ60" i="67"/>
  <c r="EK60" i="67"/>
  <c r="ER59" i="67"/>
  <c r="ES59" i="67"/>
  <c r="EN59" i="67"/>
  <c r="EO59" i="67"/>
  <c r="EJ59" i="67"/>
  <c r="EK59" i="67"/>
  <c r="ER58" i="67"/>
  <c r="ES58" i="67"/>
  <c r="EN58" i="67"/>
  <c r="EO58" i="67"/>
  <c r="EJ58" i="67"/>
  <c r="EK58" i="67"/>
  <c r="ER57" i="67"/>
  <c r="ES57" i="67"/>
  <c r="EN57" i="67"/>
  <c r="EO57" i="67"/>
  <c r="EJ57" i="67"/>
  <c r="EK57" i="67"/>
  <c r="ER56" i="67"/>
  <c r="ES56" i="67"/>
  <c r="EN56" i="67"/>
  <c r="EO56" i="67"/>
  <c r="EJ56" i="67"/>
  <c r="EK56" i="67"/>
  <c r="ER55" i="67"/>
  <c r="ES55" i="67"/>
  <c r="EN55" i="67"/>
  <c r="EO55" i="67"/>
  <c r="EJ55" i="67"/>
  <c r="EK55" i="67"/>
  <c r="ER54" i="67"/>
  <c r="ES54" i="67"/>
  <c r="EN54" i="67"/>
  <c r="EO54" i="67"/>
  <c r="EJ54" i="67"/>
  <c r="EK54" i="67"/>
  <c r="ER53" i="67"/>
  <c r="ES53" i="67"/>
  <c r="EN53" i="67"/>
  <c r="EO53" i="67"/>
  <c r="EJ53" i="67"/>
  <c r="EK53" i="67"/>
  <c r="ER52" i="67"/>
  <c r="ES52" i="67"/>
  <c r="EN52" i="67"/>
  <c r="EO52" i="67"/>
  <c r="EJ52" i="67"/>
  <c r="EK52" i="67"/>
  <c r="ER51" i="67"/>
  <c r="ES51" i="67"/>
  <c r="EN51" i="67"/>
  <c r="EO51" i="67"/>
  <c r="EJ51" i="67"/>
  <c r="EK51" i="67"/>
  <c r="ER50" i="67"/>
  <c r="ES50" i="67"/>
  <c r="EN50" i="67"/>
  <c r="EO50" i="67"/>
  <c r="EJ50" i="67"/>
  <c r="EK50" i="67"/>
  <c r="ER49" i="67"/>
  <c r="ES49" i="67"/>
  <c r="EN49" i="67"/>
  <c r="EO49" i="67"/>
  <c r="EJ49" i="67"/>
  <c r="EK49" i="67"/>
  <c r="ER48" i="67"/>
  <c r="ES48" i="67"/>
  <c r="EN48" i="67"/>
  <c r="EO48" i="67"/>
  <c r="EJ48" i="67"/>
  <c r="EK48" i="67"/>
  <c r="ER47" i="67"/>
  <c r="ES47" i="67"/>
  <c r="EN47" i="67"/>
  <c r="EO47" i="67"/>
  <c r="EJ47" i="67"/>
  <c r="EK47" i="67"/>
  <c r="ER46" i="67"/>
  <c r="ES46" i="67"/>
  <c r="EN46" i="67"/>
  <c r="EO46" i="67"/>
  <c r="EJ46" i="67"/>
  <c r="EK46" i="67"/>
  <c r="ER45" i="67"/>
  <c r="ES45" i="67"/>
  <c r="EN45" i="67"/>
  <c r="EO45" i="67"/>
  <c r="EJ45" i="67"/>
  <c r="EK45" i="67"/>
  <c r="ES44" i="67"/>
  <c r="EO44" i="67"/>
  <c r="EK44" i="67"/>
  <c r="ER43" i="67"/>
  <c r="ES43" i="67" s="1"/>
  <c r="EO43" i="67"/>
  <c r="EN43" i="67"/>
  <c r="EJ43" i="67"/>
  <c r="EK43" i="67" s="1"/>
  <c r="ER42" i="67"/>
  <c r="ES42" i="67" s="1"/>
  <c r="EN42" i="67"/>
  <c r="EO42" i="67" s="1"/>
  <c r="EK42" i="67"/>
  <c r="EJ42" i="67"/>
  <c r="ES41" i="67"/>
  <c r="EO41" i="67"/>
  <c r="EK41" i="67"/>
  <c r="ER40" i="67"/>
  <c r="ES40" i="67"/>
  <c r="EN40" i="67"/>
  <c r="EO40" i="67"/>
  <c r="EJ40" i="67"/>
  <c r="EK40" i="67"/>
  <c r="ER39" i="67"/>
  <c r="ES39" i="67"/>
  <c r="EN39" i="67"/>
  <c r="EO39" i="67"/>
  <c r="EJ39" i="67"/>
  <c r="EK39" i="67"/>
  <c r="ER38" i="67"/>
  <c r="ES38" i="67"/>
  <c r="EN38" i="67"/>
  <c r="EO38" i="67"/>
  <c r="EJ38" i="67"/>
  <c r="EK38" i="67"/>
  <c r="ER37" i="67"/>
  <c r="ES37" i="67"/>
  <c r="EN37" i="67"/>
  <c r="EO37" i="67"/>
  <c r="EJ37" i="67"/>
  <c r="EK37" i="67"/>
  <c r="ER36" i="67"/>
  <c r="ES36" i="67"/>
  <c r="EN36" i="67"/>
  <c r="EO36" i="67"/>
  <c r="EJ36" i="67"/>
  <c r="EK36" i="67"/>
  <c r="ER34" i="67"/>
  <c r="ES34" i="67"/>
  <c r="EN34" i="67"/>
  <c r="EO34" i="67"/>
  <c r="EJ34" i="67"/>
  <c r="EK34" i="67"/>
  <c r="ER33" i="67"/>
  <c r="ES33" i="67"/>
  <c r="EN33" i="67"/>
  <c r="EO33" i="67"/>
  <c r="EJ33" i="67"/>
  <c r="EK33" i="67"/>
  <c r="ER32" i="67"/>
  <c r="ES32" i="67"/>
  <c r="EN32" i="67"/>
  <c r="EO32" i="67"/>
  <c r="EJ32" i="67"/>
  <c r="EK32" i="67"/>
  <c r="ER31" i="67"/>
  <c r="ES31" i="67"/>
  <c r="EN31" i="67"/>
  <c r="EO31" i="67"/>
  <c r="EJ31" i="67"/>
  <c r="EK31" i="67"/>
  <c r="ER30" i="67"/>
  <c r="ES30" i="67"/>
  <c r="EN30" i="67"/>
  <c r="EO30" i="67"/>
  <c r="EJ30" i="67"/>
  <c r="EK30" i="67"/>
  <c r="ER29" i="67"/>
  <c r="ES29" i="67"/>
  <c r="EN29" i="67"/>
  <c r="EO29" i="67"/>
  <c r="EJ29" i="67"/>
  <c r="EK29" i="67"/>
  <c r="ER28" i="67"/>
  <c r="ES28" i="67"/>
  <c r="EN28" i="67"/>
  <c r="EO28" i="67"/>
  <c r="EJ28" i="67"/>
  <c r="EK28" i="67"/>
  <c r="ER27" i="67"/>
  <c r="ES27" i="67"/>
  <c r="EN27" i="67"/>
  <c r="EO27" i="67"/>
  <c r="EJ27" i="67"/>
  <c r="EK27" i="67"/>
  <c r="ER26" i="67"/>
  <c r="ES26" i="67"/>
  <c r="EN26" i="67"/>
  <c r="EO26" i="67"/>
  <c r="EJ26" i="67"/>
  <c r="EK26" i="67"/>
  <c r="ER25" i="67"/>
  <c r="ES25" i="67"/>
  <c r="EN25" i="67"/>
  <c r="EO25" i="67"/>
  <c r="EJ25" i="67"/>
  <c r="EK25" i="67"/>
  <c r="ES24" i="67"/>
  <c r="EO24" i="67"/>
  <c r="EK24" i="67"/>
  <c r="ES23" i="67"/>
  <c r="ER23" i="67"/>
  <c r="EN23" i="67"/>
  <c r="EO23" i="67" s="1"/>
  <c r="EJ23" i="67"/>
  <c r="EK23" i="67" s="1"/>
  <c r="ER22" i="67"/>
  <c r="ES22" i="67" s="1"/>
  <c r="EO22" i="67"/>
  <c r="EN22" i="67"/>
  <c r="EJ22" i="67"/>
  <c r="EK22" i="67" s="1"/>
  <c r="ES21" i="67"/>
  <c r="EO21" i="67"/>
  <c r="EK21" i="67"/>
  <c r="ER20" i="67"/>
  <c r="ES20" i="67"/>
  <c r="EN20" i="67"/>
  <c r="EO20" i="67"/>
  <c r="EJ20" i="67"/>
  <c r="EK20" i="67"/>
  <c r="ER19" i="67"/>
  <c r="ES19" i="67"/>
  <c r="EN19" i="67"/>
  <c r="EO19" i="67"/>
  <c r="EJ19" i="67"/>
  <c r="EK19" i="67"/>
  <c r="ER18" i="67"/>
  <c r="ES18" i="67"/>
  <c r="EN18" i="67"/>
  <c r="EO18" i="67"/>
  <c r="EJ18" i="67"/>
  <c r="EK18" i="67"/>
  <c r="ER17" i="67"/>
  <c r="ES17" i="67"/>
  <c r="EN17" i="67"/>
  <c r="EO17" i="67"/>
  <c r="EJ17" i="67"/>
  <c r="EK17" i="67"/>
  <c r="ER16" i="67"/>
  <c r="ES16" i="67"/>
  <c r="EN16" i="67"/>
  <c r="EO16" i="67"/>
  <c r="EJ16" i="67"/>
  <c r="EK16" i="67"/>
  <c r="ER15" i="67"/>
  <c r="ES15" i="67"/>
  <c r="EN15" i="67"/>
  <c r="EO15" i="67"/>
  <c r="EJ15" i="67"/>
  <c r="EK15" i="67"/>
  <c r="ES14" i="67"/>
  <c r="EO14" i="67"/>
  <c r="EK14" i="67"/>
  <c r="ER13" i="67"/>
  <c r="ES13" i="67" s="1"/>
  <c r="EN13" i="67"/>
  <c r="EO13" i="67" s="1"/>
  <c r="EJ13" i="67"/>
  <c r="EK13" i="67" s="1"/>
  <c r="ER12" i="67"/>
  <c r="ES12" i="67" s="1"/>
  <c r="EN12" i="67"/>
  <c r="EO12" i="67" s="1"/>
  <c r="EK12" i="67"/>
  <c r="EJ12" i="67"/>
  <c r="ER11" i="67"/>
  <c r="ES11" i="67" s="1"/>
  <c r="EN11" i="67"/>
  <c r="EO11" i="67" s="1"/>
  <c r="EJ11" i="67"/>
  <c r="EK11" i="67" s="1"/>
  <c r="ES10" i="67"/>
  <c r="ER10" i="67"/>
  <c r="EN10" i="67"/>
  <c r="EO10" i="67" s="1"/>
  <c r="EJ10" i="67"/>
  <c r="EK10" i="67" s="1"/>
  <c r="ER9" i="67"/>
  <c r="ES9" i="67" s="1"/>
  <c r="EO9" i="67"/>
  <c r="EN9" i="67"/>
  <c r="EJ9" i="67"/>
  <c r="EK9" i="67" s="1"/>
  <c r="ER8" i="67"/>
  <c r="ES8" i="67" s="1"/>
  <c r="EN8" i="67"/>
  <c r="EO8" i="67" s="1"/>
  <c r="EK8" i="67"/>
  <c r="EJ8" i="67"/>
  <c r="EQ7" i="67"/>
  <c r="EP7" i="67"/>
  <c r="EM7" i="67"/>
  <c r="EL7" i="67"/>
  <c r="EI7" i="67"/>
  <c r="EH7" i="67"/>
  <c r="EB65" i="67"/>
  <c r="EC65" i="67" s="1"/>
  <c r="DX65" i="67"/>
  <c r="DY65" i="67" s="1"/>
  <c r="EB66" i="67"/>
  <c r="EC66" i="67" s="1"/>
  <c r="DX66" i="67"/>
  <c r="DY66" i="67" s="1"/>
  <c r="EG81" i="67"/>
  <c r="EC81" i="67"/>
  <c r="DY81" i="67"/>
  <c r="EG80" i="67"/>
  <c r="EC80" i="67"/>
  <c r="DY80" i="67"/>
  <c r="EF79" i="67"/>
  <c r="EG79" i="67" s="1"/>
  <c r="EC79" i="67"/>
  <c r="EB79" i="67"/>
  <c r="DY79" i="67"/>
  <c r="DX79" i="67"/>
  <c r="EG78" i="67"/>
  <c r="EC78" i="67"/>
  <c r="DY78" i="67"/>
  <c r="EF77" i="67"/>
  <c r="EG77" i="67"/>
  <c r="EB77" i="67"/>
  <c r="EC77" i="67"/>
  <c r="DX77" i="67"/>
  <c r="DY77" i="67"/>
  <c r="EF76" i="67"/>
  <c r="EG76" i="67"/>
  <c r="EB76" i="67"/>
  <c r="EC76" i="67"/>
  <c r="DX76" i="67"/>
  <c r="DY76" i="67"/>
  <c r="EF75" i="67"/>
  <c r="EG75" i="67"/>
  <c r="EB75" i="67"/>
  <c r="EC75" i="67"/>
  <c r="DX75" i="67"/>
  <c r="DY75" i="67"/>
  <c r="EF74" i="67"/>
  <c r="EG74" i="67"/>
  <c r="EB74" i="67"/>
  <c r="EC74" i="67"/>
  <c r="DX74" i="67"/>
  <c r="DY74" i="67"/>
  <c r="EF73" i="67"/>
  <c r="EG73" i="67"/>
  <c r="EB73" i="67"/>
  <c r="EC73" i="67"/>
  <c r="DX73" i="67"/>
  <c r="DY73" i="67"/>
  <c r="EF72" i="67"/>
  <c r="EG72" i="67"/>
  <c r="EB72" i="67"/>
  <c r="EC72" i="67"/>
  <c r="DX72" i="67"/>
  <c r="DY72" i="67"/>
  <c r="EF71" i="67"/>
  <c r="EG71" i="67"/>
  <c r="EB71" i="67"/>
  <c r="EC71" i="67"/>
  <c r="DX71" i="67"/>
  <c r="DY71" i="67"/>
  <c r="EF70" i="67"/>
  <c r="EG70" i="67"/>
  <c r="EB70" i="67"/>
  <c r="EC70" i="67"/>
  <c r="DX70" i="67"/>
  <c r="DY70" i="67"/>
  <c r="EF69" i="67"/>
  <c r="EG69" i="67"/>
  <c r="EB69" i="67"/>
  <c r="EC69" i="67"/>
  <c r="DX69" i="67"/>
  <c r="DY69" i="67"/>
  <c r="EF68" i="67"/>
  <c r="EG68" i="67"/>
  <c r="EB68" i="67"/>
  <c r="EC68" i="67"/>
  <c r="DX68" i="67"/>
  <c r="DY68" i="67"/>
  <c r="EF67" i="67"/>
  <c r="EG67" i="67"/>
  <c r="EB67" i="67"/>
  <c r="EC67" i="67"/>
  <c r="DX67" i="67"/>
  <c r="DY67" i="67"/>
  <c r="EF66" i="67"/>
  <c r="EG66" i="67"/>
  <c r="EF65" i="67"/>
  <c r="EG65" i="67"/>
  <c r="EF64" i="67"/>
  <c r="EG64" i="67"/>
  <c r="EB64" i="67"/>
  <c r="EC64" i="67"/>
  <c r="DX64" i="67"/>
  <c r="DY64" i="67"/>
  <c r="EF63" i="67"/>
  <c r="EG63" i="67"/>
  <c r="EB63" i="67"/>
  <c r="EC63" i="67"/>
  <c r="DX63" i="67"/>
  <c r="DY63" i="67"/>
  <c r="EF62" i="67"/>
  <c r="EG62" i="67"/>
  <c r="EB62" i="67"/>
  <c r="EC62" i="67"/>
  <c r="DX62" i="67"/>
  <c r="DY62" i="67"/>
  <c r="EF61" i="67"/>
  <c r="EG61" i="67"/>
  <c r="EB61" i="67"/>
  <c r="EC61" i="67"/>
  <c r="DX61" i="67"/>
  <c r="DY61" i="67"/>
  <c r="EF60" i="67"/>
  <c r="EG60" i="67"/>
  <c r="EB60" i="67"/>
  <c r="EC60" i="67"/>
  <c r="DX60" i="67"/>
  <c r="DY60" i="67"/>
  <c r="EF59" i="67"/>
  <c r="EG59" i="67"/>
  <c r="EB59" i="67"/>
  <c r="EC59" i="67"/>
  <c r="DX59" i="67"/>
  <c r="DY59" i="67"/>
  <c r="EF58" i="67"/>
  <c r="EG58" i="67"/>
  <c r="EB58" i="67"/>
  <c r="EC58" i="67"/>
  <c r="DX58" i="67"/>
  <c r="DY58" i="67"/>
  <c r="EF57" i="67"/>
  <c r="EG57" i="67"/>
  <c r="EB57" i="67"/>
  <c r="EC57" i="67"/>
  <c r="DX57" i="67"/>
  <c r="DY57" i="67"/>
  <c r="EF56" i="67"/>
  <c r="EG56" i="67"/>
  <c r="EB56" i="67"/>
  <c r="EC56" i="67"/>
  <c r="DX56" i="67"/>
  <c r="DY56" i="67"/>
  <c r="EF55" i="67"/>
  <c r="EG55" i="67"/>
  <c r="EB55" i="67"/>
  <c r="EC55" i="67"/>
  <c r="DX55" i="67"/>
  <c r="DY55" i="67"/>
  <c r="EF54" i="67"/>
  <c r="EG54" i="67"/>
  <c r="EB54" i="67"/>
  <c r="EC54" i="67"/>
  <c r="DX54" i="67"/>
  <c r="DY54" i="67"/>
  <c r="EF53" i="67"/>
  <c r="EG53" i="67"/>
  <c r="EB53" i="67"/>
  <c r="EC53" i="67"/>
  <c r="DX53" i="67"/>
  <c r="DY53" i="67"/>
  <c r="EF52" i="67"/>
  <c r="EG52" i="67"/>
  <c r="EB52" i="67"/>
  <c r="EC52" i="67"/>
  <c r="DX52" i="67"/>
  <c r="DY52" i="67"/>
  <c r="EF51" i="67"/>
  <c r="EG51" i="67"/>
  <c r="EB51" i="67"/>
  <c r="EC51" i="67"/>
  <c r="DX51" i="67"/>
  <c r="DY51" i="67"/>
  <c r="EF50" i="67"/>
  <c r="EG50" i="67"/>
  <c r="EB50" i="67"/>
  <c r="EC50" i="67"/>
  <c r="DX50" i="67"/>
  <c r="DY50" i="67"/>
  <c r="EF49" i="67"/>
  <c r="EG49" i="67"/>
  <c r="EB49" i="67"/>
  <c r="EC49" i="67"/>
  <c r="DX49" i="67"/>
  <c r="DY49" i="67"/>
  <c r="EF48" i="67"/>
  <c r="EG48" i="67"/>
  <c r="EB48" i="67"/>
  <c r="EC48" i="67"/>
  <c r="DX48" i="67"/>
  <c r="DY48" i="67"/>
  <c r="EF47" i="67"/>
  <c r="EG47" i="67"/>
  <c r="EB47" i="67"/>
  <c r="EC47" i="67"/>
  <c r="DX47" i="67"/>
  <c r="DY47" i="67"/>
  <c r="EF46" i="67"/>
  <c r="EG46" i="67"/>
  <c r="EB46" i="67"/>
  <c r="EC46" i="67"/>
  <c r="DX46" i="67"/>
  <c r="DY46" i="67"/>
  <c r="EF45" i="67"/>
  <c r="EG45" i="67"/>
  <c r="EB45" i="67"/>
  <c r="EC45" i="67"/>
  <c r="DX45" i="67"/>
  <c r="DY45" i="67"/>
  <c r="EG44" i="67"/>
  <c r="EC44" i="67"/>
  <c r="DY44" i="67"/>
  <c r="EG43" i="67"/>
  <c r="EF43" i="67"/>
  <c r="EC43" i="67"/>
  <c r="EB43" i="67"/>
  <c r="DX43" i="67"/>
  <c r="DY43" i="67" s="1"/>
  <c r="EF42" i="67"/>
  <c r="EG42" i="67" s="1"/>
  <c r="EC42" i="67"/>
  <c r="EB42" i="67"/>
  <c r="DY42" i="67"/>
  <c r="DX42" i="67"/>
  <c r="EG41" i="67"/>
  <c r="EC41" i="67"/>
  <c r="DY41" i="67"/>
  <c r="EF40" i="67"/>
  <c r="EG40" i="67"/>
  <c r="EB40" i="67"/>
  <c r="EC40" i="67"/>
  <c r="DX40" i="67"/>
  <c r="DY40" i="67"/>
  <c r="EF39" i="67"/>
  <c r="EG39" i="67"/>
  <c r="EB39" i="67"/>
  <c r="EC39" i="67"/>
  <c r="DX39" i="67"/>
  <c r="DY39" i="67"/>
  <c r="EF38" i="67"/>
  <c r="EG38" i="67"/>
  <c r="EB38" i="67"/>
  <c r="EC38" i="67"/>
  <c r="DX38" i="67"/>
  <c r="DY38" i="67"/>
  <c r="EF37" i="67"/>
  <c r="EG37" i="67"/>
  <c r="EB37" i="67"/>
  <c r="EC37" i="67"/>
  <c r="DX37" i="67"/>
  <c r="DY37" i="67"/>
  <c r="EF36" i="67"/>
  <c r="EG36" i="67"/>
  <c r="EB36" i="67"/>
  <c r="EC36" i="67"/>
  <c r="DX36" i="67"/>
  <c r="DY36" i="67"/>
  <c r="EF34" i="67"/>
  <c r="EG34" i="67"/>
  <c r="EB34" i="67"/>
  <c r="EC34" i="67"/>
  <c r="DX34" i="67"/>
  <c r="DY34" i="67"/>
  <c r="EF33" i="67"/>
  <c r="EG33" i="67"/>
  <c r="EB33" i="67"/>
  <c r="EC33" i="67"/>
  <c r="DX33" i="67"/>
  <c r="DY33" i="67"/>
  <c r="EF32" i="67"/>
  <c r="EG32" i="67"/>
  <c r="EB32" i="67"/>
  <c r="EC32" i="67"/>
  <c r="DX32" i="67"/>
  <c r="DY32" i="67"/>
  <c r="EF31" i="67"/>
  <c r="EG31" i="67"/>
  <c r="EB31" i="67"/>
  <c r="EC31" i="67"/>
  <c r="DX31" i="67"/>
  <c r="DY31" i="67"/>
  <c r="EF30" i="67"/>
  <c r="EG30" i="67"/>
  <c r="EB30" i="67"/>
  <c r="EC30" i="67"/>
  <c r="DX30" i="67"/>
  <c r="DY30" i="67"/>
  <c r="EF29" i="67"/>
  <c r="EG29" i="67"/>
  <c r="EB29" i="67"/>
  <c r="EC29" i="67"/>
  <c r="DX29" i="67"/>
  <c r="DY29" i="67"/>
  <c r="EF28" i="67"/>
  <c r="EG28" i="67"/>
  <c r="EB28" i="67"/>
  <c r="EC28" i="67"/>
  <c r="DX28" i="67"/>
  <c r="DY28" i="67"/>
  <c r="EF27" i="67"/>
  <c r="EG27" i="67"/>
  <c r="EB27" i="67"/>
  <c r="EC27" i="67"/>
  <c r="DX27" i="67"/>
  <c r="DY27" i="67"/>
  <c r="EF26" i="67"/>
  <c r="EG26" i="67"/>
  <c r="EB26" i="67"/>
  <c r="EC26" i="67"/>
  <c r="DX26" i="67"/>
  <c r="DY26" i="67" s="1"/>
  <c r="EF25" i="67"/>
  <c r="EG25" i="67"/>
  <c r="EB25" i="67"/>
  <c r="EC25" i="67"/>
  <c r="DX25" i="67"/>
  <c r="DY25" i="67"/>
  <c r="EG24" i="67"/>
  <c r="EC24" i="67"/>
  <c r="DY24" i="67"/>
  <c r="EF23" i="67"/>
  <c r="EG23" i="67" s="1"/>
  <c r="EB23" i="67"/>
  <c r="EC23" i="67" s="1"/>
  <c r="DX23" i="67"/>
  <c r="DY23" i="67" s="1"/>
  <c r="EG22" i="67"/>
  <c r="EF22" i="67"/>
  <c r="EC22" i="67"/>
  <c r="EB22" i="67"/>
  <c r="DX22" i="67"/>
  <c r="DY22" i="67" s="1"/>
  <c r="EG21" i="67"/>
  <c r="EC21" i="67"/>
  <c r="DY21" i="67"/>
  <c r="EF20" i="67"/>
  <c r="EG20" i="67"/>
  <c r="EB20" i="67"/>
  <c r="EC20" i="67"/>
  <c r="DX20" i="67"/>
  <c r="DY20" i="67"/>
  <c r="EF19" i="67"/>
  <c r="EG19" i="67" s="1"/>
  <c r="EB19" i="67"/>
  <c r="EC19" i="67"/>
  <c r="DX19" i="67"/>
  <c r="DY19" i="67"/>
  <c r="EF18" i="67"/>
  <c r="EG18" i="67"/>
  <c r="EB18" i="67"/>
  <c r="EC18" i="67" s="1"/>
  <c r="DX18" i="67"/>
  <c r="DY18" i="67"/>
  <c r="EF17" i="67"/>
  <c r="EG17" i="67"/>
  <c r="EB17" i="67"/>
  <c r="EC17" i="67"/>
  <c r="DX17" i="67"/>
  <c r="DY17" i="67" s="1"/>
  <c r="EF16" i="67"/>
  <c r="EG16" i="67"/>
  <c r="EB16" i="67"/>
  <c r="EC16" i="67"/>
  <c r="DX16" i="67"/>
  <c r="DY16" i="67"/>
  <c r="EF15" i="67"/>
  <c r="EG15" i="67" s="1"/>
  <c r="EB15" i="67"/>
  <c r="EC15" i="67"/>
  <c r="DX15" i="67"/>
  <c r="DY15" i="67"/>
  <c r="EG14" i="67"/>
  <c r="EC14" i="67"/>
  <c r="DY14" i="67"/>
  <c r="EF13" i="67"/>
  <c r="EG13" i="67" s="1"/>
  <c r="EB13" i="67"/>
  <c r="EC13" i="67" s="1"/>
  <c r="DX13" i="67"/>
  <c r="DY13" i="67" s="1"/>
  <c r="EF12" i="67"/>
  <c r="EG12" i="67" s="1"/>
  <c r="EB12" i="67"/>
  <c r="EC12" i="67" s="1"/>
  <c r="DY12" i="67"/>
  <c r="DX12" i="67"/>
  <c r="EF11" i="67"/>
  <c r="EG11" i="67" s="1"/>
  <c r="EB11" i="67"/>
  <c r="EC11" i="67" s="1"/>
  <c r="DX11" i="67"/>
  <c r="DY11" i="67" s="1"/>
  <c r="EG10" i="67"/>
  <c r="EF10" i="67"/>
  <c r="EB10" i="67"/>
  <c r="EC10" i="67" s="1"/>
  <c r="DX10" i="67"/>
  <c r="DY10" i="67" s="1"/>
  <c r="EF9" i="67"/>
  <c r="EG9" i="67" s="1"/>
  <c r="EC9" i="67"/>
  <c r="EB9" i="67"/>
  <c r="DX9" i="67"/>
  <c r="DY9" i="67" s="1"/>
  <c r="EF8" i="67"/>
  <c r="EG8" i="67" s="1"/>
  <c r="EB8" i="67"/>
  <c r="EC8" i="67" s="1"/>
  <c r="DY8" i="67"/>
  <c r="DX8" i="67"/>
  <c r="EE7" i="67"/>
  <c r="ED7" i="67"/>
  <c r="EA7" i="67"/>
  <c r="DZ7" i="67"/>
  <c r="DW7" i="67"/>
  <c r="DV7" i="67"/>
  <c r="DP64" i="67"/>
  <c r="DQ64" i="67" s="1"/>
  <c r="DL64" i="67"/>
  <c r="DM64" i="67" s="1"/>
  <c r="DP65" i="67"/>
  <c r="DQ65" i="67" s="1"/>
  <c r="DL65" i="67"/>
  <c r="DM65" i="67" s="1"/>
  <c r="DU81" i="67"/>
  <c r="DQ81" i="67"/>
  <c r="DM81" i="67"/>
  <c r="DU80" i="67"/>
  <c r="DQ80" i="67"/>
  <c r="DM80" i="67"/>
  <c r="DT79" i="67"/>
  <c r="DU79" i="67" s="1"/>
  <c r="DQ79" i="67"/>
  <c r="DP79" i="67"/>
  <c r="DL79" i="67"/>
  <c r="DM79" i="67" s="1"/>
  <c r="DU78" i="67"/>
  <c r="DQ78" i="67"/>
  <c r="DM78" i="67"/>
  <c r="DT77" i="67"/>
  <c r="DU77" i="67"/>
  <c r="DP77" i="67"/>
  <c r="DQ77" i="67"/>
  <c r="DL77" i="67"/>
  <c r="DM77" i="67"/>
  <c r="DT76" i="67"/>
  <c r="DU76" i="67" s="1"/>
  <c r="DP76" i="67"/>
  <c r="DQ76" i="67"/>
  <c r="DL76" i="67"/>
  <c r="DM76" i="67"/>
  <c r="DT75" i="67"/>
  <c r="DU75" i="67"/>
  <c r="DP75" i="67"/>
  <c r="DQ75" i="67"/>
  <c r="DL75" i="67"/>
  <c r="DM75" i="67"/>
  <c r="DT74" i="67"/>
  <c r="DU74" i="67"/>
  <c r="DP74" i="67"/>
  <c r="DQ74" i="67"/>
  <c r="DL74" i="67"/>
  <c r="DM74" i="67"/>
  <c r="DT73" i="67"/>
  <c r="DU73" i="67"/>
  <c r="DP73" i="67"/>
  <c r="DQ73" i="67"/>
  <c r="DL73" i="67"/>
  <c r="DM73" i="67"/>
  <c r="DT72" i="67"/>
  <c r="DU72" i="67" s="1"/>
  <c r="DP72" i="67"/>
  <c r="DQ72" i="67"/>
  <c r="DL72" i="67"/>
  <c r="DM72" i="67"/>
  <c r="DT71" i="67"/>
  <c r="DU71" i="67"/>
  <c r="DP71" i="67"/>
  <c r="DQ71" i="67"/>
  <c r="DL71" i="67"/>
  <c r="DM71" i="67"/>
  <c r="DT70" i="67"/>
  <c r="DU70" i="67"/>
  <c r="DP70" i="67"/>
  <c r="DQ70" i="67"/>
  <c r="DL70" i="67"/>
  <c r="DM70" i="67"/>
  <c r="DT69" i="67"/>
  <c r="DU69" i="67"/>
  <c r="DP69" i="67"/>
  <c r="DQ69" i="67"/>
  <c r="DL69" i="67"/>
  <c r="DM69" i="67"/>
  <c r="DT68" i="67"/>
  <c r="DU68" i="67" s="1"/>
  <c r="DP68" i="67"/>
  <c r="DQ68" i="67"/>
  <c r="DL68" i="67"/>
  <c r="DM68" i="67"/>
  <c r="DT67" i="67"/>
  <c r="DU67" i="67"/>
  <c r="DP67" i="67"/>
  <c r="DQ67" i="67"/>
  <c r="DL67" i="67"/>
  <c r="DM67" i="67"/>
  <c r="DT66" i="67"/>
  <c r="DU66" i="67"/>
  <c r="DP66" i="67"/>
  <c r="DQ66" i="67"/>
  <c r="DL66" i="67"/>
  <c r="DM66" i="67"/>
  <c r="DT65" i="67"/>
  <c r="DU65" i="67"/>
  <c r="DT64" i="67"/>
  <c r="DU64" i="67"/>
  <c r="DT63" i="67"/>
  <c r="DU63" i="67"/>
  <c r="DP63" i="67"/>
  <c r="DQ63" i="67"/>
  <c r="DL63" i="67"/>
  <c r="DM63" i="67"/>
  <c r="DT62" i="67"/>
  <c r="DU62" i="67"/>
  <c r="DP62" i="67"/>
  <c r="DQ62" i="67"/>
  <c r="DL62" i="67"/>
  <c r="DM62" i="67"/>
  <c r="DT61" i="67"/>
  <c r="DU61" i="67"/>
  <c r="DP61" i="67"/>
  <c r="DQ61" i="67"/>
  <c r="DL61" i="67"/>
  <c r="DM61" i="67"/>
  <c r="DT60" i="67"/>
  <c r="DU60" i="67" s="1"/>
  <c r="DP60" i="67"/>
  <c r="DQ60" i="67"/>
  <c r="DL60" i="67"/>
  <c r="DM60" i="67"/>
  <c r="DT59" i="67"/>
  <c r="DU59" i="67"/>
  <c r="DP59" i="67"/>
  <c r="DQ59" i="67"/>
  <c r="DL59" i="67"/>
  <c r="DM59" i="67"/>
  <c r="DT58" i="67"/>
  <c r="DU58" i="67"/>
  <c r="DP58" i="67"/>
  <c r="DQ58" i="67"/>
  <c r="DL58" i="67"/>
  <c r="DM58" i="67"/>
  <c r="DT57" i="67"/>
  <c r="DU57" i="67"/>
  <c r="DP57" i="67"/>
  <c r="DQ57" i="67"/>
  <c r="DL57" i="67"/>
  <c r="DM57" i="67"/>
  <c r="DT56" i="67"/>
  <c r="DU56" i="67" s="1"/>
  <c r="DP56" i="67"/>
  <c r="DQ56" i="67"/>
  <c r="DL56" i="67"/>
  <c r="DM56" i="67"/>
  <c r="DT55" i="67"/>
  <c r="DU55" i="67"/>
  <c r="DP55" i="67"/>
  <c r="DQ55" i="67"/>
  <c r="DL55" i="67"/>
  <c r="DM55" i="67"/>
  <c r="DT54" i="67"/>
  <c r="DU54" i="67"/>
  <c r="DP54" i="67"/>
  <c r="DQ54" i="67"/>
  <c r="DL54" i="67"/>
  <c r="DM54" i="67"/>
  <c r="DT53" i="67"/>
  <c r="DU53" i="67"/>
  <c r="DP53" i="67"/>
  <c r="DQ53" i="67"/>
  <c r="DL53" i="67"/>
  <c r="DM53" i="67"/>
  <c r="DT52" i="67"/>
  <c r="DU52" i="67" s="1"/>
  <c r="DP52" i="67"/>
  <c r="DQ52" i="67"/>
  <c r="DL52" i="67"/>
  <c r="DM52" i="67"/>
  <c r="DT51" i="67"/>
  <c r="DU51" i="67"/>
  <c r="DP51" i="67"/>
  <c r="DQ51" i="67"/>
  <c r="DL51" i="67"/>
  <c r="DM51" i="67"/>
  <c r="DT50" i="67"/>
  <c r="DU50" i="67"/>
  <c r="DP50" i="67"/>
  <c r="DQ50" i="67"/>
  <c r="DL50" i="67"/>
  <c r="DM50" i="67"/>
  <c r="DT49" i="67"/>
  <c r="DU49" i="67"/>
  <c r="DP49" i="67"/>
  <c r="DQ49" i="67"/>
  <c r="DL49" i="67"/>
  <c r="DM49" i="67"/>
  <c r="DT48" i="67"/>
  <c r="DU48" i="67" s="1"/>
  <c r="DP48" i="67"/>
  <c r="DQ48" i="67"/>
  <c r="DL48" i="67"/>
  <c r="DM48" i="67"/>
  <c r="DT47" i="67"/>
  <c r="DU47" i="67"/>
  <c r="DP47" i="67"/>
  <c r="DQ47" i="67"/>
  <c r="DL47" i="67"/>
  <c r="DM47" i="67"/>
  <c r="DT46" i="67"/>
  <c r="DU46" i="67"/>
  <c r="DP46" i="67"/>
  <c r="DQ46" i="67"/>
  <c r="DL46" i="67"/>
  <c r="DM46" i="67"/>
  <c r="DT45" i="67"/>
  <c r="DU45" i="67"/>
  <c r="DP45" i="67"/>
  <c r="DQ45" i="67"/>
  <c r="DL45" i="67"/>
  <c r="DM45" i="67"/>
  <c r="DU44" i="67"/>
  <c r="DQ44" i="67"/>
  <c r="DM44" i="67"/>
  <c r="DU43" i="67"/>
  <c r="DT43" i="67"/>
  <c r="DP43" i="67"/>
  <c r="DQ43" i="67" s="1"/>
  <c r="DL43" i="67"/>
  <c r="DM43" i="67" s="1"/>
  <c r="DT42" i="67"/>
  <c r="DU42" i="67" s="1"/>
  <c r="DQ42" i="67"/>
  <c r="DP42" i="67"/>
  <c r="DL42" i="67"/>
  <c r="DM42" i="67" s="1"/>
  <c r="DU41" i="67"/>
  <c r="DQ41" i="67"/>
  <c r="DM41" i="67"/>
  <c r="DT40" i="67"/>
  <c r="DU40" i="67"/>
  <c r="DP40" i="67"/>
  <c r="DQ40" i="67"/>
  <c r="DL40" i="67"/>
  <c r="DM40" i="67"/>
  <c r="DT39" i="67"/>
  <c r="DU39" i="67" s="1"/>
  <c r="DP39" i="67"/>
  <c r="DQ39" i="67"/>
  <c r="DL39" i="67"/>
  <c r="DM39" i="67"/>
  <c r="DT38" i="67"/>
  <c r="DU38" i="67"/>
  <c r="DP38" i="67"/>
  <c r="DQ38" i="67" s="1"/>
  <c r="DL38" i="67"/>
  <c r="DM38" i="67"/>
  <c r="DT37" i="67"/>
  <c r="DU37" i="67"/>
  <c r="DP37" i="67"/>
  <c r="DQ37" i="67"/>
  <c r="DL37" i="67"/>
  <c r="DM37" i="67" s="1"/>
  <c r="DT36" i="67"/>
  <c r="DU36" i="67"/>
  <c r="DP36" i="67"/>
  <c r="DQ36" i="67"/>
  <c r="DL36" i="67"/>
  <c r="DM36" i="67"/>
  <c r="DT34" i="67"/>
  <c r="DU34" i="67"/>
  <c r="DP34" i="67"/>
  <c r="DQ34" i="67"/>
  <c r="DL34" i="67"/>
  <c r="DM34" i="67" s="1"/>
  <c r="DT33" i="67"/>
  <c r="DU33" i="67"/>
  <c r="DP33" i="67"/>
  <c r="DQ33" i="67"/>
  <c r="DL33" i="67"/>
  <c r="DM33" i="67"/>
  <c r="DT32" i="67"/>
  <c r="DU32" i="67" s="1"/>
  <c r="DP32" i="67"/>
  <c r="DQ32" i="67"/>
  <c r="DL32" i="67"/>
  <c r="DM32" i="67"/>
  <c r="DT31" i="67"/>
  <c r="DU31" i="67"/>
  <c r="DP31" i="67"/>
  <c r="DQ31" i="67" s="1"/>
  <c r="DL31" i="67"/>
  <c r="DM31" i="67"/>
  <c r="DT30" i="67"/>
  <c r="DU30" i="67"/>
  <c r="DP30" i="67"/>
  <c r="DQ30" i="67"/>
  <c r="DL30" i="67"/>
  <c r="DM30" i="67" s="1"/>
  <c r="DT29" i="67"/>
  <c r="DU29" i="67"/>
  <c r="DP29" i="67"/>
  <c r="DQ29" i="67"/>
  <c r="DL29" i="67"/>
  <c r="DM29" i="67"/>
  <c r="DT28" i="67"/>
  <c r="DU28" i="67" s="1"/>
  <c r="DP28" i="67"/>
  <c r="DQ28" i="67"/>
  <c r="DL28" i="67"/>
  <c r="DM28" i="67"/>
  <c r="DT27" i="67"/>
  <c r="DU27" i="67"/>
  <c r="DP27" i="67"/>
  <c r="DQ27" i="67" s="1"/>
  <c r="DL27" i="67"/>
  <c r="DM27" i="67"/>
  <c r="DT26" i="67"/>
  <c r="DU26" i="67"/>
  <c r="DP26" i="67"/>
  <c r="DQ26" i="67"/>
  <c r="DL26" i="67"/>
  <c r="DM26" i="67" s="1"/>
  <c r="DT25" i="67"/>
  <c r="DU25" i="67"/>
  <c r="DP25" i="67"/>
  <c r="DQ25" i="67"/>
  <c r="DL25" i="67"/>
  <c r="DM25" i="67"/>
  <c r="DU24" i="67"/>
  <c r="DQ24" i="67"/>
  <c r="DM24" i="67"/>
  <c r="DT23" i="67"/>
  <c r="DU23" i="67" s="1"/>
  <c r="DP23" i="67"/>
  <c r="DQ23" i="67" s="1"/>
  <c r="DL23" i="67"/>
  <c r="DM23" i="67" s="1"/>
  <c r="DT22" i="67"/>
  <c r="DU22" i="67" s="1"/>
  <c r="DP22" i="67"/>
  <c r="DQ22" i="67" s="1"/>
  <c r="DL22" i="67"/>
  <c r="DM22" i="67" s="1"/>
  <c r="DU21" i="67"/>
  <c r="DQ21" i="67"/>
  <c r="DM21" i="67"/>
  <c r="DT20" i="67"/>
  <c r="DU20" i="67"/>
  <c r="DP20" i="67"/>
  <c r="DQ20" i="67"/>
  <c r="DL20" i="67"/>
  <c r="DM20" i="67"/>
  <c r="DT19" i="67"/>
  <c r="DU19" i="67" s="1"/>
  <c r="DP19" i="67"/>
  <c r="DQ19" i="67"/>
  <c r="DL19" i="67"/>
  <c r="DM19" i="67"/>
  <c r="DT18" i="67"/>
  <c r="DU18" i="67"/>
  <c r="DP18" i="67"/>
  <c r="DQ18" i="67" s="1"/>
  <c r="DL18" i="67"/>
  <c r="DM18" i="67"/>
  <c r="DT17" i="67"/>
  <c r="DU17" i="67"/>
  <c r="DP17" i="67"/>
  <c r="DQ17" i="67"/>
  <c r="DL17" i="67"/>
  <c r="DM17" i="67" s="1"/>
  <c r="DT16" i="67"/>
  <c r="DU16" i="67"/>
  <c r="DP16" i="67"/>
  <c r="DQ16" i="67"/>
  <c r="DL16" i="67"/>
  <c r="DM16" i="67"/>
  <c r="DT15" i="67"/>
  <c r="DU15" i="67" s="1"/>
  <c r="DP15" i="67"/>
  <c r="DQ15" i="67"/>
  <c r="DL15" i="67"/>
  <c r="DM15" i="67"/>
  <c r="DU14" i="67"/>
  <c r="DQ14" i="67"/>
  <c r="DM14" i="67"/>
  <c r="DT13" i="67"/>
  <c r="DU13" i="67" s="1"/>
  <c r="DP13" i="67"/>
  <c r="DQ13" i="67" s="1"/>
  <c r="DL13" i="67"/>
  <c r="DM13" i="67" s="1"/>
  <c r="DT12" i="67"/>
  <c r="DU12" i="67" s="1"/>
  <c r="DP12" i="67"/>
  <c r="DQ12" i="67" s="1"/>
  <c r="DL12" i="67"/>
  <c r="DM12" i="67" s="1"/>
  <c r="DT11" i="67"/>
  <c r="DU11" i="67" s="1"/>
  <c r="DP11" i="67"/>
  <c r="DQ11" i="67" s="1"/>
  <c r="DL11" i="67"/>
  <c r="DM11" i="67" s="1"/>
  <c r="DT10" i="67"/>
  <c r="DU10" i="67" s="1"/>
  <c r="DP10" i="67"/>
  <c r="DQ10" i="67" s="1"/>
  <c r="DL10" i="67"/>
  <c r="DM10" i="67" s="1"/>
  <c r="DT9" i="67"/>
  <c r="DU9" i="67" s="1"/>
  <c r="DP9" i="67"/>
  <c r="DQ9" i="67" s="1"/>
  <c r="DL9" i="67"/>
  <c r="DM9" i="67" s="1"/>
  <c r="DT8" i="67"/>
  <c r="DU8" i="67"/>
  <c r="DP8" i="67"/>
  <c r="DQ8" i="67" s="1"/>
  <c r="DL8" i="67"/>
  <c r="DM8" i="67"/>
  <c r="DS7" i="67"/>
  <c r="DR7" i="67"/>
  <c r="DO7" i="67"/>
  <c r="DN7" i="67"/>
  <c r="DK7" i="67"/>
  <c r="DJ7" i="67"/>
  <c r="DD63" i="67"/>
  <c r="DE63" i="67"/>
  <c r="CZ63" i="67"/>
  <c r="DA63" i="67" s="1"/>
  <c r="DD64" i="67"/>
  <c r="DE64" i="67"/>
  <c r="CZ64" i="67"/>
  <c r="DA64" i="67" s="1"/>
  <c r="DI81" i="67"/>
  <c r="DE81" i="67"/>
  <c r="DA81" i="67"/>
  <c r="DI80" i="67"/>
  <c r="DE80" i="67"/>
  <c r="DA80" i="67"/>
  <c r="DH79" i="67"/>
  <c r="DI79" i="67" s="1"/>
  <c r="DD79" i="67"/>
  <c r="DE79" i="67"/>
  <c r="CZ79" i="67"/>
  <c r="DA79" i="67" s="1"/>
  <c r="DI78" i="67"/>
  <c r="DE78" i="67"/>
  <c r="DA78" i="67"/>
  <c r="DH77" i="67"/>
  <c r="DI77" i="67" s="1"/>
  <c r="DD77" i="67"/>
  <c r="DE77" i="67" s="1"/>
  <c r="CZ77" i="67"/>
  <c r="DA77" i="67" s="1"/>
  <c r="DH76" i="67"/>
  <c r="DI76" i="67" s="1"/>
  <c r="DD76" i="67"/>
  <c r="DE76" i="67" s="1"/>
  <c r="CZ76" i="67"/>
  <c r="DA76" i="67" s="1"/>
  <c r="DH75" i="67"/>
  <c r="DI75" i="67" s="1"/>
  <c r="DD75" i="67"/>
  <c r="DE75" i="67" s="1"/>
  <c r="CZ75" i="67"/>
  <c r="DA75" i="67" s="1"/>
  <c r="DH74" i="67"/>
  <c r="DI74" i="67" s="1"/>
  <c r="DD74" i="67"/>
  <c r="DE74" i="67" s="1"/>
  <c r="CZ74" i="67"/>
  <c r="DA74" i="67" s="1"/>
  <c r="DH73" i="67"/>
  <c r="DI73" i="67" s="1"/>
  <c r="DD73" i="67"/>
  <c r="DE73" i="67" s="1"/>
  <c r="CZ73" i="67"/>
  <c r="DA73" i="67" s="1"/>
  <c r="DH72" i="67"/>
  <c r="DI72" i="67" s="1"/>
  <c r="DD72" i="67"/>
  <c r="DE72" i="67" s="1"/>
  <c r="CZ72" i="67"/>
  <c r="DA72" i="67" s="1"/>
  <c r="DH71" i="67"/>
  <c r="DI71" i="67" s="1"/>
  <c r="DD71" i="67"/>
  <c r="DE71" i="67" s="1"/>
  <c r="CZ71" i="67"/>
  <c r="DA71" i="67" s="1"/>
  <c r="DH70" i="67"/>
  <c r="DI70" i="67" s="1"/>
  <c r="DD70" i="67"/>
  <c r="DE70" i="67" s="1"/>
  <c r="CZ70" i="67"/>
  <c r="DA70" i="67" s="1"/>
  <c r="DH69" i="67"/>
  <c r="DI69" i="67" s="1"/>
  <c r="DD69" i="67"/>
  <c r="DE69" i="67" s="1"/>
  <c r="CZ69" i="67"/>
  <c r="DA69" i="67" s="1"/>
  <c r="DH68" i="67"/>
  <c r="DI68" i="67" s="1"/>
  <c r="DD68" i="67"/>
  <c r="DE68" i="67" s="1"/>
  <c r="CZ68" i="67"/>
  <c r="DA68" i="67" s="1"/>
  <c r="DH67" i="67"/>
  <c r="DI67" i="67" s="1"/>
  <c r="DD67" i="67"/>
  <c r="DE67" i="67" s="1"/>
  <c r="CZ67" i="67"/>
  <c r="DA67" i="67" s="1"/>
  <c r="DH66" i="67"/>
  <c r="DI66" i="67" s="1"/>
  <c r="DD66" i="67"/>
  <c r="DE66" i="67" s="1"/>
  <c r="CZ66" i="67"/>
  <c r="DA66" i="67" s="1"/>
  <c r="DH65" i="67"/>
  <c r="DI65" i="67" s="1"/>
  <c r="DD65" i="67"/>
  <c r="DE65" i="67" s="1"/>
  <c r="CZ65" i="67"/>
  <c r="DA65" i="67" s="1"/>
  <c r="DH64" i="67"/>
  <c r="DI64" i="67" s="1"/>
  <c r="DH63" i="67"/>
  <c r="DI63" i="67" s="1"/>
  <c r="DH62" i="67"/>
  <c r="DI62" i="67" s="1"/>
  <c r="DD62" i="67"/>
  <c r="DE62" i="67" s="1"/>
  <c r="CZ62" i="67"/>
  <c r="DA62" i="67" s="1"/>
  <c r="DH61" i="67"/>
  <c r="DI61" i="67" s="1"/>
  <c r="DD61" i="67"/>
  <c r="DE61" i="67" s="1"/>
  <c r="CZ61" i="67"/>
  <c r="DA61" i="67" s="1"/>
  <c r="DH60" i="67"/>
  <c r="DI60" i="67" s="1"/>
  <c r="DD60" i="67"/>
  <c r="DE60" i="67" s="1"/>
  <c r="CZ60" i="67"/>
  <c r="DA60" i="67" s="1"/>
  <c r="DH59" i="67"/>
  <c r="DI59" i="67" s="1"/>
  <c r="DD59" i="67"/>
  <c r="DE59" i="67" s="1"/>
  <c r="CZ59" i="67"/>
  <c r="DA59" i="67" s="1"/>
  <c r="DH58" i="67"/>
  <c r="DI58" i="67" s="1"/>
  <c r="DD58" i="67"/>
  <c r="DE58" i="67" s="1"/>
  <c r="CZ58" i="67"/>
  <c r="DA58" i="67" s="1"/>
  <c r="DH57" i="67"/>
  <c r="DI57" i="67" s="1"/>
  <c r="DD57" i="67"/>
  <c r="DE57" i="67" s="1"/>
  <c r="CZ57" i="67"/>
  <c r="DA57" i="67" s="1"/>
  <c r="DH56" i="67"/>
  <c r="DI56" i="67" s="1"/>
  <c r="DD56" i="67"/>
  <c r="DE56" i="67" s="1"/>
  <c r="CZ56" i="67"/>
  <c r="DA56" i="67" s="1"/>
  <c r="DH55" i="67"/>
  <c r="DI55" i="67" s="1"/>
  <c r="DD55" i="67"/>
  <c r="DE55" i="67" s="1"/>
  <c r="CZ55" i="67"/>
  <c r="DA55" i="67" s="1"/>
  <c r="DH54" i="67"/>
  <c r="DI54" i="67" s="1"/>
  <c r="DD54" i="67"/>
  <c r="DE54" i="67" s="1"/>
  <c r="CZ54" i="67"/>
  <c r="DA54" i="67" s="1"/>
  <c r="DH53" i="67"/>
  <c r="DI53" i="67" s="1"/>
  <c r="DD53" i="67"/>
  <c r="DE53" i="67" s="1"/>
  <c r="CZ53" i="67"/>
  <c r="DA53" i="67" s="1"/>
  <c r="DH52" i="67"/>
  <c r="DI52" i="67" s="1"/>
  <c r="DD52" i="67"/>
  <c r="DE52" i="67" s="1"/>
  <c r="CZ52" i="67"/>
  <c r="DA52" i="67" s="1"/>
  <c r="DH51" i="67"/>
  <c r="DI51" i="67" s="1"/>
  <c r="DD51" i="67"/>
  <c r="DE51" i="67" s="1"/>
  <c r="CZ51" i="67"/>
  <c r="DA51" i="67" s="1"/>
  <c r="DH50" i="67"/>
  <c r="DI50" i="67" s="1"/>
  <c r="DD50" i="67"/>
  <c r="DE50" i="67" s="1"/>
  <c r="CZ50" i="67"/>
  <c r="DA50" i="67" s="1"/>
  <c r="DH49" i="67"/>
  <c r="DI49" i="67" s="1"/>
  <c r="DD49" i="67"/>
  <c r="DE49" i="67" s="1"/>
  <c r="CZ49" i="67"/>
  <c r="DA49" i="67" s="1"/>
  <c r="DH48" i="67"/>
  <c r="DI48" i="67" s="1"/>
  <c r="DD48" i="67"/>
  <c r="DE48" i="67" s="1"/>
  <c r="CZ48" i="67"/>
  <c r="DA48" i="67" s="1"/>
  <c r="DH47" i="67"/>
  <c r="DI47" i="67" s="1"/>
  <c r="DD47" i="67"/>
  <c r="DE47" i="67" s="1"/>
  <c r="CZ47" i="67"/>
  <c r="DA47" i="67" s="1"/>
  <c r="DH46" i="67"/>
  <c r="DI46" i="67" s="1"/>
  <c r="DD46" i="67"/>
  <c r="DE46" i="67" s="1"/>
  <c r="CZ46" i="67"/>
  <c r="DA46" i="67" s="1"/>
  <c r="DH45" i="67"/>
  <c r="DI45" i="67" s="1"/>
  <c r="DD45" i="67"/>
  <c r="DE45" i="67" s="1"/>
  <c r="CZ45" i="67"/>
  <c r="DA45" i="67" s="1"/>
  <c r="DI44" i="67"/>
  <c r="DE44" i="67"/>
  <c r="DA44" i="67"/>
  <c r="DH43" i="67"/>
  <c r="DI43" i="67" s="1"/>
  <c r="DD43" i="67"/>
  <c r="DE43" i="67"/>
  <c r="CZ43" i="67"/>
  <c r="DA43" i="67"/>
  <c r="DH42" i="67"/>
  <c r="DI42" i="67"/>
  <c r="DD42" i="67"/>
  <c r="DE42" i="67" s="1"/>
  <c r="CZ42" i="67"/>
  <c r="DA42" i="67"/>
  <c r="DI41" i="67"/>
  <c r="DE41" i="67"/>
  <c r="DA41" i="67"/>
  <c r="DH40" i="67"/>
  <c r="DI40" i="67" s="1"/>
  <c r="DD40" i="67"/>
  <c r="DE40" i="67" s="1"/>
  <c r="CZ40" i="67"/>
  <c r="DA40" i="67" s="1"/>
  <c r="DH39" i="67"/>
  <c r="DI39" i="67" s="1"/>
  <c r="DD39" i="67"/>
  <c r="DE39" i="67" s="1"/>
  <c r="CZ39" i="67"/>
  <c r="DA39" i="67" s="1"/>
  <c r="DH38" i="67"/>
  <c r="DI38" i="67" s="1"/>
  <c r="DD38" i="67"/>
  <c r="DE38" i="67" s="1"/>
  <c r="DA38" i="67"/>
  <c r="CZ38" i="67"/>
  <c r="DH37" i="67"/>
  <c r="DI37" i="67" s="1"/>
  <c r="DD37" i="67"/>
  <c r="DE37" i="67" s="1"/>
  <c r="CZ37" i="67"/>
  <c r="DA37" i="67" s="1"/>
  <c r="DI36" i="67"/>
  <c r="DH36" i="67"/>
  <c r="DD36" i="67"/>
  <c r="DE36" i="67" s="1"/>
  <c r="CZ36" i="67"/>
  <c r="DA36" i="67" s="1"/>
  <c r="DH34" i="67"/>
  <c r="DI34" i="67" s="1"/>
  <c r="DD34" i="67"/>
  <c r="DE34" i="67" s="1"/>
  <c r="DA34" i="67"/>
  <c r="CZ34" i="67"/>
  <c r="DH33" i="67"/>
  <c r="DI33" i="67" s="1"/>
  <c r="DD33" i="67"/>
  <c r="DE33" i="67" s="1"/>
  <c r="CZ33" i="67"/>
  <c r="DA33" i="67" s="1"/>
  <c r="DI32" i="67"/>
  <c r="DH32" i="67"/>
  <c r="DD32" i="67"/>
  <c r="DE32" i="67" s="1"/>
  <c r="CZ32" i="67"/>
  <c r="DA32" i="67" s="1"/>
  <c r="DH31" i="67"/>
  <c r="DI31" i="67" s="1"/>
  <c r="DE31" i="67"/>
  <c r="DD31" i="67"/>
  <c r="CZ31" i="67"/>
  <c r="DA31" i="67" s="1"/>
  <c r="DH30" i="67"/>
  <c r="DI30" i="67" s="1"/>
  <c r="DD30" i="67"/>
  <c r="DE30" i="67" s="1"/>
  <c r="DA30" i="67"/>
  <c r="CZ30" i="67"/>
  <c r="DH29" i="67"/>
  <c r="DI29" i="67" s="1"/>
  <c r="DD29" i="67"/>
  <c r="DE29" i="67" s="1"/>
  <c r="CZ29" i="67"/>
  <c r="DA29" i="67" s="1"/>
  <c r="DI28" i="67"/>
  <c r="DH28" i="67"/>
  <c r="DD28" i="67"/>
  <c r="DE28" i="67" s="1"/>
  <c r="CZ28" i="67"/>
  <c r="DA28" i="67" s="1"/>
  <c r="DH27" i="67"/>
  <c r="DI27" i="67" s="1"/>
  <c r="DE27" i="67"/>
  <c r="DD27" i="67"/>
  <c r="CZ27" i="67"/>
  <c r="DA27" i="67" s="1"/>
  <c r="DH26" i="67"/>
  <c r="DI26" i="67" s="1"/>
  <c r="DD26" i="67"/>
  <c r="DE26" i="67" s="1"/>
  <c r="DA26" i="67"/>
  <c r="CZ26" i="67"/>
  <c r="DH25" i="67"/>
  <c r="DI25" i="67" s="1"/>
  <c r="DD25" i="67"/>
  <c r="DE25" i="67" s="1"/>
  <c r="CZ25" i="67"/>
  <c r="DA25" i="67" s="1"/>
  <c r="DI24" i="67"/>
  <c r="DE24" i="67"/>
  <c r="DA24" i="67"/>
  <c r="DH23" i="67"/>
  <c r="DI23" i="67" s="1"/>
  <c r="DD23" i="67"/>
  <c r="DE23" i="67"/>
  <c r="CZ23" i="67"/>
  <c r="DA23" i="67"/>
  <c r="DH22" i="67"/>
  <c r="DI22" i="67"/>
  <c r="DD22" i="67"/>
  <c r="DE22" i="67" s="1"/>
  <c r="CZ22" i="67"/>
  <c r="DA22" i="67"/>
  <c r="DI21" i="67"/>
  <c r="DE21" i="67"/>
  <c r="DA21" i="67"/>
  <c r="DH20" i="67"/>
  <c r="DI20" i="67" s="1"/>
  <c r="DD20" i="67"/>
  <c r="DE20" i="67" s="1"/>
  <c r="CZ20" i="67"/>
  <c r="DA20" i="67" s="1"/>
  <c r="DI19" i="67"/>
  <c r="DH19" i="67"/>
  <c r="DD19" i="67"/>
  <c r="DE19" i="67" s="1"/>
  <c r="CZ19" i="67"/>
  <c r="DA19" i="67" s="1"/>
  <c r="DH18" i="67"/>
  <c r="DI18" i="67" s="1"/>
  <c r="DE18" i="67"/>
  <c r="DD18" i="67"/>
  <c r="CZ18" i="67"/>
  <c r="DA18" i="67" s="1"/>
  <c r="DH17" i="67"/>
  <c r="DI17" i="67" s="1"/>
  <c r="DD17" i="67"/>
  <c r="DE17" i="67" s="1"/>
  <c r="DA17" i="67"/>
  <c r="CZ17" i="67"/>
  <c r="DH16" i="67"/>
  <c r="DI16" i="67" s="1"/>
  <c r="DD16" i="67"/>
  <c r="DE16" i="67" s="1"/>
  <c r="CZ16" i="67"/>
  <c r="DA16" i="67" s="1"/>
  <c r="DI15" i="67"/>
  <c r="DH15" i="67"/>
  <c r="DD15" i="67"/>
  <c r="DE15" i="67" s="1"/>
  <c r="CZ15" i="67"/>
  <c r="DA15" i="67" s="1"/>
  <c r="DI14" i="67"/>
  <c r="DE14" i="67"/>
  <c r="DA14" i="67"/>
  <c r="DH13" i="67"/>
  <c r="DI13" i="67"/>
  <c r="DD13" i="67"/>
  <c r="DE13" i="67"/>
  <c r="CZ13" i="67"/>
  <c r="DA13" i="67"/>
  <c r="DH12" i="67"/>
  <c r="DI12" i="67"/>
  <c r="DD12" i="67"/>
  <c r="DE12" i="67"/>
  <c r="CZ12" i="67"/>
  <c r="DA12" i="67" s="1"/>
  <c r="DH11" i="67"/>
  <c r="DI11" i="67"/>
  <c r="DD11" i="67"/>
  <c r="DE11" i="67"/>
  <c r="CZ11" i="67"/>
  <c r="DA11" i="67"/>
  <c r="DH10" i="67"/>
  <c r="DI10" i="67" s="1"/>
  <c r="DD10" i="67"/>
  <c r="DE10" i="67"/>
  <c r="CZ10" i="67"/>
  <c r="DA10" i="67"/>
  <c r="DH9" i="67"/>
  <c r="DI9" i="67"/>
  <c r="DD9" i="67"/>
  <c r="DE9" i="67" s="1"/>
  <c r="CZ9" i="67"/>
  <c r="DA9" i="67"/>
  <c r="DH8" i="67"/>
  <c r="DI8" i="67"/>
  <c r="DD8" i="67"/>
  <c r="DE8" i="67"/>
  <c r="CZ8" i="67"/>
  <c r="DA8" i="67" s="1"/>
  <c r="DG7" i="67"/>
  <c r="DF7" i="67"/>
  <c r="DC7" i="67"/>
  <c r="DB7" i="67"/>
  <c r="CY7" i="67"/>
  <c r="CX7" i="67"/>
  <c r="CN62" i="67"/>
  <c r="CO62" i="67" s="1"/>
  <c r="CR62" i="67"/>
  <c r="CS62" i="67"/>
  <c r="CR63" i="67"/>
  <c r="CS63" i="67"/>
  <c r="CN63" i="67"/>
  <c r="CO63" i="67"/>
  <c r="CW81" i="67"/>
  <c r="CS81" i="67"/>
  <c r="CO81" i="67"/>
  <c r="CW80" i="67"/>
  <c r="CS80" i="67"/>
  <c r="CO80" i="67"/>
  <c r="CV79" i="67"/>
  <c r="CW79" i="67"/>
  <c r="CR79" i="67"/>
  <c r="CS79" i="67" s="1"/>
  <c r="CN79" i="67"/>
  <c r="CO79" i="67"/>
  <c r="CW78" i="67"/>
  <c r="CS78" i="67"/>
  <c r="CO78" i="67"/>
  <c r="CV77" i="67"/>
  <c r="CW77" i="67" s="1"/>
  <c r="CR77" i="67"/>
  <c r="CS77" i="67" s="1"/>
  <c r="CN77" i="67"/>
  <c r="CO77" i="67" s="1"/>
  <c r="CV76" i="67"/>
  <c r="CW76" i="67" s="1"/>
  <c r="CR76" i="67"/>
  <c r="CS76" i="67" s="1"/>
  <c r="CN76" i="67"/>
  <c r="CO76" i="67" s="1"/>
  <c r="CV75" i="67"/>
  <c r="CW75" i="67" s="1"/>
  <c r="CR75" i="67"/>
  <c r="CS75" i="67" s="1"/>
  <c r="CN75" i="67"/>
  <c r="CO75" i="67" s="1"/>
  <c r="CV74" i="67"/>
  <c r="CW74" i="67" s="1"/>
  <c r="CR74" i="67"/>
  <c r="CS74" i="67" s="1"/>
  <c r="CN74" i="67"/>
  <c r="CO74" i="67" s="1"/>
  <c r="CV73" i="67"/>
  <c r="CW73" i="67" s="1"/>
  <c r="CR73" i="67"/>
  <c r="CS73" i="67" s="1"/>
  <c r="CN73" i="67"/>
  <c r="CO73" i="67" s="1"/>
  <c r="CV72" i="67"/>
  <c r="CW72" i="67" s="1"/>
  <c r="CR72" i="67"/>
  <c r="CS72" i="67" s="1"/>
  <c r="CN72" i="67"/>
  <c r="CO72" i="67" s="1"/>
  <c r="CV71" i="67"/>
  <c r="CW71" i="67" s="1"/>
  <c r="CR71" i="67"/>
  <c r="CS71" i="67" s="1"/>
  <c r="CN71" i="67"/>
  <c r="CO71" i="67" s="1"/>
  <c r="CV70" i="67"/>
  <c r="CW70" i="67" s="1"/>
  <c r="CR70" i="67"/>
  <c r="CS70" i="67" s="1"/>
  <c r="CN70" i="67"/>
  <c r="CO70" i="67" s="1"/>
  <c r="CV69" i="67"/>
  <c r="CW69" i="67" s="1"/>
  <c r="CR69" i="67"/>
  <c r="CS69" i="67" s="1"/>
  <c r="CN69" i="67"/>
  <c r="CO69" i="67" s="1"/>
  <c r="CV68" i="67"/>
  <c r="CW68" i="67" s="1"/>
  <c r="CR68" i="67"/>
  <c r="CS68" i="67" s="1"/>
  <c r="CN68" i="67"/>
  <c r="CO68" i="67" s="1"/>
  <c r="CV67" i="67"/>
  <c r="CW67" i="67" s="1"/>
  <c r="CR67" i="67"/>
  <c r="CS67" i="67" s="1"/>
  <c r="CN67" i="67"/>
  <c r="CO67" i="67" s="1"/>
  <c r="CV66" i="67"/>
  <c r="CW66" i="67" s="1"/>
  <c r="CR66" i="67"/>
  <c r="CS66" i="67" s="1"/>
  <c r="CN66" i="67"/>
  <c r="CO66" i="67" s="1"/>
  <c r="CV65" i="67"/>
  <c r="CW65" i="67" s="1"/>
  <c r="CR65" i="67"/>
  <c r="CS65" i="67"/>
  <c r="CN65" i="67"/>
  <c r="CO65" i="67" s="1"/>
  <c r="CV64" i="67"/>
  <c r="CW64" i="67" s="1"/>
  <c r="CR64" i="67"/>
  <c r="CS64" i="67" s="1"/>
  <c r="CN64" i="67"/>
  <c r="CO64" i="67" s="1"/>
  <c r="CV63" i="67"/>
  <c r="CW63" i="67" s="1"/>
  <c r="CV62" i="67"/>
  <c r="CW62" i="67" s="1"/>
  <c r="CV61" i="67"/>
  <c r="CW61" i="67" s="1"/>
  <c r="CR61" i="67"/>
  <c r="CS61" i="67"/>
  <c r="CN61" i="67"/>
  <c r="CO61" i="67" s="1"/>
  <c r="CV60" i="67"/>
  <c r="CW60" i="67" s="1"/>
  <c r="CR60" i="67"/>
  <c r="CS60" i="67" s="1"/>
  <c r="CN60" i="67"/>
  <c r="CO60" i="67" s="1"/>
  <c r="CV59" i="67"/>
  <c r="CW59" i="67" s="1"/>
  <c r="CR59" i="67"/>
  <c r="CS59" i="67" s="1"/>
  <c r="CN59" i="67"/>
  <c r="CO59" i="67" s="1"/>
  <c r="CV58" i="67"/>
  <c r="CW58" i="67"/>
  <c r="CR58" i="67"/>
  <c r="CS58" i="67" s="1"/>
  <c r="CN58" i="67"/>
  <c r="CO58" i="67"/>
  <c r="CV57" i="67"/>
  <c r="CW57" i="67" s="1"/>
  <c r="CR57" i="67"/>
  <c r="CS57" i="67" s="1"/>
  <c r="CN57" i="67"/>
  <c r="CO57" i="67" s="1"/>
  <c r="CV56" i="67"/>
  <c r="CW56" i="67" s="1"/>
  <c r="CR56" i="67"/>
  <c r="CS56" i="67" s="1"/>
  <c r="CN56" i="67"/>
  <c r="CO56" i="67"/>
  <c r="CV55" i="67"/>
  <c r="CW55" i="67" s="1"/>
  <c r="CR55" i="67"/>
  <c r="CS55" i="67"/>
  <c r="CN55" i="67"/>
  <c r="CO55" i="67" s="1"/>
  <c r="CV54" i="67"/>
  <c r="CW54" i="67" s="1"/>
  <c r="CR54" i="67"/>
  <c r="CS54" i="67" s="1"/>
  <c r="CN54" i="67"/>
  <c r="CO54" i="67" s="1"/>
  <c r="CV53" i="67"/>
  <c r="CW53" i="67" s="1"/>
  <c r="CR53" i="67"/>
  <c r="CS53" i="67"/>
  <c r="CN53" i="67"/>
  <c r="CO53" i="67" s="1"/>
  <c r="CV52" i="67"/>
  <c r="CW52" i="67"/>
  <c r="CR52" i="67"/>
  <c r="CS52" i="67" s="1"/>
  <c r="CN52" i="67"/>
  <c r="CO52" i="67" s="1"/>
  <c r="CV51" i="67"/>
  <c r="CW51" i="67" s="1"/>
  <c r="CR51" i="67"/>
  <c r="CS51" i="67" s="1"/>
  <c r="CN51" i="67"/>
  <c r="CO51" i="67" s="1"/>
  <c r="CV50" i="67"/>
  <c r="CW50" i="67"/>
  <c r="CR50" i="67"/>
  <c r="CS50" i="67" s="1"/>
  <c r="CN50" i="67"/>
  <c r="CO50" i="67"/>
  <c r="CV49" i="67"/>
  <c r="CW49" i="67" s="1"/>
  <c r="CR49" i="67"/>
  <c r="CS49" i="67" s="1"/>
  <c r="CN49" i="67"/>
  <c r="CO49" i="67" s="1"/>
  <c r="CV48" i="67"/>
  <c r="CW48" i="67" s="1"/>
  <c r="CR48" i="67"/>
  <c r="CS48" i="67" s="1"/>
  <c r="CN48" i="67"/>
  <c r="CO48" i="67"/>
  <c r="CV47" i="67"/>
  <c r="CW47" i="67" s="1"/>
  <c r="CR47" i="67"/>
  <c r="CS47" i="67"/>
  <c r="CN47" i="67"/>
  <c r="CO47" i="67" s="1"/>
  <c r="CV46" i="67"/>
  <c r="CW46" i="67" s="1"/>
  <c r="CR46" i="67"/>
  <c r="CS46" i="67"/>
  <c r="CN46" i="67"/>
  <c r="CO46" i="67" s="1"/>
  <c r="CV45" i="67"/>
  <c r="CW45" i="67"/>
  <c r="CR45" i="67"/>
  <c r="CS45" i="67" s="1"/>
  <c r="CN45" i="67"/>
  <c r="CO45" i="67"/>
  <c r="CW44" i="67"/>
  <c r="CS44" i="67"/>
  <c r="CO44" i="67"/>
  <c r="CW43" i="67"/>
  <c r="CV43" i="67"/>
  <c r="CR43" i="67"/>
  <c r="CS43" i="67" s="1"/>
  <c r="CN43" i="67"/>
  <c r="CO43" i="67" s="1"/>
  <c r="CV42" i="67"/>
  <c r="CW42" i="67"/>
  <c r="CS42" i="67"/>
  <c r="CR42" i="67"/>
  <c r="CN42" i="67"/>
  <c r="CO42" i="67" s="1"/>
  <c r="CW41" i="67"/>
  <c r="CS41" i="67"/>
  <c r="CO41" i="67"/>
  <c r="CV40" i="67"/>
  <c r="CW40" i="67"/>
  <c r="CR40" i="67"/>
  <c r="CS40" i="67" s="1"/>
  <c r="CN40" i="67"/>
  <c r="CO40" i="67"/>
  <c r="CV39" i="67"/>
  <c r="CW39" i="67" s="1"/>
  <c r="CR39" i="67"/>
  <c r="CS39" i="67"/>
  <c r="CN39" i="67"/>
  <c r="CO39" i="67" s="1"/>
  <c r="CV38" i="67"/>
  <c r="CW38" i="67"/>
  <c r="CR38" i="67"/>
  <c r="CS38" i="67" s="1"/>
  <c r="CN38" i="67"/>
  <c r="CO38" i="67"/>
  <c r="CV37" i="67"/>
  <c r="CW37" i="67" s="1"/>
  <c r="CR37" i="67"/>
  <c r="CS37" i="67"/>
  <c r="CN37" i="67"/>
  <c r="CO37" i="67" s="1"/>
  <c r="CV36" i="67"/>
  <c r="CW36" i="67"/>
  <c r="CR36" i="67"/>
  <c r="CS36" i="67" s="1"/>
  <c r="CN36" i="67"/>
  <c r="CO36" i="67"/>
  <c r="CV34" i="67"/>
  <c r="CW34" i="67" s="1"/>
  <c r="CR34" i="67"/>
  <c r="CS34" i="67"/>
  <c r="CN34" i="67"/>
  <c r="CO34" i="67" s="1"/>
  <c r="CV33" i="67"/>
  <c r="CW33" i="67"/>
  <c r="CR33" i="67"/>
  <c r="CS33" i="67" s="1"/>
  <c r="CN33" i="67"/>
  <c r="CO33" i="67"/>
  <c r="CV32" i="67"/>
  <c r="CW32" i="67" s="1"/>
  <c r="CR32" i="67"/>
  <c r="CS32" i="67"/>
  <c r="CN32" i="67"/>
  <c r="CO32" i="67" s="1"/>
  <c r="CV31" i="67"/>
  <c r="CW31" i="67"/>
  <c r="CR31" i="67"/>
  <c r="CS31" i="67" s="1"/>
  <c r="CN31" i="67"/>
  <c r="CO31" i="67"/>
  <c r="CV30" i="67"/>
  <c r="CW30" i="67" s="1"/>
  <c r="CR30" i="67"/>
  <c r="CS30" i="67"/>
  <c r="CN30" i="67"/>
  <c r="CO30" i="67" s="1"/>
  <c r="CV29" i="67"/>
  <c r="CW29" i="67"/>
  <c r="CR29" i="67"/>
  <c r="CS29" i="67" s="1"/>
  <c r="CN29" i="67"/>
  <c r="CO29" i="67"/>
  <c r="CV28" i="67"/>
  <c r="CW28" i="67" s="1"/>
  <c r="CR28" i="67"/>
  <c r="CS28" i="67"/>
  <c r="CN28" i="67"/>
  <c r="CO28" i="67" s="1"/>
  <c r="CV27" i="67"/>
  <c r="CW27" i="67"/>
  <c r="CR27" i="67"/>
  <c r="CS27" i="67" s="1"/>
  <c r="CN27" i="67"/>
  <c r="CO27" i="67"/>
  <c r="CV26" i="67"/>
  <c r="CW26" i="67" s="1"/>
  <c r="CR26" i="67"/>
  <c r="CS26" i="67"/>
  <c r="CN26" i="67"/>
  <c r="CO26" i="67" s="1"/>
  <c r="CV25" i="67"/>
  <c r="CW25" i="67"/>
  <c r="CR25" i="67"/>
  <c r="CS25" i="67" s="1"/>
  <c r="CN25" i="67"/>
  <c r="CO25" i="67"/>
  <c r="CW24" i="67"/>
  <c r="CS24" i="67"/>
  <c r="CO24" i="67"/>
  <c r="CW23" i="67"/>
  <c r="CV23" i="67"/>
  <c r="CR23" i="67"/>
  <c r="CS23" i="67"/>
  <c r="CN23" i="67"/>
  <c r="CO23" i="67" s="1"/>
  <c r="CV22" i="67"/>
  <c r="CW22" i="67" s="1"/>
  <c r="CS22" i="67"/>
  <c r="CR22" i="67"/>
  <c r="CN22" i="67"/>
  <c r="CO22" i="67"/>
  <c r="CW21" i="67"/>
  <c r="CS21" i="67"/>
  <c r="CO21" i="67"/>
  <c r="CV20" i="67"/>
  <c r="CW20" i="67"/>
  <c r="CR20" i="67"/>
  <c r="CS20" i="67" s="1"/>
  <c r="CN20" i="67"/>
  <c r="CO20" i="67"/>
  <c r="CV19" i="67"/>
  <c r="CW19" i="67" s="1"/>
  <c r="CR19" i="67"/>
  <c r="CS19" i="67"/>
  <c r="CN19" i="67"/>
  <c r="CO19" i="67" s="1"/>
  <c r="CV18" i="67"/>
  <c r="CW18" i="67"/>
  <c r="CR18" i="67"/>
  <c r="CS18" i="67" s="1"/>
  <c r="CN18" i="67"/>
  <c r="CO18" i="67"/>
  <c r="CV17" i="67"/>
  <c r="CW17" i="67" s="1"/>
  <c r="CR17" i="67"/>
  <c r="CS17" i="67"/>
  <c r="CN17" i="67"/>
  <c r="CO17" i="67" s="1"/>
  <c r="CV16" i="67"/>
  <c r="CW16" i="67"/>
  <c r="CR16" i="67"/>
  <c r="CS16" i="67" s="1"/>
  <c r="CN16" i="67"/>
  <c r="CO16" i="67"/>
  <c r="CV15" i="67"/>
  <c r="CW15" i="67" s="1"/>
  <c r="CR15" i="67"/>
  <c r="CS15" i="67"/>
  <c r="CN15" i="67"/>
  <c r="CO15" i="67" s="1"/>
  <c r="CW14" i="67"/>
  <c r="CS14" i="67"/>
  <c r="CO14" i="67"/>
  <c r="CV13" i="67"/>
  <c r="CW13" i="67"/>
  <c r="CR13" i="67"/>
  <c r="CS13" i="67" s="1"/>
  <c r="CN13" i="67"/>
  <c r="CO13" i="67"/>
  <c r="CV12" i="67"/>
  <c r="CW12" i="67" s="1"/>
  <c r="CR12" i="67"/>
  <c r="CS12" i="67" s="1"/>
  <c r="CO12" i="67"/>
  <c r="CN12" i="67"/>
  <c r="CV11" i="67"/>
  <c r="CW11" i="67"/>
  <c r="CR11" i="67"/>
  <c r="CS11" i="67" s="1"/>
  <c r="CN11" i="67"/>
  <c r="CO11" i="67" s="1"/>
  <c r="CW10" i="67"/>
  <c r="CV10" i="67"/>
  <c r="CR10" i="67"/>
  <c r="CS10" i="67"/>
  <c r="CN10" i="67"/>
  <c r="CO10" i="67" s="1"/>
  <c r="CV9" i="67"/>
  <c r="CW9" i="67" s="1"/>
  <c r="CS9" i="67"/>
  <c r="CR9" i="67"/>
  <c r="CN9" i="67"/>
  <c r="CO9" i="67"/>
  <c r="CV8" i="67"/>
  <c r="CW8" i="67" s="1"/>
  <c r="CR8" i="67"/>
  <c r="CS8" i="67" s="1"/>
  <c r="CO8" i="67"/>
  <c r="CN8" i="67"/>
  <c r="CU7" i="67"/>
  <c r="CT7" i="67"/>
  <c r="CQ7" i="67"/>
  <c r="CP7" i="67"/>
  <c r="CM7" i="67"/>
  <c r="CL7" i="67"/>
  <c r="CF61" i="67"/>
  <c r="CG61" i="67" s="1"/>
  <c r="CB61" i="67"/>
  <c r="CC61" i="67"/>
  <c r="CF62" i="67"/>
  <c r="CG62" i="67" s="1"/>
  <c r="CB62" i="67"/>
  <c r="CC62" i="67"/>
  <c r="CK81" i="67"/>
  <c r="CG81" i="67"/>
  <c r="CC81" i="67"/>
  <c r="CK80" i="67"/>
  <c r="CG80" i="67"/>
  <c r="CC80" i="67"/>
  <c r="CJ79" i="67"/>
  <c r="CK79" i="67"/>
  <c r="CF79" i="67"/>
  <c r="CG79" i="67" s="1"/>
  <c r="CB79" i="67"/>
  <c r="CC79" i="67"/>
  <c r="CK78" i="67"/>
  <c r="CG78" i="67"/>
  <c r="CC78" i="67"/>
  <c r="CJ77" i="67"/>
  <c r="CK77" i="67"/>
  <c r="CF77" i="67"/>
  <c r="CG77" i="67" s="1"/>
  <c r="CB77" i="67"/>
  <c r="CC77" i="67"/>
  <c r="CJ76" i="67"/>
  <c r="CK76" i="67" s="1"/>
  <c r="CF76" i="67"/>
  <c r="CG76" i="67"/>
  <c r="CB76" i="67"/>
  <c r="CC76" i="67" s="1"/>
  <c r="CJ75" i="67"/>
  <c r="CK75" i="67"/>
  <c r="CF75" i="67"/>
  <c r="CG75" i="67" s="1"/>
  <c r="CB75" i="67"/>
  <c r="CC75" i="67"/>
  <c r="CJ74" i="67"/>
  <c r="CK74" i="67" s="1"/>
  <c r="CF74" i="67"/>
  <c r="CG74" i="67"/>
  <c r="CB74" i="67"/>
  <c r="CC74" i="67" s="1"/>
  <c r="CJ73" i="67"/>
  <c r="CK73" i="67"/>
  <c r="CF73" i="67"/>
  <c r="CG73" i="67" s="1"/>
  <c r="CB73" i="67"/>
  <c r="CC73" i="67"/>
  <c r="CJ72" i="67"/>
  <c r="CK72" i="67" s="1"/>
  <c r="CF72" i="67"/>
  <c r="CG72" i="67"/>
  <c r="CB72" i="67"/>
  <c r="CC72" i="67" s="1"/>
  <c r="CJ71" i="67"/>
  <c r="CK71" i="67"/>
  <c r="CF71" i="67"/>
  <c r="CG71" i="67" s="1"/>
  <c r="CB71" i="67"/>
  <c r="CC71" i="67"/>
  <c r="CJ70" i="67"/>
  <c r="CK70" i="67" s="1"/>
  <c r="CF70" i="67"/>
  <c r="CG70" i="67"/>
  <c r="CB70" i="67"/>
  <c r="CC70" i="67" s="1"/>
  <c r="CJ69" i="67"/>
  <c r="CK69" i="67"/>
  <c r="CF69" i="67"/>
  <c r="CG69" i="67" s="1"/>
  <c r="CB69" i="67"/>
  <c r="CC69" i="67"/>
  <c r="CJ68" i="67"/>
  <c r="CK68" i="67" s="1"/>
  <c r="CF68" i="67"/>
  <c r="CG68" i="67"/>
  <c r="CB68" i="67"/>
  <c r="CC68" i="67" s="1"/>
  <c r="CJ67" i="67"/>
  <c r="CK67" i="67"/>
  <c r="CF67" i="67"/>
  <c r="CG67" i="67" s="1"/>
  <c r="CB67" i="67"/>
  <c r="CC67" i="67"/>
  <c r="CJ66" i="67"/>
  <c r="CK66" i="67" s="1"/>
  <c r="CF66" i="67"/>
  <c r="CG66" i="67"/>
  <c r="CB66" i="67"/>
  <c r="CC66" i="67" s="1"/>
  <c r="CJ65" i="67"/>
  <c r="CK65" i="67"/>
  <c r="CF65" i="67"/>
  <c r="CG65" i="67" s="1"/>
  <c r="CB65" i="67"/>
  <c r="CC65" i="67"/>
  <c r="CJ64" i="67"/>
  <c r="CK64" i="67" s="1"/>
  <c r="CF64" i="67"/>
  <c r="CG64" i="67"/>
  <c r="CB64" i="67"/>
  <c r="CC64" i="67" s="1"/>
  <c r="CJ63" i="67"/>
  <c r="CK63" i="67"/>
  <c r="CF63" i="67"/>
  <c r="CG63" i="67" s="1"/>
  <c r="CB63" i="67"/>
  <c r="CC63" i="67"/>
  <c r="CJ62" i="67"/>
  <c r="CK62" i="67" s="1"/>
  <c r="CJ61" i="67"/>
  <c r="CK61" i="67"/>
  <c r="CJ60" i="67"/>
  <c r="CK60" i="67" s="1"/>
  <c r="CF60" i="67"/>
  <c r="CG60" i="67"/>
  <c r="CB60" i="67"/>
  <c r="CC60" i="67" s="1"/>
  <c r="CJ59" i="67"/>
  <c r="CK59" i="67"/>
  <c r="CF59" i="67"/>
  <c r="CG59" i="67" s="1"/>
  <c r="CB59" i="67"/>
  <c r="CC59" i="67"/>
  <c r="CJ58" i="67"/>
  <c r="CK58" i="67" s="1"/>
  <c r="CF58" i="67"/>
  <c r="CG58" i="67"/>
  <c r="CB58" i="67"/>
  <c r="CC58" i="67" s="1"/>
  <c r="CJ57" i="67"/>
  <c r="CK57" i="67"/>
  <c r="CF57" i="67"/>
  <c r="CG57" i="67" s="1"/>
  <c r="CB57" i="67"/>
  <c r="CC57" i="67"/>
  <c r="CJ56" i="67"/>
  <c r="CK56" i="67" s="1"/>
  <c r="CF56" i="67"/>
  <c r="CG56" i="67"/>
  <c r="CB56" i="67"/>
  <c r="CC56" i="67" s="1"/>
  <c r="CJ55" i="67"/>
  <c r="CK55" i="67"/>
  <c r="CF55" i="67"/>
  <c r="CG55" i="67" s="1"/>
  <c r="CB55" i="67"/>
  <c r="CC55" i="67"/>
  <c r="CJ54" i="67"/>
  <c r="CK54" i="67" s="1"/>
  <c r="CF54" i="67"/>
  <c r="CG54" i="67"/>
  <c r="CB54" i="67"/>
  <c r="CC54" i="67" s="1"/>
  <c r="CJ53" i="67"/>
  <c r="CK53" i="67"/>
  <c r="CF53" i="67"/>
  <c r="CG53" i="67" s="1"/>
  <c r="CB53" i="67"/>
  <c r="CC53" i="67"/>
  <c r="CJ52" i="67"/>
  <c r="CK52" i="67" s="1"/>
  <c r="CF52" i="67"/>
  <c r="CG52" i="67"/>
  <c r="CB52" i="67"/>
  <c r="CC52" i="67" s="1"/>
  <c r="CJ51" i="67"/>
  <c r="CK51" i="67"/>
  <c r="CF51" i="67"/>
  <c r="CG51" i="67" s="1"/>
  <c r="CB51" i="67"/>
  <c r="CC51" i="67"/>
  <c r="CJ50" i="67"/>
  <c r="CK50" i="67" s="1"/>
  <c r="CF50" i="67"/>
  <c r="CG50" i="67"/>
  <c r="CB50" i="67"/>
  <c r="CC50" i="67" s="1"/>
  <c r="CJ49" i="67"/>
  <c r="CK49" i="67"/>
  <c r="CF49" i="67"/>
  <c r="CG49" i="67" s="1"/>
  <c r="CB49" i="67"/>
  <c r="CC49" i="67"/>
  <c r="CJ48" i="67"/>
  <c r="CK48" i="67" s="1"/>
  <c r="CF48" i="67"/>
  <c r="CG48" i="67"/>
  <c r="CB48" i="67"/>
  <c r="CC48" i="67" s="1"/>
  <c r="CJ47" i="67"/>
  <c r="CK47" i="67"/>
  <c r="CF47" i="67"/>
  <c r="CG47" i="67" s="1"/>
  <c r="CB47" i="67"/>
  <c r="CC47" i="67"/>
  <c r="CJ46" i="67"/>
  <c r="CK46" i="67" s="1"/>
  <c r="CF46" i="67"/>
  <c r="CG46" i="67"/>
  <c r="CB46" i="67"/>
  <c r="CC46" i="67" s="1"/>
  <c r="CJ45" i="67"/>
  <c r="CK45" i="67"/>
  <c r="CF45" i="67"/>
  <c r="CG45" i="67" s="1"/>
  <c r="CB45" i="67"/>
  <c r="CC45" i="67"/>
  <c r="CK44" i="67"/>
  <c r="CG44" i="67"/>
  <c r="CC44" i="67"/>
  <c r="CJ43" i="67"/>
  <c r="CK43" i="67" s="1"/>
  <c r="CF43" i="67"/>
  <c r="CG43" i="67"/>
  <c r="CB43" i="67"/>
  <c r="CC43" i="67" s="1"/>
  <c r="CJ42" i="67"/>
  <c r="CK42" i="67"/>
  <c r="CF42" i="67"/>
  <c r="CG42" i="67" s="1"/>
  <c r="CB42" i="67"/>
  <c r="CC42" i="67"/>
  <c r="CK41" i="67"/>
  <c r="CG41" i="67"/>
  <c r="CC41" i="67"/>
  <c r="CJ40" i="67"/>
  <c r="CK40" i="67"/>
  <c r="CF40" i="67"/>
  <c r="CG40" i="67" s="1"/>
  <c r="CB40" i="67"/>
  <c r="CC40" i="67"/>
  <c r="CJ39" i="67"/>
  <c r="CK39" i="67" s="1"/>
  <c r="CF39" i="67"/>
  <c r="CG39" i="67"/>
  <c r="CB39" i="67"/>
  <c r="CC39" i="67" s="1"/>
  <c r="CJ38" i="67"/>
  <c r="CK38" i="67"/>
  <c r="CF38" i="67"/>
  <c r="CG38" i="67" s="1"/>
  <c r="CB38" i="67"/>
  <c r="CC38" i="67"/>
  <c r="CJ37" i="67"/>
  <c r="CK37" i="67" s="1"/>
  <c r="CF37" i="67"/>
  <c r="CG37" i="67"/>
  <c r="CB37" i="67"/>
  <c r="CC37" i="67" s="1"/>
  <c r="CJ36" i="67"/>
  <c r="CK36" i="67"/>
  <c r="CF36" i="67"/>
  <c r="CG36" i="67" s="1"/>
  <c r="CB36" i="67"/>
  <c r="CC36" i="67"/>
  <c r="CJ34" i="67"/>
  <c r="CK34" i="67" s="1"/>
  <c r="CF34" i="67"/>
  <c r="CG34" i="67"/>
  <c r="CB34" i="67"/>
  <c r="CC34" i="67" s="1"/>
  <c r="CJ33" i="67"/>
  <c r="CK33" i="67"/>
  <c r="CF33" i="67"/>
  <c r="CG33" i="67" s="1"/>
  <c r="CB33" i="67"/>
  <c r="CC33" i="67"/>
  <c r="CJ32" i="67"/>
  <c r="CK32" i="67" s="1"/>
  <c r="CF32" i="67"/>
  <c r="CG32" i="67"/>
  <c r="CB32" i="67"/>
  <c r="CC32" i="67" s="1"/>
  <c r="CJ31" i="67"/>
  <c r="CK31" i="67"/>
  <c r="CF31" i="67"/>
  <c r="CG31" i="67" s="1"/>
  <c r="CB31" i="67"/>
  <c r="CC31" i="67"/>
  <c r="CJ30" i="67"/>
  <c r="CK30" i="67" s="1"/>
  <c r="CF30" i="67"/>
  <c r="CG30" i="67"/>
  <c r="CB30" i="67"/>
  <c r="CC30" i="67" s="1"/>
  <c r="CJ29" i="67"/>
  <c r="CK29" i="67"/>
  <c r="CF29" i="67"/>
  <c r="CG29" i="67" s="1"/>
  <c r="CB29" i="67"/>
  <c r="CC29" i="67"/>
  <c r="CJ28" i="67"/>
  <c r="CK28" i="67" s="1"/>
  <c r="CF28" i="67"/>
  <c r="CG28" i="67"/>
  <c r="CB28" i="67"/>
  <c r="CC28" i="67" s="1"/>
  <c r="CJ27" i="67"/>
  <c r="CK27" i="67"/>
  <c r="CF27" i="67"/>
  <c r="CG27" i="67" s="1"/>
  <c r="CB27" i="67"/>
  <c r="CC27" i="67"/>
  <c r="CJ26" i="67"/>
  <c r="CK26" i="67" s="1"/>
  <c r="CF26" i="67"/>
  <c r="CG26" i="67"/>
  <c r="CB26" i="67"/>
  <c r="CC26" i="67" s="1"/>
  <c r="CJ25" i="67"/>
  <c r="CK25" i="67"/>
  <c r="CF25" i="67"/>
  <c r="CG25" i="67" s="1"/>
  <c r="CB25" i="67"/>
  <c r="CC25" i="67"/>
  <c r="CK24" i="67"/>
  <c r="CG24" i="67"/>
  <c r="CC24" i="67"/>
  <c r="CJ23" i="67"/>
  <c r="CK23" i="67" s="1"/>
  <c r="CF23" i="67"/>
  <c r="CG23" i="67"/>
  <c r="CB23" i="67"/>
  <c r="CC23" i="67" s="1"/>
  <c r="CJ22" i="67"/>
  <c r="CK22" i="67"/>
  <c r="CF22" i="67"/>
  <c r="CG22" i="67" s="1"/>
  <c r="CB22" i="67"/>
  <c r="CC22" i="67"/>
  <c r="CK21" i="67"/>
  <c r="CG21" i="67"/>
  <c r="CC21" i="67"/>
  <c r="CJ20" i="67"/>
  <c r="CK20" i="67"/>
  <c r="CF20" i="67"/>
  <c r="CG20" i="67" s="1"/>
  <c r="CB20" i="67"/>
  <c r="CC20" i="67"/>
  <c r="CJ19" i="67"/>
  <c r="CK19" i="67" s="1"/>
  <c r="CF19" i="67"/>
  <c r="CG19" i="67"/>
  <c r="CB19" i="67"/>
  <c r="CC19" i="67" s="1"/>
  <c r="CJ18" i="67"/>
  <c r="CK18" i="67"/>
  <c r="CF18" i="67"/>
  <c r="CG18" i="67" s="1"/>
  <c r="CB18" i="67"/>
  <c r="CC18" i="67"/>
  <c r="CJ17" i="67"/>
  <c r="CK17" i="67" s="1"/>
  <c r="CF17" i="67"/>
  <c r="CG17" i="67"/>
  <c r="CB17" i="67"/>
  <c r="CC17" i="67" s="1"/>
  <c r="CJ16" i="67"/>
  <c r="CK16" i="67"/>
  <c r="CF16" i="67"/>
  <c r="CG16" i="67" s="1"/>
  <c r="CB16" i="67"/>
  <c r="CC16" i="67"/>
  <c r="CJ15" i="67"/>
  <c r="CK15" i="67" s="1"/>
  <c r="CF15" i="67"/>
  <c r="CG15" i="67"/>
  <c r="CB15" i="67"/>
  <c r="CC15" i="67" s="1"/>
  <c r="CK14" i="67"/>
  <c r="CG14" i="67"/>
  <c r="CC14" i="67"/>
  <c r="CJ13" i="67"/>
  <c r="CK13" i="67"/>
  <c r="CF13" i="67"/>
  <c r="CG13" i="67"/>
  <c r="CB13" i="67"/>
  <c r="CC13" i="67"/>
  <c r="CJ12" i="67"/>
  <c r="CK12" i="67"/>
  <c r="CF12" i="67"/>
  <c r="CG12" i="67"/>
  <c r="CB12" i="67"/>
  <c r="CC12" i="67"/>
  <c r="CJ11" i="67"/>
  <c r="CK11" i="67"/>
  <c r="CF11" i="67"/>
  <c r="CG11" i="67"/>
  <c r="CB11" i="67"/>
  <c r="CC11" i="67"/>
  <c r="CJ10" i="67"/>
  <c r="CK10" i="67"/>
  <c r="CF10" i="67"/>
  <c r="CG10" i="67"/>
  <c r="CB10" i="67"/>
  <c r="CC10" i="67"/>
  <c r="CJ9" i="67"/>
  <c r="CK9" i="67"/>
  <c r="CF9" i="67"/>
  <c r="CG9" i="67"/>
  <c r="CB9" i="67"/>
  <c r="CC9" i="67"/>
  <c r="CJ8" i="67"/>
  <c r="CK8" i="67"/>
  <c r="CF8" i="67"/>
  <c r="CG8" i="67"/>
  <c r="CB8" i="67"/>
  <c r="CC8" i="67"/>
  <c r="CI7" i="67"/>
  <c r="CH7" i="67"/>
  <c r="CE7" i="67"/>
  <c r="CD7" i="67"/>
  <c r="CA7" i="67"/>
  <c r="BZ7" i="67"/>
  <c r="BT60" i="67"/>
  <c r="BU60" i="67"/>
  <c r="BP60" i="67"/>
  <c r="BQ60" i="67"/>
  <c r="BT61" i="67"/>
  <c r="BU61" i="67" s="1"/>
  <c r="BP61" i="67"/>
  <c r="BQ61" i="67"/>
  <c r="BY81" i="67"/>
  <c r="BU81" i="67"/>
  <c r="BQ81" i="67"/>
  <c r="BY80" i="67"/>
  <c r="BU80" i="67"/>
  <c r="BQ80" i="67"/>
  <c r="BX79" i="67"/>
  <c r="BY79" i="67"/>
  <c r="BT79" i="67"/>
  <c r="BU79" i="67" s="1"/>
  <c r="BP79" i="67"/>
  <c r="BQ79" i="67"/>
  <c r="BY78" i="67"/>
  <c r="BU78" i="67"/>
  <c r="BQ78" i="67"/>
  <c r="BX77" i="67"/>
  <c r="BY77" i="67"/>
  <c r="BT77" i="67"/>
  <c r="BU77" i="67" s="1"/>
  <c r="BP77" i="67"/>
  <c r="BQ77" i="67"/>
  <c r="BX76" i="67"/>
  <c r="BY76" i="67" s="1"/>
  <c r="BT76" i="67"/>
  <c r="BU76" i="67" s="1"/>
  <c r="BP76" i="67"/>
  <c r="BQ76" i="67" s="1"/>
  <c r="BX75" i="67"/>
  <c r="BY75" i="67"/>
  <c r="BT75" i="67"/>
  <c r="BU75" i="67" s="1"/>
  <c r="BP75" i="67"/>
  <c r="BQ75" i="67"/>
  <c r="BX74" i="67"/>
  <c r="BY74" i="67" s="1"/>
  <c r="BT74" i="67"/>
  <c r="BU74" i="67"/>
  <c r="BP74" i="67"/>
  <c r="BQ74" i="67" s="1"/>
  <c r="BX73" i="67"/>
  <c r="BY73" i="67" s="1"/>
  <c r="BT73" i="67"/>
  <c r="BU73" i="67" s="1"/>
  <c r="BP73" i="67"/>
  <c r="BQ73" i="67"/>
  <c r="BX72" i="67"/>
  <c r="BY72" i="67" s="1"/>
  <c r="BT72" i="67"/>
  <c r="BU72" i="67"/>
  <c r="BP72" i="67"/>
  <c r="BQ72" i="67" s="1"/>
  <c r="BX71" i="67"/>
  <c r="BY71" i="67"/>
  <c r="BT71" i="67"/>
  <c r="BU71" i="67" s="1"/>
  <c r="BP71" i="67"/>
  <c r="BQ71" i="67" s="1"/>
  <c r="BX70" i="67"/>
  <c r="BY70" i="67" s="1"/>
  <c r="BT70" i="67"/>
  <c r="BU70" i="67"/>
  <c r="BP70" i="67"/>
  <c r="BQ70" i="67" s="1"/>
  <c r="BX69" i="67"/>
  <c r="BY69" i="67"/>
  <c r="BT69" i="67"/>
  <c r="BU69" i="67" s="1"/>
  <c r="BP69" i="67"/>
  <c r="BQ69" i="67"/>
  <c r="BX68" i="67"/>
  <c r="BY68" i="67" s="1"/>
  <c r="BT68" i="67"/>
  <c r="BU68" i="67" s="1"/>
  <c r="BP68" i="67"/>
  <c r="BQ68" i="67" s="1"/>
  <c r="BX67" i="67"/>
  <c r="BY67" i="67"/>
  <c r="BT67" i="67"/>
  <c r="BU67" i="67" s="1"/>
  <c r="BP67" i="67"/>
  <c r="BQ67" i="67"/>
  <c r="BX66" i="67"/>
  <c r="BY66" i="67" s="1"/>
  <c r="BT66" i="67"/>
  <c r="BU66" i="67"/>
  <c r="BP66" i="67"/>
  <c r="BQ66" i="67" s="1"/>
  <c r="BX65" i="67"/>
  <c r="BY65" i="67" s="1"/>
  <c r="BT65" i="67"/>
  <c r="BU65" i="67" s="1"/>
  <c r="BP65" i="67"/>
  <c r="BQ65" i="67"/>
  <c r="BX64" i="67"/>
  <c r="BY64" i="67" s="1"/>
  <c r="BT64" i="67"/>
  <c r="BU64" i="67"/>
  <c r="BP64" i="67"/>
  <c r="BQ64" i="67" s="1"/>
  <c r="BX63" i="67"/>
  <c r="BY63" i="67"/>
  <c r="BT63" i="67"/>
  <c r="BU63" i="67" s="1"/>
  <c r="BP63" i="67"/>
  <c r="BQ63" i="67" s="1"/>
  <c r="BX62" i="67"/>
  <c r="BY62" i="67" s="1"/>
  <c r="BT62" i="67"/>
  <c r="BU62" i="67"/>
  <c r="BP62" i="67"/>
  <c r="BQ62" i="67" s="1"/>
  <c r="BX61" i="67"/>
  <c r="BY61" i="67"/>
  <c r="BX60" i="67"/>
  <c r="BY60" i="67" s="1"/>
  <c r="BX59" i="67"/>
  <c r="BY59" i="67"/>
  <c r="BT59" i="67"/>
  <c r="BU59" i="67" s="1"/>
  <c r="BP59" i="67"/>
  <c r="BQ59" i="67" s="1"/>
  <c r="BX58" i="67"/>
  <c r="BY58" i="67" s="1"/>
  <c r="BT58" i="67"/>
  <c r="BU58" i="67"/>
  <c r="BP58" i="67"/>
  <c r="BQ58" i="67" s="1"/>
  <c r="BX57" i="67"/>
  <c r="BY57" i="67"/>
  <c r="BT57" i="67"/>
  <c r="BU57" i="67" s="1"/>
  <c r="BP57" i="67"/>
  <c r="BQ57" i="67"/>
  <c r="BX56" i="67"/>
  <c r="BY56" i="67" s="1"/>
  <c r="BT56" i="67"/>
  <c r="BU56" i="67" s="1"/>
  <c r="BP56" i="67"/>
  <c r="BQ56" i="67" s="1"/>
  <c r="BX55" i="67"/>
  <c r="BY55" i="67"/>
  <c r="BT55" i="67"/>
  <c r="BU55" i="67" s="1"/>
  <c r="BP55" i="67"/>
  <c r="BQ55" i="67"/>
  <c r="BX54" i="67"/>
  <c r="BY54" i="67" s="1"/>
  <c r="BT54" i="67"/>
  <c r="BU54" i="67"/>
  <c r="BP54" i="67"/>
  <c r="BQ54" i="67" s="1"/>
  <c r="BX53" i="67"/>
  <c r="BY53" i="67" s="1"/>
  <c r="BT53" i="67"/>
  <c r="BU53" i="67" s="1"/>
  <c r="BP53" i="67"/>
  <c r="BQ53" i="67"/>
  <c r="BX52" i="67"/>
  <c r="BY52" i="67" s="1"/>
  <c r="BT52" i="67"/>
  <c r="BU52" i="67"/>
  <c r="BP52" i="67"/>
  <c r="BQ52" i="67" s="1"/>
  <c r="BX51" i="67"/>
  <c r="BY51" i="67"/>
  <c r="BT51" i="67"/>
  <c r="BU51" i="67" s="1"/>
  <c r="BP51" i="67"/>
  <c r="BQ51" i="67" s="1"/>
  <c r="BX50" i="67"/>
  <c r="BY50" i="67" s="1"/>
  <c r="BT50" i="67"/>
  <c r="BU50" i="67"/>
  <c r="BP50" i="67"/>
  <c r="BQ50" i="67" s="1"/>
  <c r="BX49" i="67"/>
  <c r="BY49" i="67"/>
  <c r="BT49" i="67"/>
  <c r="BU49" i="67" s="1"/>
  <c r="BP49" i="67"/>
  <c r="BQ49" i="67"/>
  <c r="BX48" i="67"/>
  <c r="BY48" i="67" s="1"/>
  <c r="BT48" i="67"/>
  <c r="BU48" i="67" s="1"/>
  <c r="BP48" i="67"/>
  <c r="BQ48" i="67" s="1"/>
  <c r="BX47" i="67"/>
  <c r="BY47" i="67"/>
  <c r="BT47" i="67"/>
  <c r="BU47" i="67" s="1"/>
  <c r="BP47" i="67"/>
  <c r="BQ47" i="67"/>
  <c r="BX46" i="67"/>
  <c r="BY46" i="67" s="1"/>
  <c r="BT46" i="67"/>
  <c r="BU46" i="67"/>
  <c r="BP46" i="67"/>
  <c r="BQ46" i="67"/>
  <c r="BX45" i="67"/>
  <c r="BY45" i="67"/>
  <c r="BT45" i="67"/>
  <c r="BU45" i="67"/>
  <c r="BP45" i="67"/>
  <c r="BQ45" i="67"/>
  <c r="BY44" i="67"/>
  <c r="BU44" i="67"/>
  <c r="BQ44" i="67"/>
  <c r="BX43" i="67"/>
  <c r="BY43" i="67"/>
  <c r="BT43" i="67"/>
  <c r="BU43" i="67" s="1"/>
  <c r="BP43" i="67"/>
  <c r="BQ43" i="67"/>
  <c r="BX42" i="67"/>
  <c r="BY42" i="67" s="1"/>
  <c r="BT42" i="67"/>
  <c r="BU42" i="67"/>
  <c r="BP42" i="67"/>
  <c r="BQ42" i="67" s="1"/>
  <c r="BY41" i="67"/>
  <c r="BU41" i="67"/>
  <c r="BQ41" i="67"/>
  <c r="BX40" i="67"/>
  <c r="BY40" i="67"/>
  <c r="BT40" i="67"/>
  <c r="BU40" i="67"/>
  <c r="BP40" i="67"/>
  <c r="BQ40" i="67"/>
  <c r="BX39" i="67"/>
  <c r="BY39" i="67"/>
  <c r="BT39" i="67"/>
  <c r="BU39" i="67"/>
  <c r="BP39" i="67"/>
  <c r="BQ39" i="67"/>
  <c r="BX38" i="67"/>
  <c r="BY38" i="67"/>
  <c r="BT38" i="67"/>
  <c r="BU38" i="67"/>
  <c r="BP38" i="67"/>
  <c r="BQ38" i="67"/>
  <c r="BX37" i="67"/>
  <c r="BY37" i="67"/>
  <c r="BT37" i="67"/>
  <c r="BU37" i="67"/>
  <c r="BP37" i="67"/>
  <c r="BQ37" i="67"/>
  <c r="BX36" i="67"/>
  <c r="BY36" i="67"/>
  <c r="BT36" i="67"/>
  <c r="BU36" i="67"/>
  <c r="BP36" i="67"/>
  <c r="BQ36" i="67"/>
  <c r="BX34" i="67"/>
  <c r="BY34" i="67"/>
  <c r="BT34" i="67"/>
  <c r="BU34" i="67"/>
  <c r="BP34" i="67"/>
  <c r="BQ34" i="67"/>
  <c r="BX33" i="67"/>
  <c r="BY33" i="67"/>
  <c r="BT33" i="67"/>
  <c r="BU33" i="67"/>
  <c r="BP33" i="67"/>
  <c r="BQ33" i="67"/>
  <c r="BX32" i="67"/>
  <c r="BY32" i="67"/>
  <c r="BT32" i="67"/>
  <c r="BU32" i="67"/>
  <c r="BP32" i="67"/>
  <c r="BQ32" i="67"/>
  <c r="BX31" i="67"/>
  <c r="BY31" i="67"/>
  <c r="BT31" i="67"/>
  <c r="BU31" i="67"/>
  <c r="BP31" i="67"/>
  <c r="BQ31" i="67"/>
  <c r="BX30" i="67"/>
  <c r="BY30" i="67"/>
  <c r="BT30" i="67"/>
  <c r="BU30" i="67"/>
  <c r="BP30" i="67"/>
  <c r="BQ30" i="67"/>
  <c r="BX29" i="67"/>
  <c r="BY29" i="67"/>
  <c r="BT29" i="67"/>
  <c r="BU29" i="67"/>
  <c r="BP29" i="67"/>
  <c r="BQ29" i="67"/>
  <c r="BX28" i="67"/>
  <c r="BY28" i="67"/>
  <c r="BT28" i="67"/>
  <c r="BU28" i="67"/>
  <c r="BP28" i="67"/>
  <c r="BQ28" i="67"/>
  <c r="BX27" i="67"/>
  <c r="BY27" i="67"/>
  <c r="BT27" i="67"/>
  <c r="BU27" i="67"/>
  <c r="BP27" i="67"/>
  <c r="BQ27" i="67"/>
  <c r="BX26" i="67"/>
  <c r="BY26" i="67"/>
  <c r="BT26" i="67"/>
  <c r="BU26" i="67"/>
  <c r="BP26" i="67"/>
  <c r="BQ26" i="67"/>
  <c r="BX25" i="67"/>
  <c r="BY25" i="67"/>
  <c r="BT25" i="67"/>
  <c r="BU25" i="67"/>
  <c r="BP25" i="67"/>
  <c r="BQ25" i="67"/>
  <c r="BY24" i="67"/>
  <c r="BU24" i="67"/>
  <c r="BQ24" i="67"/>
  <c r="BX23" i="67"/>
  <c r="BY23" i="67" s="1"/>
  <c r="BT23" i="67"/>
  <c r="BU23" i="67" s="1"/>
  <c r="BP23" i="67"/>
  <c r="BQ23" i="67" s="1"/>
  <c r="BX22" i="67"/>
  <c r="BY22" i="67" s="1"/>
  <c r="BT22" i="67"/>
  <c r="BU22" i="67" s="1"/>
  <c r="BP22" i="67"/>
  <c r="BQ22" i="67" s="1"/>
  <c r="BY21" i="67"/>
  <c r="BU21" i="67"/>
  <c r="BQ21" i="67"/>
  <c r="BX20" i="67"/>
  <c r="BY20" i="67"/>
  <c r="BT20" i="67"/>
  <c r="BU20" i="67"/>
  <c r="BP20" i="67"/>
  <c r="BQ20" i="67"/>
  <c r="BX19" i="67"/>
  <c r="BY19" i="67"/>
  <c r="BT19" i="67"/>
  <c r="BU19" i="67"/>
  <c r="BP19" i="67"/>
  <c r="BQ19" i="67"/>
  <c r="BX18" i="67"/>
  <c r="BY18" i="67"/>
  <c r="BT18" i="67"/>
  <c r="BU18" i="67"/>
  <c r="BP18" i="67"/>
  <c r="BQ18" i="67"/>
  <c r="BX17" i="67"/>
  <c r="BY17" i="67"/>
  <c r="BT17" i="67"/>
  <c r="BU17" i="67"/>
  <c r="BP17" i="67"/>
  <c r="BQ17" i="67"/>
  <c r="BX16" i="67"/>
  <c r="BY16" i="67"/>
  <c r="BT16" i="67"/>
  <c r="BU16" i="67"/>
  <c r="BP16" i="67"/>
  <c r="BQ16" i="67"/>
  <c r="BX15" i="67"/>
  <c r="BY15" i="67"/>
  <c r="BT15" i="67"/>
  <c r="BU15" i="67"/>
  <c r="BP15" i="67"/>
  <c r="BQ15" i="67"/>
  <c r="BY14" i="67"/>
  <c r="BU14" i="67"/>
  <c r="BQ14" i="67"/>
  <c r="BX13" i="67"/>
  <c r="BY13" i="67" s="1"/>
  <c r="BT13" i="67"/>
  <c r="BU13" i="67" s="1"/>
  <c r="BP13" i="67"/>
  <c r="BQ13" i="67" s="1"/>
  <c r="BX12" i="67"/>
  <c r="BY12" i="67" s="1"/>
  <c r="BT12" i="67"/>
  <c r="BU12" i="67" s="1"/>
  <c r="BP12" i="67"/>
  <c r="BQ12" i="67" s="1"/>
  <c r="BX11" i="67"/>
  <c r="BY11" i="67" s="1"/>
  <c r="BT11" i="67"/>
  <c r="BU11" i="67" s="1"/>
  <c r="BP11" i="67"/>
  <c r="BQ11" i="67" s="1"/>
  <c r="BX10" i="67"/>
  <c r="BY10" i="67" s="1"/>
  <c r="BT10" i="67"/>
  <c r="BU10" i="67" s="1"/>
  <c r="BP10" i="67"/>
  <c r="BQ10" i="67" s="1"/>
  <c r="BX9" i="67"/>
  <c r="BY9" i="67" s="1"/>
  <c r="BT9" i="67"/>
  <c r="BU9" i="67" s="1"/>
  <c r="BP9" i="67"/>
  <c r="BQ9" i="67" s="1"/>
  <c r="BX8" i="67"/>
  <c r="BY8" i="67" s="1"/>
  <c r="BT8" i="67"/>
  <c r="BU8" i="67" s="1"/>
  <c r="BP8" i="67"/>
  <c r="BQ8" i="67" s="1"/>
  <c r="BW7" i="67"/>
  <c r="BV7" i="67"/>
  <c r="BS7" i="67"/>
  <c r="BR7" i="67"/>
  <c r="BO7" i="67"/>
  <c r="BN7" i="67"/>
  <c r="BI59" i="67"/>
  <c r="BH59" i="67"/>
  <c r="BD59" i="67"/>
  <c r="BE59" i="67" s="1"/>
  <c r="BH60" i="67"/>
  <c r="BI60" i="67" s="1"/>
  <c r="BD60" i="67"/>
  <c r="BE60" i="67" s="1"/>
  <c r="BM81" i="67"/>
  <c r="BI81" i="67"/>
  <c r="BE81" i="67"/>
  <c r="BM80" i="67"/>
  <c r="BI80" i="67"/>
  <c r="BE80" i="67"/>
  <c r="BL79" i="67"/>
  <c r="BM79" i="67" s="1"/>
  <c r="BH79" i="67"/>
  <c r="BI79" i="67" s="1"/>
  <c r="BD79" i="67"/>
  <c r="BE79" i="67" s="1"/>
  <c r="BM78" i="67"/>
  <c r="BI78" i="67"/>
  <c r="BE78" i="67"/>
  <c r="BL77" i="67"/>
  <c r="BM77" i="67"/>
  <c r="BH77" i="67"/>
  <c r="BI77" i="67"/>
  <c r="BD77" i="67"/>
  <c r="BE77" i="67"/>
  <c r="BL76" i="67"/>
  <c r="BM76" i="67"/>
  <c r="BH76" i="67"/>
  <c r="BI76" i="67"/>
  <c r="BD76" i="67"/>
  <c r="BE76" i="67"/>
  <c r="BL75" i="67"/>
  <c r="BM75" i="67"/>
  <c r="BH75" i="67"/>
  <c r="BI75" i="67"/>
  <c r="BD75" i="67"/>
  <c r="BE75" i="67"/>
  <c r="BL74" i="67"/>
  <c r="BM74" i="67"/>
  <c r="BH74" i="67"/>
  <c r="BI74" i="67"/>
  <c r="BD74" i="67"/>
  <c r="BE74" i="67"/>
  <c r="BL73" i="67"/>
  <c r="BM73" i="67"/>
  <c r="BH73" i="67"/>
  <c r="BI73" i="67"/>
  <c r="BD73" i="67"/>
  <c r="BE73" i="67"/>
  <c r="BL72" i="67"/>
  <c r="BM72" i="67"/>
  <c r="BH72" i="67"/>
  <c r="BI72" i="67"/>
  <c r="BD72" i="67"/>
  <c r="BE72" i="67"/>
  <c r="BL71" i="67"/>
  <c r="BM71" i="67"/>
  <c r="BH71" i="67"/>
  <c r="BI71" i="67"/>
  <c r="BD71" i="67"/>
  <c r="BE71" i="67"/>
  <c r="BL70" i="67"/>
  <c r="BM70" i="67"/>
  <c r="BH70" i="67"/>
  <c r="BI70" i="67"/>
  <c r="BD70" i="67"/>
  <c r="BE70" i="67"/>
  <c r="BL69" i="67"/>
  <c r="BM69" i="67"/>
  <c r="BH69" i="67"/>
  <c r="BI69" i="67"/>
  <c r="BD69" i="67"/>
  <c r="BE69" i="67"/>
  <c r="BL68" i="67"/>
  <c r="BM68" i="67"/>
  <c r="BH68" i="67"/>
  <c r="BI68" i="67"/>
  <c r="BD68" i="67"/>
  <c r="BE68" i="67"/>
  <c r="BL67" i="67"/>
  <c r="BM67" i="67"/>
  <c r="BH67" i="67"/>
  <c r="BI67" i="67"/>
  <c r="BD67" i="67"/>
  <c r="BE67" i="67"/>
  <c r="BL66" i="67"/>
  <c r="BM66" i="67"/>
  <c r="BH66" i="67"/>
  <c r="BI66" i="67"/>
  <c r="BD66" i="67"/>
  <c r="BE66" i="67"/>
  <c r="BL65" i="67"/>
  <c r="BM65" i="67"/>
  <c r="BH65" i="67"/>
  <c r="BI65" i="67"/>
  <c r="BD65" i="67"/>
  <c r="BE65" i="67"/>
  <c r="BL64" i="67"/>
  <c r="BM64" i="67"/>
  <c r="BH64" i="67"/>
  <c r="BI64" i="67"/>
  <c r="BD64" i="67"/>
  <c r="BE64" i="67"/>
  <c r="BL63" i="67"/>
  <c r="BM63" i="67"/>
  <c r="BH63" i="67"/>
  <c r="BI63" i="67"/>
  <c r="BD63" i="67"/>
  <c r="BE63" i="67"/>
  <c r="BL62" i="67"/>
  <c r="BM62" i="67"/>
  <c r="BH62" i="67"/>
  <c r="BI62" i="67"/>
  <c r="BD62" i="67"/>
  <c r="BE62" i="67"/>
  <c r="BL61" i="67"/>
  <c r="BM61" i="67"/>
  <c r="BH61" i="67"/>
  <c r="BI61" i="67"/>
  <c r="BD61" i="67"/>
  <c r="BE61" i="67"/>
  <c r="BL60" i="67"/>
  <c r="BM60" i="67"/>
  <c r="BL59" i="67"/>
  <c r="BM59" i="67"/>
  <c r="BL58" i="67"/>
  <c r="BM58" i="67"/>
  <c r="BH58" i="67"/>
  <c r="BI58" i="67"/>
  <c r="BD58" i="67"/>
  <c r="BE58" i="67"/>
  <c r="BL57" i="67"/>
  <c r="BM57" i="67"/>
  <c r="BH57" i="67"/>
  <c r="BI57" i="67"/>
  <c r="BD57" i="67"/>
  <c r="BE57" i="67"/>
  <c r="BL56" i="67"/>
  <c r="BM56" i="67"/>
  <c r="BH56" i="67"/>
  <c r="BI56" i="67"/>
  <c r="BD56" i="67"/>
  <c r="BE56" i="67"/>
  <c r="BL55" i="67"/>
  <c r="BM55" i="67"/>
  <c r="BH55" i="67"/>
  <c r="BI55" i="67"/>
  <c r="BD55" i="67"/>
  <c r="BE55" i="67"/>
  <c r="BL54" i="67"/>
  <c r="BM54" i="67"/>
  <c r="BH54" i="67"/>
  <c r="BI54" i="67"/>
  <c r="BD54" i="67"/>
  <c r="BE54" i="67"/>
  <c r="BL53" i="67"/>
  <c r="BM53" i="67"/>
  <c r="BH53" i="67"/>
  <c r="BI53" i="67"/>
  <c r="BD53" i="67"/>
  <c r="BE53" i="67"/>
  <c r="BL52" i="67"/>
  <c r="BM52" i="67"/>
  <c r="BH52" i="67"/>
  <c r="BI52" i="67"/>
  <c r="BD52" i="67"/>
  <c r="BE52" i="67"/>
  <c r="BL51" i="67"/>
  <c r="BM51" i="67"/>
  <c r="BH51" i="67"/>
  <c r="BI51" i="67"/>
  <c r="BD51" i="67"/>
  <c r="BE51" i="67"/>
  <c r="BL50" i="67"/>
  <c r="BM50" i="67"/>
  <c r="BH50" i="67"/>
  <c r="BI50" i="67"/>
  <c r="BD50" i="67"/>
  <c r="BE50" i="67"/>
  <c r="BL49" i="67"/>
  <c r="BM49" i="67"/>
  <c r="BH49" i="67"/>
  <c r="BI49" i="67"/>
  <c r="BD49" i="67"/>
  <c r="BE49" i="67"/>
  <c r="BL48" i="67"/>
  <c r="BM48" i="67"/>
  <c r="BH48" i="67"/>
  <c r="BI48" i="67"/>
  <c r="BD48" i="67"/>
  <c r="BE48" i="67"/>
  <c r="BL47" i="67"/>
  <c r="BM47" i="67"/>
  <c r="BH47" i="67"/>
  <c r="BI47" i="67"/>
  <c r="BD47" i="67"/>
  <c r="BE47" i="67"/>
  <c r="BL46" i="67"/>
  <c r="BM46" i="67"/>
  <c r="BH46" i="67"/>
  <c r="BI46" i="67"/>
  <c r="BD46" i="67"/>
  <c r="BE46" i="67"/>
  <c r="BL45" i="67"/>
  <c r="BM45" i="67"/>
  <c r="BH45" i="67"/>
  <c r="BI45" i="67"/>
  <c r="BD45" i="67"/>
  <c r="BE45" i="67"/>
  <c r="BM44" i="67"/>
  <c r="BI44" i="67"/>
  <c r="BE44" i="67"/>
  <c r="BL43" i="67"/>
  <c r="BM43" i="67" s="1"/>
  <c r="BH43" i="67"/>
  <c r="BI43" i="67" s="1"/>
  <c r="BD43" i="67"/>
  <c r="BE43" i="67" s="1"/>
  <c r="BL42" i="67"/>
  <c r="BM42" i="67" s="1"/>
  <c r="BH42" i="67"/>
  <c r="BI42" i="67" s="1"/>
  <c r="BD42" i="67"/>
  <c r="BE42" i="67" s="1"/>
  <c r="BM41" i="67"/>
  <c r="BI41" i="67"/>
  <c r="BE41" i="67"/>
  <c r="BL40" i="67"/>
  <c r="BM40" i="67"/>
  <c r="BH40" i="67"/>
  <c r="BI40" i="67"/>
  <c r="BD40" i="67"/>
  <c r="BE40" i="67"/>
  <c r="BL39" i="67"/>
  <c r="BM39" i="67"/>
  <c r="BH39" i="67"/>
  <c r="BI39" i="67"/>
  <c r="BD39" i="67"/>
  <c r="BE39" i="67"/>
  <c r="BL38" i="67"/>
  <c r="BM38" i="67"/>
  <c r="BH38" i="67"/>
  <c r="BI38" i="67"/>
  <c r="BD38" i="67"/>
  <c r="BE38" i="67"/>
  <c r="BL37" i="67"/>
  <c r="BM37" i="67"/>
  <c r="BH37" i="67"/>
  <c r="BI37" i="67"/>
  <c r="BD37" i="67"/>
  <c r="BE37" i="67"/>
  <c r="BL36" i="67"/>
  <c r="BM36" i="67"/>
  <c r="BH36" i="67"/>
  <c r="BI36" i="67" s="1"/>
  <c r="BD36" i="67"/>
  <c r="BE36" i="67"/>
  <c r="BL35" i="67"/>
  <c r="BM35" i="67"/>
  <c r="BH35" i="67"/>
  <c r="BI35" i="67"/>
  <c r="BD35" i="67"/>
  <c r="BE35" i="67"/>
  <c r="BL34" i="67"/>
  <c r="BM34" i="67"/>
  <c r="BH34" i="67"/>
  <c r="BI34" i="67"/>
  <c r="BD34" i="67"/>
  <c r="BE34" i="67"/>
  <c r="BL33" i="67"/>
  <c r="BM33" i="67" s="1"/>
  <c r="BH33" i="67"/>
  <c r="BI33" i="67"/>
  <c r="BD33" i="67"/>
  <c r="BE33" i="67"/>
  <c r="BL32" i="67"/>
  <c r="BM32" i="67"/>
  <c r="BH32" i="67"/>
  <c r="BI32" i="67" s="1"/>
  <c r="BD32" i="67"/>
  <c r="BE32" i="67"/>
  <c r="BL31" i="67"/>
  <c r="BM31" i="67"/>
  <c r="BH31" i="67"/>
  <c r="BI31" i="67"/>
  <c r="BD31" i="67"/>
  <c r="BE31" i="67" s="1"/>
  <c r="BL30" i="67"/>
  <c r="BM30" i="67"/>
  <c r="BH30" i="67"/>
  <c r="BI30" i="67"/>
  <c r="BD30" i="67"/>
  <c r="BE30" i="67"/>
  <c r="BL29" i="67"/>
  <c r="BM29" i="67" s="1"/>
  <c r="BH29" i="67"/>
  <c r="BI29" i="67"/>
  <c r="BD29" i="67"/>
  <c r="BE29" i="67"/>
  <c r="BL28" i="67"/>
  <c r="BM28" i="67"/>
  <c r="BH28" i="67"/>
  <c r="BI28" i="67" s="1"/>
  <c r="BD28" i="67"/>
  <c r="BE28" i="67"/>
  <c r="BL27" i="67"/>
  <c r="BM27" i="67"/>
  <c r="BH27" i="67"/>
  <c r="BI27" i="67"/>
  <c r="BD27" i="67"/>
  <c r="BE27" i="67" s="1"/>
  <c r="BL26" i="67"/>
  <c r="BM26" i="67"/>
  <c r="BH26" i="67"/>
  <c r="BI26" i="67"/>
  <c r="BD26" i="67"/>
  <c r="BE26" i="67"/>
  <c r="BL25" i="67"/>
  <c r="BM25" i="67" s="1"/>
  <c r="BH25" i="67"/>
  <c r="BI25" i="67"/>
  <c r="BD25" i="67"/>
  <c r="BE25" i="67"/>
  <c r="BM24" i="67"/>
  <c r="BI24" i="67"/>
  <c r="BE24" i="67"/>
  <c r="BL23" i="67"/>
  <c r="BM23" i="67" s="1"/>
  <c r="BH23" i="67"/>
  <c r="BI23" i="67" s="1"/>
  <c r="BD23" i="67"/>
  <c r="BE23" i="67" s="1"/>
  <c r="BL22" i="67"/>
  <c r="BM22" i="67" s="1"/>
  <c r="BH22" i="67"/>
  <c r="BI22" i="67" s="1"/>
  <c r="BD22" i="67"/>
  <c r="BE22" i="67" s="1"/>
  <c r="BM21" i="67"/>
  <c r="BI21" i="67"/>
  <c r="BE21" i="67"/>
  <c r="BL20" i="67"/>
  <c r="BM20" i="67" s="1"/>
  <c r="BH20" i="67"/>
  <c r="BI20" i="67"/>
  <c r="BD20" i="67"/>
  <c r="BE20" i="67"/>
  <c r="BL19" i="67"/>
  <c r="BM19" i="67"/>
  <c r="BH19" i="67"/>
  <c r="BI19" i="67" s="1"/>
  <c r="BD19" i="67"/>
  <c r="BE19" i="67"/>
  <c r="BL18" i="67"/>
  <c r="BM18" i="67"/>
  <c r="BH18" i="67"/>
  <c r="BI18" i="67"/>
  <c r="BD18" i="67"/>
  <c r="BE18" i="67" s="1"/>
  <c r="BL17" i="67"/>
  <c r="BM17" i="67"/>
  <c r="BH17" i="67"/>
  <c r="BI17" i="67"/>
  <c r="BD17" i="67"/>
  <c r="BE17" i="67"/>
  <c r="BL16" i="67"/>
  <c r="BM16" i="67" s="1"/>
  <c r="BH16" i="67"/>
  <c r="BI16" i="67"/>
  <c r="BD16" i="67"/>
  <c r="BE16" i="67"/>
  <c r="BL15" i="67"/>
  <c r="BM15" i="67"/>
  <c r="BH15" i="67"/>
  <c r="BI15" i="67" s="1"/>
  <c r="BD15" i="67"/>
  <c r="BE15" i="67"/>
  <c r="BM14" i="67"/>
  <c r="BI14" i="67"/>
  <c r="BE14" i="67"/>
  <c r="BL13" i="67"/>
  <c r="BM13" i="67" s="1"/>
  <c r="BH13" i="67"/>
  <c r="BI13" i="67" s="1"/>
  <c r="BD13" i="67"/>
  <c r="BE13" i="67" s="1"/>
  <c r="BL12" i="67"/>
  <c r="BM12" i="67" s="1"/>
  <c r="BH12" i="67"/>
  <c r="BI12" i="67" s="1"/>
  <c r="BD12" i="67"/>
  <c r="BE12" i="67" s="1"/>
  <c r="BL11" i="67"/>
  <c r="BM11" i="67" s="1"/>
  <c r="BH11" i="67"/>
  <c r="BI11" i="67" s="1"/>
  <c r="BD11" i="67"/>
  <c r="BE11" i="67" s="1"/>
  <c r="BL10" i="67"/>
  <c r="BM10" i="67" s="1"/>
  <c r="BH10" i="67"/>
  <c r="BI10" i="67" s="1"/>
  <c r="BD10" i="67"/>
  <c r="BE10" i="67" s="1"/>
  <c r="BL9" i="67"/>
  <c r="BM9" i="67" s="1"/>
  <c r="BH9" i="67"/>
  <c r="BI9" i="67" s="1"/>
  <c r="BD9" i="67"/>
  <c r="BE9" i="67" s="1"/>
  <c r="BL8" i="67"/>
  <c r="BM8" i="67" s="1"/>
  <c r="BH8" i="67"/>
  <c r="BI8" i="67" s="1"/>
  <c r="BD8" i="67"/>
  <c r="BE8" i="67" s="1"/>
  <c r="BK7" i="67"/>
  <c r="BJ7" i="67"/>
  <c r="BG7" i="67"/>
  <c r="BF7" i="67"/>
  <c r="BC7" i="67"/>
  <c r="BB7" i="67"/>
  <c r="AV58" i="67"/>
  <c r="AW58" i="67" s="1"/>
  <c r="AS58" i="67"/>
  <c r="AR58" i="67"/>
  <c r="AV59" i="67"/>
  <c r="AW59" i="67" s="1"/>
  <c r="AR59" i="67"/>
  <c r="AS59" i="67" s="1"/>
  <c r="BA81" i="67"/>
  <c r="AW81" i="67"/>
  <c r="AS81" i="67"/>
  <c r="BA80" i="67"/>
  <c r="AW80" i="67"/>
  <c r="AS80" i="67"/>
  <c r="AZ79" i="67"/>
  <c r="BA79" i="67" s="1"/>
  <c r="AV79" i="67"/>
  <c r="AW79" i="67" s="1"/>
  <c r="AR79" i="67"/>
  <c r="AS79" i="67" s="1"/>
  <c r="BA78" i="67"/>
  <c r="AW78" i="67"/>
  <c r="AS78" i="67"/>
  <c r="AZ77" i="67"/>
  <c r="BA77" i="67" s="1"/>
  <c r="AV77" i="67"/>
  <c r="AW77" i="67"/>
  <c r="AR77" i="67"/>
  <c r="AS77" i="67"/>
  <c r="AZ76" i="67"/>
  <c r="BA76" i="67"/>
  <c r="AV76" i="67"/>
  <c r="AW76" i="67"/>
  <c r="AR76" i="67"/>
  <c r="AS76" i="67"/>
  <c r="AZ75" i="67"/>
  <c r="BA75" i="67"/>
  <c r="AV75" i="67"/>
  <c r="AW75" i="67"/>
  <c r="AR75" i="67"/>
  <c r="AS75" i="67"/>
  <c r="AZ74" i="67"/>
  <c r="BA74" i="67"/>
  <c r="AV74" i="67"/>
  <c r="AW74" i="67"/>
  <c r="AR74" i="67"/>
  <c r="AS74" i="67"/>
  <c r="AZ73" i="67"/>
  <c r="BA73" i="67" s="1"/>
  <c r="AV73" i="67"/>
  <c r="AW73" i="67"/>
  <c r="AR73" i="67"/>
  <c r="AS73" i="67"/>
  <c r="AZ72" i="67"/>
  <c r="BA72" i="67"/>
  <c r="AV72" i="67"/>
  <c r="AW72" i="67"/>
  <c r="AR72" i="67"/>
  <c r="AS72" i="67"/>
  <c r="AZ71" i="67"/>
  <c r="BA71" i="67"/>
  <c r="AV71" i="67"/>
  <c r="AW71" i="67"/>
  <c r="AR71" i="67"/>
  <c r="AS71" i="67"/>
  <c r="AZ70" i="67"/>
  <c r="BA70" i="67"/>
  <c r="AV70" i="67"/>
  <c r="AW70" i="67"/>
  <c r="AR70" i="67"/>
  <c r="AS70" i="67"/>
  <c r="AZ69" i="67"/>
  <c r="BA69" i="67" s="1"/>
  <c r="AV69" i="67"/>
  <c r="AW69" i="67"/>
  <c r="AR69" i="67"/>
  <c r="AS69" i="67"/>
  <c r="AZ68" i="67"/>
  <c r="BA68" i="67"/>
  <c r="AV68" i="67"/>
  <c r="AW68" i="67"/>
  <c r="AR68" i="67"/>
  <c r="AS68" i="67"/>
  <c r="AZ67" i="67"/>
  <c r="BA67" i="67"/>
  <c r="AV67" i="67"/>
  <c r="AW67" i="67"/>
  <c r="AR67" i="67"/>
  <c r="AS67" i="67"/>
  <c r="AZ66" i="67"/>
  <c r="BA66" i="67"/>
  <c r="AV66" i="67"/>
  <c r="AW66" i="67"/>
  <c r="AR66" i="67"/>
  <c r="AS66" i="67"/>
  <c r="AZ65" i="67"/>
  <c r="BA65" i="67" s="1"/>
  <c r="AV65" i="67"/>
  <c r="AW65" i="67"/>
  <c r="AR65" i="67"/>
  <c r="AS65" i="67"/>
  <c r="AZ64" i="67"/>
  <c r="BA64" i="67"/>
  <c r="AV64" i="67"/>
  <c r="AW64" i="67"/>
  <c r="AR64" i="67"/>
  <c r="AS64" i="67"/>
  <c r="AZ63" i="67"/>
  <c r="BA63" i="67"/>
  <c r="AV63" i="67"/>
  <c r="AW63" i="67"/>
  <c r="AR63" i="67"/>
  <c r="AS63" i="67"/>
  <c r="AZ62" i="67"/>
  <c r="BA62" i="67"/>
  <c r="AV62" i="67"/>
  <c r="AW62" i="67"/>
  <c r="AR62" i="67"/>
  <c r="AS62" i="67"/>
  <c r="AZ61" i="67"/>
  <c r="BA61" i="67" s="1"/>
  <c r="AV61" i="67"/>
  <c r="AW61" i="67"/>
  <c r="AR61" i="67"/>
  <c r="AS61" i="67"/>
  <c r="AZ60" i="67"/>
  <c r="BA60" i="67"/>
  <c r="AV60" i="67"/>
  <c r="AW60" i="67"/>
  <c r="AR60" i="67"/>
  <c r="AS60" i="67"/>
  <c r="AZ59" i="67"/>
  <c r="BA59" i="67"/>
  <c r="AZ58" i="67"/>
  <c r="BA58" i="67"/>
  <c r="AZ57" i="67"/>
  <c r="BA57" i="67" s="1"/>
  <c r="AV57" i="67"/>
  <c r="AW57" i="67"/>
  <c r="AR57" i="67"/>
  <c r="AS57" i="67"/>
  <c r="AZ56" i="67"/>
  <c r="BA56" i="67"/>
  <c r="AV56" i="67"/>
  <c r="AW56" i="67"/>
  <c r="AR56" i="67"/>
  <c r="AS56" i="67"/>
  <c r="AZ55" i="67"/>
  <c r="BA55" i="67"/>
  <c r="AV55" i="67"/>
  <c r="AW55" i="67"/>
  <c r="AR55" i="67"/>
  <c r="AS55" i="67"/>
  <c r="AZ54" i="67"/>
  <c r="BA54" i="67"/>
  <c r="AV54" i="67"/>
  <c r="AW54" i="67"/>
  <c r="AR54" i="67"/>
  <c r="AS54" i="67"/>
  <c r="AZ53" i="67"/>
  <c r="BA53" i="67" s="1"/>
  <c r="AV53" i="67"/>
  <c r="AW53" i="67"/>
  <c r="AR53" i="67"/>
  <c r="AS53" i="67"/>
  <c r="AZ52" i="67"/>
  <c r="BA52" i="67"/>
  <c r="AV52" i="67"/>
  <c r="AW52" i="67"/>
  <c r="AR52" i="67"/>
  <c r="AS52" i="67"/>
  <c r="AZ51" i="67"/>
  <c r="BA51" i="67"/>
  <c r="AV51" i="67"/>
  <c r="AW51" i="67"/>
  <c r="AR51" i="67"/>
  <c r="AS51" i="67"/>
  <c r="AZ50" i="67"/>
  <c r="BA50" i="67"/>
  <c r="AV50" i="67"/>
  <c r="AW50" i="67"/>
  <c r="AR50" i="67"/>
  <c r="AS50" i="67"/>
  <c r="AZ49" i="67"/>
  <c r="BA49" i="67" s="1"/>
  <c r="AV49" i="67"/>
  <c r="AW49" i="67"/>
  <c r="AR49" i="67"/>
  <c r="AS49" i="67"/>
  <c r="AZ48" i="67"/>
  <c r="BA48" i="67"/>
  <c r="AV48" i="67"/>
  <c r="AW48" i="67"/>
  <c r="AR48" i="67"/>
  <c r="AS48" i="67"/>
  <c r="AZ47" i="67"/>
  <c r="BA47" i="67"/>
  <c r="AV47" i="67"/>
  <c r="AW47" i="67"/>
  <c r="AR47" i="67"/>
  <c r="AS47" i="67"/>
  <c r="AZ46" i="67"/>
  <c r="BA46" i="67"/>
  <c r="AV46" i="67"/>
  <c r="AW46" i="67"/>
  <c r="AR46" i="67"/>
  <c r="AS46" i="67"/>
  <c r="AZ45" i="67"/>
  <c r="BA45" i="67" s="1"/>
  <c r="AV45" i="67"/>
  <c r="AW45" i="67"/>
  <c r="AR45" i="67"/>
  <c r="AS45" i="67"/>
  <c r="BA44" i="67"/>
  <c r="AW44" i="67"/>
  <c r="AS44" i="67"/>
  <c r="AZ43" i="67"/>
  <c r="BA43" i="67" s="1"/>
  <c r="AV43" i="67"/>
  <c r="AW43" i="67" s="1"/>
  <c r="AR43" i="67"/>
  <c r="AS43" i="67" s="1"/>
  <c r="AZ42" i="67"/>
  <c r="BA42" i="67" s="1"/>
  <c r="AV42" i="67"/>
  <c r="AW42" i="67" s="1"/>
  <c r="AR42" i="67"/>
  <c r="AS42" i="67" s="1"/>
  <c r="BA41" i="67"/>
  <c r="AW41" i="67"/>
  <c r="AS41" i="67"/>
  <c r="AZ40" i="67"/>
  <c r="BA40" i="67" s="1"/>
  <c r="AV40" i="67"/>
  <c r="AW40" i="67"/>
  <c r="AR40" i="67"/>
  <c r="AS40" i="67"/>
  <c r="AZ39" i="67"/>
  <c r="BA39" i="67"/>
  <c r="AV39" i="67"/>
  <c r="AW39" i="67" s="1"/>
  <c r="AR39" i="67"/>
  <c r="AS39" i="67"/>
  <c r="AZ38" i="67"/>
  <c r="BA38" i="67"/>
  <c r="AV38" i="67"/>
  <c r="AW38" i="67"/>
  <c r="AR38" i="67"/>
  <c r="AS38" i="67" s="1"/>
  <c r="AZ37" i="67"/>
  <c r="BA37" i="67"/>
  <c r="AV37" i="67"/>
  <c r="AW37" i="67"/>
  <c r="AR37" i="67"/>
  <c r="AS37" i="67"/>
  <c r="AZ36" i="67"/>
  <c r="BA36" i="67" s="1"/>
  <c r="AV36" i="67"/>
  <c r="AW36" i="67"/>
  <c r="AR36" i="67"/>
  <c r="AS36" i="67"/>
  <c r="AZ35" i="67"/>
  <c r="BA35" i="67"/>
  <c r="AV35" i="67"/>
  <c r="AW35" i="67"/>
  <c r="AR35" i="67"/>
  <c r="AS35" i="67"/>
  <c r="AZ34" i="67"/>
  <c r="BA34" i="67"/>
  <c r="AV34" i="67"/>
  <c r="AW34" i="67"/>
  <c r="AR34" i="67"/>
  <c r="AS34" i="67" s="1"/>
  <c r="AZ33" i="67"/>
  <c r="BA33" i="67"/>
  <c r="AV33" i="67"/>
  <c r="AW33" i="67"/>
  <c r="AR33" i="67"/>
  <c r="AS33" i="67"/>
  <c r="AZ32" i="67"/>
  <c r="BA32" i="67" s="1"/>
  <c r="AV32" i="67"/>
  <c r="AW32" i="67"/>
  <c r="AR32" i="67"/>
  <c r="AS32" i="67"/>
  <c r="AZ31" i="67"/>
  <c r="BA31" i="67"/>
  <c r="AV31" i="67"/>
  <c r="AW31" i="67" s="1"/>
  <c r="AR31" i="67"/>
  <c r="AS31" i="67"/>
  <c r="AZ30" i="67"/>
  <c r="BA30" i="67"/>
  <c r="AV30" i="67"/>
  <c r="AW30" i="67"/>
  <c r="AR30" i="67"/>
  <c r="AS30" i="67" s="1"/>
  <c r="AZ29" i="67"/>
  <c r="BA29" i="67"/>
  <c r="AV29" i="67"/>
  <c r="AW29" i="67"/>
  <c r="AR29" i="67"/>
  <c r="AS29" i="67"/>
  <c r="AZ28" i="67"/>
  <c r="BA28" i="67" s="1"/>
  <c r="AV28" i="67"/>
  <c r="AW28" i="67"/>
  <c r="AR28" i="67"/>
  <c r="AS28" i="67"/>
  <c r="AZ27" i="67"/>
  <c r="BA27" i="67"/>
  <c r="AV27" i="67"/>
  <c r="AW27" i="67" s="1"/>
  <c r="AR27" i="67"/>
  <c r="AS27" i="67"/>
  <c r="AZ26" i="67"/>
  <c r="BA26" i="67"/>
  <c r="AV26" i="67"/>
  <c r="AW26" i="67"/>
  <c r="AR26" i="67"/>
  <c r="AS26" i="67" s="1"/>
  <c r="AZ25" i="67"/>
  <c r="BA25" i="67"/>
  <c r="AV25" i="67"/>
  <c r="AW25" i="67"/>
  <c r="AR25" i="67"/>
  <c r="AS25" i="67"/>
  <c r="BA24" i="67"/>
  <c r="AW24" i="67"/>
  <c r="AS24" i="67"/>
  <c r="AZ23" i="67"/>
  <c r="BA23" i="67" s="1"/>
  <c r="AV23" i="67"/>
  <c r="AW23" i="67" s="1"/>
  <c r="AR23" i="67"/>
  <c r="AS23" i="67" s="1"/>
  <c r="AZ22" i="67"/>
  <c r="BA22" i="67" s="1"/>
  <c r="AV22" i="67"/>
  <c r="AW22" i="67" s="1"/>
  <c r="AR22" i="67"/>
  <c r="AS22" i="67" s="1"/>
  <c r="BA21" i="67"/>
  <c r="AW21" i="67"/>
  <c r="AS21" i="67"/>
  <c r="AZ20" i="67"/>
  <c r="BA20" i="67"/>
  <c r="AV20" i="67"/>
  <c r="AW20" i="67"/>
  <c r="AR20" i="67"/>
  <c r="AS20" i="67"/>
  <c r="AZ19" i="67"/>
  <c r="BA19" i="67" s="1"/>
  <c r="AV19" i="67"/>
  <c r="AW19" i="67"/>
  <c r="AR19" i="67"/>
  <c r="AS19" i="67"/>
  <c r="AZ18" i="67"/>
  <c r="BA18" i="67"/>
  <c r="AV18" i="67"/>
  <c r="AW18" i="67" s="1"/>
  <c r="AR18" i="67"/>
  <c r="AS18" i="67"/>
  <c r="AZ17" i="67"/>
  <c r="BA17" i="67"/>
  <c r="AV17" i="67"/>
  <c r="AW17" i="67"/>
  <c r="AR17" i="67"/>
  <c r="AS17" i="67" s="1"/>
  <c r="AZ16" i="67"/>
  <c r="BA16" i="67"/>
  <c r="AV16" i="67"/>
  <c r="AW16" i="67"/>
  <c r="AR16" i="67"/>
  <c r="AS16" i="67"/>
  <c r="AZ15" i="67"/>
  <c r="BA15" i="67" s="1"/>
  <c r="AV15" i="67"/>
  <c r="AW15" i="67"/>
  <c r="AR15" i="67"/>
  <c r="AS15" i="67"/>
  <c r="BA14" i="67"/>
  <c r="AW14" i="67"/>
  <c r="AS14" i="67"/>
  <c r="AZ13" i="67"/>
  <c r="BA13" i="67" s="1"/>
  <c r="AV13" i="67"/>
  <c r="AW13" i="67" s="1"/>
  <c r="AR13" i="67"/>
  <c r="AS13" i="67" s="1"/>
  <c r="AZ12" i="67"/>
  <c r="BA12" i="67" s="1"/>
  <c r="AV12" i="67"/>
  <c r="AW12" i="67" s="1"/>
  <c r="AR12" i="67"/>
  <c r="AS12" i="67" s="1"/>
  <c r="AZ11" i="67"/>
  <c r="BA11" i="67" s="1"/>
  <c r="AV11" i="67"/>
  <c r="AW11" i="67" s="1"/>
  <c r="AR11" i="67"/>
  <c r="AS11" i="67" s="1"/>
  <c r="AZ10" i="67"/>
  <c r="BA10" i="67" s="1"/>
  <c r="AV10" i="67"/>
  <c r="AW10" i="67" s="1"/>
  <c r="AR10" i="67"/>
  <c r="AS10" i="67" s="1"/>
  <c r="AZ9" i="67"/>
  <c r="BA9" i="67" s="1"/>
  <c r="AV9" i="67"/>
  <c r="AW9" i="67" s="1"/>
  <c r="AR9" i="67"/>
  <c r="AS9" i="67" s="1"/>
  <c r="AZ8" i="67"/>
  <c r="BA8" i="67" s="1"/>
  <c r="AV8" i="67"/>
  <c r="AW8" i="67" s="1"/>
  <c r="AR8" i="67"/>
  <c r="AS8" i="67" s="1"/>
  <c r="AY7" i="67"/>
  <c r="AX7" i="67"/>
  <c r="AU7" i="67"/>
  <c r="AT7" i="67"/>
  <c r="AQ7" i="67"/>
  <c r="AP7" i="67"/>
  <c r="AO81" i="67"/>
  <c r="AO80" i="67"/>
  <c r="AN79" i="67"/>
  <c r="AO79" i="67" s="1"/>
  <c r="AO78" i="67"/>
  <c r="AN77" i="67"/>
  <c r="AO77" i="67"/>
  <c r="AN76" i="67"/>
  <c r="AO76" i="67"/>
  <c r="AN75" i="67"/>
  <c r="AO75" i="67" s="1"/>
  <c r="AN74" i="67"/>
  <c r="AO74" i="67"/>
  <c r="AN73" i="67"/>
  <c r="AO73" i="67"/>
  <c r="AN72" i="67"/>
  <c r="AO72" i="67"/>
  <c r="AN71" i="67"/>
  <c r="AO71" i="67" s="1"/>
  <c r="AN70" i="67"/>
  <c r="AO70" i="67"/>
  <c r="AN69" i="67"/>
  <c r="AO69" i="67"/>
  <c r="AN68" i="67"/>
  <c r="AO68" i="67"/>
  <c r="AN67" i="67"/>
  <c r="AO67" i="67" s="1"/>
  <c r="AN66" i="67"/>
  <c r="AO66" i="67"/>
  <c r="AN65" i="67"/>
  <c r="AO65" i="67"/>
  <c r="AN64" i="67"/>
  <c r="AO64" i="67"/>
  <c r="AN63" i="67"/>
  <c r="AO63" i="67" s="1"/>
  <c r="AN62" i="67"/>
  <c r="AO62" i="67"/>
  <c r="AN61" i="67"/>
  <c r="AO61" i="67"/>
  <c r="AN60" i="67"/>
  <c r="AO60" i="67"/>
  <c r="AN59" i="67"/>
  <c r="AO59" i="67" s="1"/>
  <c r="AN58" i="67"/>
  <c r="AO58" i="67"/>
  <c r="AN57" i="67"/>
  <c r="AO57" i="67"/>
  <c r="AN56" i="67"/>
  <c r="AO56" i="67"/>
  <c r="AN55" i="67"/>
  <c r="AO55" i="67" s="1"/>
  <c r="AN54" i="67"/>
  <c r="AO54" i="67"/>
  <c r="AN53" i="67"/>
  <c r="AO53" i="67"/>
  <c r="AN52" i="67"/>
  <c r="AO52" i="67"/>
  <c r="AN51" i="67"/>
  <c r="AO51" i="67" s="1"/>
  <c r="AN50" i="67"/>
  <c r="AO50" i="67"/>
  <c r="AN49" i="67"/>
  <c r="AO49" i="67"/>
  <c r="AN48" i="67"/>
  <c r="AO48" i="67"/>
  <c r="AN47" i="67"/>
  <c r="AO47" i="67" s="1"/>
  <c r="AN46" i="67"/>
  <c r="AO46" i="67"/>
  <c r="AN45" i="67"/>
  <c r="AO45" i="67"/>
  <c r="AO44" i="67"/>
  <c r="AN43" i="67"/>
  <c r="AO43" i="67" s="1"/>
  <c r="AN42" i="67"/>
  <c r="AO42" i="67" s="1"/>
  <c r="AO41" i="67"/>
  <c r="AN40" i="67"/>
  <c r="AO40" i="67"/>
  <c r="AN39" i="67"/>
  <c r="AO39" i="67"/>
  <c r="AN38" i="67"/>
  <c r="AO38" i="67" s="1"/>
  <c r="AN37" i="67"/>
  <c r="AO37" i="67"/>
  <c r="AN36" i="67"/>
  <c r="AO36" i="67"/>
  <c r="AN35" i="67"/>
  <c r="AO35" i="67"/>
  <c r="AN34" i="67"/>
  <c r="AO34" i="67"/>
  <c r="AN33" i="67"/>
  <c r="AO33" i="67"/>
  <c r="AN32" i="67"/>
  <c r="AO32" i="67"/>
  <c r="AN31" i="67"/>
  <c r="AO31" i="67"/>
  <c r="AN30" i="67"/>
  <c r="AO30" i="67" s="1"/>
  <c r="AN29" i="67"/>
  <c r="AO29" i="67"/>
  <c r="AN28" i="67"/>
  <c r="AO28" i="67"/>
  <c r="AN27" i="67"/>
  <c r="AO27" i="67"/>
  <c r="AN26" i="67"/>
  <c r="AO26" i="67" s="1"/>
  <c r="AN25" i="67"/>
  <c r="AO25" i="67"/>
  <c r="AO24" i="67"/>
  <c r="AN23" i="67"/>
  <c r="AO23" i="67" s="1"/>
  <c r="AN22" i="67"/>
  <c r="AO22" i="67" s="1"/>
  <c r="AO21" i="67"/>
  <c r="AN20" i="67"/>
  <c r="AO20" i="67"/>
  <c r="AN19" i="67"/>
  <c r="AO19" i="67"/>
  <c r="AN18" i="67"/>
  <c r="AO18" i="67"/>
  <c r="AN17" i="67"/>
  <c r="AO17" i="67" s="1"/>
  <c r="AN16" i="67"/>
  <c r="AO16" i="67"/>
  <c r="AN15" i="67"/>
  <c r="AO15" i="67"/>
  <c r="AO14" i="67"/>
  <c r="AN13" i="67"/>
  <c r="AO13" i="67" s="1"/>
  <c r="AN12" i="67"/>
  <c r="AO12" i="67" s="1"/>
  <c r="AO11" i="67"/>
  <c r="AN11" i="67"/>
  <c r="AN10" i="67"/>
  <c r="AO10" i="67" s="1"/>
  <c r="AN9" i="67"/>
  <c r="AO9" i="67" s="1"/>
  <c r="AN8" i="67"/>
  <c r="AO8" i="67" s="1"/>
  <c r="AM7" i="67"/>
  <c r="AL7" i="67"/>
  <c r="AK81" i="67"/>
  <c r="AK80" i="67"/>
  <c r="AJ79" i="67"/>
  <c r="AK79" i="67" s="1"/>
  <c r="AK78" i="67"/>
  <c r="AJ77" i="67"/>
  <c r="AK77" i="67"/>
  <c r="AJ76" i="67"/>
  <c r="AK76" i="67"/>
  <c r="AJ75" i="67"/>
  <c r="AK75" i="67"/>
  <c r="AJ74" i="67"/>
  <c r="AK74" i="67"/>
  <c r="AJ73" i="67"/>
  <c r="AK73" i="67"/>
  <c r="AJ72" i="67"/>
  <c r="AK72" i="67"/>
  <c r="AJ71" i="67"/>
  <c r="AK71" i="67"/>
  <c r="AJ70" i="67"/>
  <c r="AK70" i="67"/>
  <c r="AJ69" i="67"/>
  <c r="AK69" i="67"/>
  <c r="AJ68" i="67"/>
  <c r="AK68" i="67"/>
  <c r="AJ67" i="67"/>
  <c r="AK67" i="67"/>
  <c r="AJ66" i="67"/>
  <c r="AK66" i="67"/>
  <c r="AJ65" i="67"/>
  <c r="AK65" i="67"/>
  <c r="AJ64" i="67"/>
  <c r="AK64" i="67"/>
  <c r="AJ63" i="67"/>
  <c r="AK63" i="67"/>
  <c r="AJ62" i="67"/>
  <c r="AK62" i="67"/>
  <c r="AJ61" i="67"/>
  <c r="AK61" i="67"/>
  <c r="AJ60" i="67"/>
  <c r="AK60" i="67"/>
  <c r="AJ59" i="67"/>
  <c r="AK59" i="67"/>
  <c r="AJ58" i="67"/>
  <c r="AK58" i="67"/>
  <c r="AJ57" i="67"/>
  <c r="AK57" i="67"/>
  <c r="AJ56" i="67"/>
  <c r="AK56" i="67"/>
  <c r="AJ55" i="67"/>
  <c r="AK55" i="67"/>
  <c r="AJ54" i="67"/>
  <c r="AK54" i="67"/>
  <c r="AJ53" i="67"/>
  <c r="AK53" i="67"/>
  <c r="AJ52" i="67"/>
  <c r="AK52" i="67"/>
  <c r="AJ51" i="67"/>
  <c r="AK51" i="67"/>
  <c r="AJ50" i="67"/>
  <c r="AK50" i="67"/>
  <c r="AJ49" i="67"/>
  <c r="AK49" i="67"/>
  <c r="AJ48" i="67"/>
  <c r="AK48" i="67"/>
  <c r="AJ47" i="67"/>
  <c r="AK47" i="67"/>
  <c r="AJ46" i="67"/>
  <c r="AK46" i="67"/>
  <c r="AJ45" i="67"/>
  <c r="AK45" i="67"/>
  <c r="AK44" i="67"/>
  <c r="AJ43" i="67"/>
  <c r="AK43" i="67" s="1"/>
  <c r="AJ42" i="67"/>
  <c r="AK42" i="67" s="1"/>
  <c r="AK41" i="67"/>
  <c r="AJ40" i="67"/>
  <c r="AK40" i="67"/>
  <c r="AJ39" i="67"/>
  <c r="AK39" i="67"/>
  <c r="AJ38" i="67"/>
  <c r="AK38" i="67"/>
  <c r="AJ37" i="67"/>
  <c r="AK37" i="67"/>
  <c r="AJ36" i="67"/>
  <c r="AK36" i="67"/>
  <c r="AJ35" i="67"/>
  <c r="AK35" i="67"/>
  <c r="AJ34" i="67"/>
  <c r="AK34" i="67"/>
  <c r="AJ33" i="67"/>
  <c r="AK33" i="67"/>
  <c r="AJ32" i="67"/>
  <c r="AK32" i="67"/>
  <c r="AJ31" i="67"/>
  <c r="AK31" i="67"/>
  <c r="AJ30" i="67"/>
  <c r="AK30" i="67"/>
  <c r="AJ29" i="67"/>
  <c r="AK29" i="67"/>
  <c r="AJ28" i="67"/>
  <c r="AK28" i="67"/>
  <c r="AJ27" i="67"/>
  <c r="AK27" i="67"/>
  <c r="AJ26" i="67"/>
  <c r="AK26" i="67"/>
  <c r="AJ25" i="67"/>
  <c r="AK25" i="67"/>
  <c r="AK24" i="67"/>
  <c r="AK23" i="67"/>
  <c r="AJ23" i="67"/>
  <c r="AJ22" i="67"/>
  <c r="AK22" i="67" s="1"/>
  <c r="AK21" i="67"/>
  <c r="AJ20" i="67"/>
  <c r="AK20" i="67"/>
  <c r="AJ19" i="67"/>
  <c r="AK19" i="67"/>
  <c r="AJ18" i="67"/>
  <c r="AK18" i="67"/>
  <c r="AJ17" i="67"/>
  <c r="AK17" i="67"/>
  <c r="AJ16" i="67"/>
  <c r="AK16" i="67"/>
  <c r="AJ15" i="67"/>
  <c r="AK15" i="67"/>
  <c r="AK14" i="67"/>
  <c r="AJ13" i="67"/>
  <c r="AK13" i="67" s="1"/>
  <c r="AJ12" i="67"/>
  <c r="AK12" i="67" s="1"/>
  <c r="AJ11" i="67"/>
  <c r="AK11" i="67" s="1"/>
  <c r="AK10" i="67"/>
  <c r="AJ10" i="67"/>
  <c r="AJ9" i="67"/>
  <c r="AK9" i="67" s="1"/>
  <c r="AJ8" i="67"/>
  <c r="AK8" i="67" s="1"/>
  <c r="AI7" i="67"/>
  <c r="AH7" i="67"/>
  <c r="B46" i="65"/>
  <c r="B45" i="65"/>
  <c r="B44" i="65"/>
  <c r="B19" i="65"/>
  <c r="B18" i="65"/>
  <c r="B17" i="65"/>
  <c r="B16" i="65"/>
  <c r="B15" i="65"/>
  <c r="B14" i="65"/>
  <c r="B13" i="65"/>
  <c r="B12" i="65"/>
  <c r="B11" i="65"/>
  <c r="B10" i="65"/>
  <c r="B9" i="65"/>
  <c r="B8" i="65"/>
  <c r="B31" i="65"/>
  <c r="B30" i="65"/>
  <c r="B29" i="65"/>
  <c r="B28" i="65"/>
  <c r="B27" i="65"/>
  <c r="B26" i="65"/>
  <c r="B25" i="65"/>
  <c r="B24" i="65"/>
  <c r="B23" i="65"/>
  <c r="B22" i="65"/>
  <c r="B21" i="65"/>
  <c r="B20" i="65"/>
  <c r="B37" i="65"/>
  <c r="B36" i="65"/>
  <c r="B35" i="65"/>
  <c r="B34" i="65"/>
  <c r="B33" i="65"/>
  <c r="B32" i="65"/>
  <c r="B40" i="65"/>
  <c r="B39" i="65"/>
  <c r="B38" i="65"/>
  <c r="B43" i="65"/>
  <c r="B42" i="65"/>
  <c r="B41" i="65"/>
  <c r="B47" i="65"/>
  <c r="AD7" i="67"/>
  <c r="AE7" i="67"/>
  <c r="W8" i="67"/>
  <c r="AF8" i="67"/>
  <c r="AG8" i="67" s="1"/>
  <c r="W9" i="67"/>
  <c r="AF9" i="67"/>
  <c r="AG9" i="67" s="1"/>
  <c r="W10" i="67"/>
  <c r="AF10" i="67"/>
  <c r="AG10" i="67" s="1"/>
  <c r="W11" i="67"/>
  <c r="AF11" i="67"/>
  <c r="AG11" i="67" s="1"/>
  <c r="W12" i="67"/>
  <c r="AF12" i="67"/>
  <c r="AG12" i="67" s="1"/>
  <c r="W13" i="67"/>
  <c r="AF13" i="67"/>
  <c r="AG13" i="67"/>
  <c r="W14" i="67"/>
  <c r="AG14" i="67"/>
  <c r="W15" i="67"/>
  <c r="AF15" i="67"/>
  <c r="AG15" i="67" s="1"/>
  <c r="W16" i="67"/>
  <c r="AF16" i="67"/>
  <c r="AG16" i="67"/>
  <c r="W17" i="67"/>
  <c r="AF17" i="67"/>
  <c r="AG17" i="67" s="1"/>
  <c r="W18" i="67"/>
  <c r="AF18" i="67"/>
  <c r="AG18" i="67"/>
  <c r="AF19" i="67"/>
  <c r="AG19" i="67"/>
  <c r="AF20" i="67"/>
  <c r="AG20" i="67"/>
  <c r="W21" i="67"/>
  <c r="AG21" i="67"/>
  <c r="W22" i="67"/>
  <c r="AF22" i="67"/>
  <c r="AG22" i="67" s="1"/>
  <c r="B23" i="67"/>
  <c r="AF23" i="67"/>
  <c r="AG23" i="67"/>
  <c r="B24" i="67"/>
  <c r="W24" i="67"/>
  <c r="AG24" i="67"/>
  <c r="B25" i="67"/>
  <c r="W25" i="67"/>
  <c r="AF25" i="67"/>
  <c r="AG25" i="67" s="1"/>
  <c r="B26" i="67"/>
  <c r="W26" i="67"/>
  <c r="AF26" i="67"/>
  <c r="AG26" i="67" s="1"/>
  <c r="B27" i="67"/>
  <c r="W27" i="67"/>
  <c r="AF27" i="67"/>
  <c r="AG27" i="67" s="1"/>
  <c r="B28" i="67"/>
  <c r="W28" i="67"/>
  <c r="AF28" i="67"/>
  <c r="AG28" i="67" s="1"/>
  <c r="B29" i="67"/>
  <c r="W29" i="67"/>
  <c r="AF29" i="67"/>
  <c r="AG29" i="67" s="1"/>
  <c r="B30" i="67"/>
  <c r="W30" i="67"/>
  <c r="AF30" i="67"/>
  <c r="AG30" i="67" s="1"/>
  <c r="B31" i="67"/>
  <c r="W31" i="67"/>
  <c r="AF31" i="67"/>
  <c r="AG31" i="67" s="1"/>
  <c r="B32" i="67"/>
  <c r="W32" i="67"/>
  <c r="AF32" i="67"/>
  <c r="AG32" i="67" s="1"/>
  <c r="B33" i="67"/>
  <c r="W33" i="67"/>
  <c r="AF33" i="67"/>
  <c r="AG33" i="67" s="1"/>
  <c r="B34" i="67"/>
  <c r="W34" i="67"/>
  <c r="AF34" i="67"/>
  <c r="AG34" i="67" s="1"/>
  <c r="B35" i="67"/>
  <c r="W35" i="67"/>
  <c r="AF35" i="67"/>
  <c r="AG35" i="67" s="1"/>
  <c r="B36" i="67"/>
  <c r="W36" i="67"/>
  <c r="AF36" i="67"/>
  <c r="AG36" i="67" s="1"/>
  <c r="B37" i="67"/>
  <c r="W37" i="67"/>
  <c r="AF37" i="67"/>
  <c r="AG37" i="67" s="1"/>
  <c r="B38" i="67"/>
  <c r="W38" i="67"/>
  <c r="AF38" i="67"/>
  <c r="AG38" i="67" s="1"/>
  <c r="B39" i="67"/>
  <c r="W39" i="67"/>
  <c r="AF39" i="67"/>
  <c r="AG39" i="67" s="1"/>
  <c r="B40" i="67"/>
  <c r="W40" i="67"/>
  <c r="AF40" i="67"/>
  <c r="AG40" i="67" s="1"/>
  <c r="B41" i="67"/>
  <c r="W41" i="67"/>
  <c r="AG41" i="67"/>
  <c r="B42" i="67"/>
  <c r="W42" i="67"/>
  <c r="AF42" i="67"/>
  <c r="AG42" i="67" s="1"/>
  <c r="B43" i="67"/>
  <c r="W43" i="67"/>
  <c r="AF43" i="67"/>
  <c r="AG43" i="67" s="1"/>
  <c r="B44" i="67"/>
  <c r="W44" i="67"/>
  <c r="AG44" i="67"/>
  <c r="B45" i="67"/>
  <c r="W45" i="67"/>
  <c r="AF45" i="67"/>
  <c r="AG45" i="67" s="1"/>
  <c r="B46" i="67"/>
  <c r="W46" i="67"/>
  <c r="AF46" i="67"/>
  <c r="AG46" i="67" s="1"/>
  <c r="B47" i="67"/>
  <c r="W47" i="67"/>
  <c r="AF47" i="67"/>
  <c r="AG47" i="67" s="1"/>
  <c r="B48" i="67"/>
  <c r="W48" i="67"/>
  <c r="AF48" i="67"/>
  <c r="AG48" i="67" s="1"/>
  <c r="B49" i="67"/>
  <c r="W49" i="67"/>
  <c r="AF49" i="67"/>
  <c r="AG49" i="67" s="1"/>
  <c r="B50" i="67"/>
  <c r="W50" i="67"/>
  <c r="AF50" i="67"/>
  <c r="AG50" i="67" s="1"/>
  <c r="B51" i="67"/>
  <c r="W51" i="67"/>
  <c r="AF51" i="67"/>
  <c r="AG51" i="67" s="1"/>
  <c r="B52" i="67"/>
  <c r="W52" i="67"/>
  <c r="AF52" i="67"/>
  <c r="AG52" i="67" s="1"/>
  <c r="B53" i="67"/>
  <c r="W53" i="67"/>
  <c r="AF53" i="67"/>
  <c r="AG53" i="67" s="1"/>
  <c r="B54" i="67"/>
  <c r="W54" i="67"/>
  <c r="AF54" i="67"/>
  <c r="AG54" i="67" s="1"/>
  <c r="B55" i="67"/>
  <c r="W55" i="67"/>
  <c r="AF55" i="67"/>
  <c r="AG55" i="67" s="1"/>
  <c r="B56" i="67"/>
  <c r="W56" i="67"/>
  <c r="AF56" i="67"/>
  <c r="AG56" i="67" s="1"/>
  <c r="B57" i="67"/>
  <c r="W57" i="67"/>
  <c r="AF57" i="67"/>
  <c r="AG57" i="67" s="1"/>
  <c r="B58" i="67"/>
  <c r="W58" i="67"/>
  <c r="AF58" i="67"/>
  <c r="AG58" i="67" s="1"/>
  <c r="B59" i="67"/>
  <c r="W59" i="67"/>
  <c r="AF59" i="67"/>
  <c r="AG59" i="67" s="1"/>
  <c r="B60" i="67"/>
  <c r="W60" i="67"/>
  <c r="AF60" i="67"/>
  <c r="AG60" i="67" s="1"/>
  <c r="B61" i="67"/>
  <c r="W61" i="67"/>
  <c r="AF61" i="67"/>
  <c r="AG61" i="67" s="1"/>
  <c r="B62" i="67"/>
  <c r="W62" i="67"/>
  <c r="AF62" i="67"/>
  <c r="AG62" i="67" s="1"/>
  <c r="B63" i="67"/>
  <c r="W63" i="67"/>
  <c r="AF63" i="67"/>
  <c r="AG63" i="67" s="1"/>
  <c r="B64" i="67"/>
  <c r="W64" i="67"/>
  <c r="AF64" i="67"/>
  <c r="AG64" i="67" s="1"/>
  <c r="B65" i="67"/>
  <c r="W65" i="67"/>
  <c r="AF65" i="67"/>
  <c r="AG65" i="67" s="1"/>
  <c r="B66" i="67"/>
  <c r="W66" i="67"/>
  <c r="AF66" i="67"/>
  <c r="AG66" i="67" s="1"/>
  <c r="B67" i="67"/>
  <c r="W67" i="67"/>
  <c r="AF67" i="67"/>
  <c r="AG67" i="67" s="1"/>
  <c r="B68" i="67"/>
  <c r="W68" i="67"/>
  <c r="AF68" i="67"/>
  <c r="AG68" i="67" s="1"/>
  <c r="B69" i="67"/>
  <c r="W69" i="67"/>
  <c r="AF69" i="67"/>
  <c r="AG69" i="67" s="1"/>
  <c r="B70" i="67"/>
  <c r="W70" i="67"/>
  <c r="AF70" i="67"/>
  <c r="AG70" i="67" s="1"/>
  <c r="B71" i="67"/>
  <c r="W71" i="67"/>
  <c r="AF71" i="67"/>
  <c r="AG71" i="67" s="1"/>
  <c r="B72" i="67"/>
  <c r="W72" i="67"/>
  <c r="AF72" i="67"/>
  <c r="AG72" i="67" s="1"/>
  <c r="B73" i="67"/>
  <c r="W73" i="67"/>
  <c r="AF73" i="67"/>
  <c r="AG73" i="67" s="1"/>
  <c r="B74" i="67"/>
  <c r="W74" i="67"/>
  <c r="AF74" i="67"/>
  <c r="AG74" i="67" s="1"/>
  <c r="B75" i="67"/>
  <c r="W75" i="67"/>
  <c r="AF75" i="67"/>
  <c r="AG75" i="67" s="1"/>
  <c r="B76" i="67"/>
  <c r="W76" i="67"/>
  <c r="AF76" i="67"/>
  <c r="AG76" i="67" s="1"/>
  <c r="B77" i="67"/>
  <c r="W77" i="67"/>
  <c r="AF77" i="67"/>
  <c r="AG77" i="67" s="1"/>
  <c r="B78" i="67"/>
  <c r="W78" i="67"/>
  <c r="AG78" i="67"/>
  <c r="B79" i="67"/>
  <c r="W79" i="67"/>
  <c r="AF79" i="67"/>
  <c r="AG79" i="67"/>
  <c r="B80" i="67"/>
  <c r="W80" i="67"/>
  <c r="AG80" i="67"/>
  <c r="B81" i="67"/>
  <c r="W81" i="67"/>
  <c r="AG81" i="67"/>
  <c r="B5" i="65"/>
  <c r="B6" i="65"/>
  <c r="B7" i="65"/>
  <c r="B48" i="65"/>
</calcChain>
</file>

<file path=xl/sharedStrings.xml><?xml version="1.0" encoding="utf-8"?>
<sst xmlns="http://schemas.openxmlformats.org/spreadsheetml/2006/main" count="9089" uniqueCount="2652">
  <si>
    <t>pattern</t>
  </si>
  <si>
    <t>項目名（要素名）</t>
    <rPh sb="0" eb="2">
      <t>コウモク</t>
    </rPh>
    <rPh sb="2" eb="3">
      <t>メイ</t>
    </rPh>
    <rPh sb="4" eb="6">
      <t>ヨウソ</t>
    </rPh>
    <rPh sb="6" eb="7">
      <t>メイ</t>
    </rPh>
    <phoneticPr fontId="3"/>
  </si>
  <si>
    <t>min桁</t>
    <rPh sb="3" eb="4">
      <t>ケタ</t>
    </rPh>
    <phoneticPr fontId="3"/>
  </si>
  <si>
    <t>max桁</t>
    <rPh sb="3" eb="4">
      <t>ケタ</t>
    </rPh>
    <phoneticPr fontId="3"/>
  </si>
  <si>
    <t>相関</t>
    <rPh sb="0" eb="2">
      <t>ソウカン</t>
    </rPh>
    <phoneticPr fontId="3"/>
  </si>
  <si>
    <t>API名称</t>
    <rPh sb="3" eb="5">
      <t>メイショウ</t>
    </rPh>
    <phoneticPr fontId="3"/>
  </si>
  <si>
    <t>API名称(英名)</t>
    <rPh sb="3" eb="5">
      <t>メイショウ</t>
    </rPh>
    <rPh sb="6" eb="8">
      <t>エイメイ</t>
    </rPh>
    <phoneticPr fontId="3"/>
  </si>
  <si>
    <t>項番</t>
    <rPh sb="0" eb="1">
      <t>コウ</t>
    </rPh>
    <rPh sb="1" eb="2">
      <t>バン</t>
    </rPh>
    <phoneticPr fontId="3"/>
  </si>
  <si>
    <t>階層</t>
    <rPh sb="0" eb="2">
      <t>カイソウ</t>
    </rPh>
    <phoneticPr fontId="3"/>
  </si>
  <si>
    <t>繰返</t>
    <rPh sb="0" eb="1">
      <t>ク</t>
    </rPh>
    <rPh sb="1" eb="2">
      <t>カエ</t>
    </rPh>
    <phoneticPr fontId="3"/>
  </si>
  <si>
    <t>必須</t>
    <rPh sb="0" eb="2">
      <t>ヒッス</t>
    </rPh>
    <phoneticPr fontId="3"/>
  </si>
  <si>
    <t>タグ名</t>
    <rPh sb="2" eb="3">
      <t>メイ</t>
    </rPh>
    <phoneticPr fontId="3"/>
  </si>
  <si>
    <t>内容説明</t>
    <rPh sb="0" eb="2">
      <t>ナイヨウ</t>
    </rPh>
    <rPh sb="2" eb="4">
      <t>セツメイ</t>
    </rPh>
    <phoneticPr fontId="3"/>
  </si>
  <si>
    <t>備考</t>
    <rPh sb="0" eb="2">
      <t>ビコウ</t>
    </rPh>
    <phoneticPr fontId="3"/>
  </si>
  <si>
    <t>O</t>
  </si>
  <si>
    <t>共通</t>
    <rPh sb="0" eb="2">
      <t>キョウツウ</t>
    </rPh>
    <phoneticPr fontId="3"/>
  </si>
  <si>
    <t>固定長形式</t>
    <rPh sb="0" eb="3">
      <t>コテイチョウ</t>
    </rPh>
    <rPh sb="3" eb="5">
      <t>ケイシキ</t>
    </rPh>
    <phoneticPr fontId="3"/>
  </si>
  <si>
    <t>XML形式</t>
    <rPh sb="3" eb="5">
      <t>ケイシキ</t>
    </rPh>
    <phoneticPr fontId="3"/>
  </si>
  <si>
    <t>相関
2</t>
    <rPh sb="0" eb="2">
      <t>ソウカン</t>
    </rPh>
    <phoneticPr fontId="3"/>
  </si>
  <si>
    <t>項目順</t>
    <rPh sb="0" eb="2">
      <t>コウモク</t>
    </rPh>
    <rPh sb="2" eb="3">
      <t>ジュン</t>
    </rPh>
    <phoneticPr fontId="3"/>
  </si>
  <si>
    <t>繰返グループ</t>
    <rPh sb="0" eb="2">
      <t>クリカエ</t>
    </rPh>
    <phoneticPr fontId="3"/>
  </si>
  <si>
    <t>最大繰返回数</t>
    <rPh sb="0" eb="2">
      <t>サイダイ</t>
    </rPh>
    <rPh sb="2" eb="4">
      <t>クリカエ</t>
    </rPh>
    <rPh sb="4" eb="6">
      <t>カイスウ</t>
    </rPh>
    <phoneticPr fontId="3"/>
  </si>
  <si>
    <t>*Default path is current path.</t>
  </si>
  <si>
    <t>○</t>
  </si>
  <si>
    <t>*If not be up, the macro should be modified.</t>
  </si>
  <si>
    <t>api-response</t>
  </si>
  <si>
    <t>About Generate-IN:</t>
  </si>
  <si>
    <t>The SheetName input is required.</t>
  </si>
  <si>
    <t>Please copy response stream here↓</t>
  </si>
  <si>
    <t>Analyze the response data from Response filepath or ResponseStream to CaseNo column.</t>
  </si>
  <si>
    <t>API（入力）</t>
    <rPh sb="4" eb="6">
      <t>ニュウリョク</t>
    </rPh>
    <phoneticPr fontId="3"/>
  </si>
  <si>
    <t>API（出力）</t>
    <rPh sb="4" eb="6">
      <t>シュツリョク</t>
    </rPh>
    <phoneticPr fontId="3"/>
  </si>
  <si>
    <t>ルート（出力）</t>
    <rPh sb="4" eb="6">
      <t>シュツリョク</t>
    </rPh>
    <phoneticPr fontId="3"/>
  </si>
  <si>
    <t>API共通情報</t>
    <rPh sb="3" eb="5">
      <t>キョウツウ</t>
    </rPh>
    <phoneticPr fontId="3"/>
  </si>
  <si>
    <t>API-IDは4桁</t>
    <rPh sb="8" eb="9">
      <t>ケタ</t>
    </rPh>
    <phoneticPr fontId="3"/>
  </si>
  <si>
    <t>API処理日時</t>
    <rPh sb="3" eb="5">
      <t>ショリ</t>
    </rPh>
    <rPh sb="5" eb="7">
      <t>ニチジ</t>
    </rPh>
    <phoneticPr fontId="3"/>
  </si>
  <si>
    <t>API呼出元情報</t>
    <rPh sb="3" eb="5">
      <t>ヨビダシ</t>
    </rPh>
    <rPh sb="5" eb="6">
      <t>モト</t>
    </rPh>
    <rPh sb="6" eb="8">
      <t>ジョウホウ</t>
    </rPh>
    <phoneticPr fontId="3"/>
  </si>
  <si>
    <t>呼出元システムID</t>
    <rPh sb="0" eb="2">
      <t>ヨビダシ</t>
    </rPh>
    <rPh sb="2" eb="3">
      <t>モト</t>
    </rPh>
    <phoneticPr fontId="3"/>
  </si>
  <si>
    <t>API呼出側のシステムID("FMC")を設定。</t>
    <rPh sb="5" eb="6">
      <t>ガワ</t>
    </rPh>
    <rPh sb="21" eb="23">
      <t>セッテイ</t>
    </rPh>
    <phoneticPr fontId="3"/>
  </si>
  <si>
    <t>au代理店コード</t>
    <rPh sb="2" eb="5">
      <t>ダイリテン</t>
    </rPh>
    <phoneticPr fontId="3"/>
  </si>
  <si>
    <t>担当者ID</t>
    <rPh sb="0" eb="3">
      <t>タントウシャ</t>
    </rPh>
    <phoneticPr fontId="3"/>
  </si>
  <si>
    <t>au代理店コードの受付担当者ID</t>
    <rPh sb="9" eb="11">
      <t>ウケツケ</t>
    </rPh>
    <rPh sb="11" eb="14">
      <t>タントウシャ</t>
    </rPh>
    <phoneticPr fontId="3"/>
  </si>
  <si>
    <t>ショップ端末IPアドレス</t>
    <rPh sb="4" eb="6">
      <t>タンマツ</t>
    </rPh>
    <phoneticPr fontId="3"/>
  </si>
  <si>
    <t>呼出元システム</t>
    <rPh sb="0" eb="2">
      <t>ヨビダシ</t>
    </rPh>
    <rPh sb="2" eb="3">
      <t>モト</t>
    </rPh>
    <phoneticPr fontId="3"/>
  </si>
  <si>
    <t>画面名</t>
    <rPh sb="0" eb="2">
      <t>ガメン</t>
    </rPh>
    <rPh sb="2" eb="3">
      <t>メイ</t>
    </rPh>
    <phoneticPr fontId="3"/>
  </si>
  <si>
    <t>API処理状態</t>
    <rPh sb="3" eb="5">
      <t>ショリ</t>
    </rPh>
    <rPh sb="5" eb="7">
      <t>ジョウタイ</t>
    </rPh>
    <phoneticPr fontId="3"/>
  </si>
  <si>
    <t xml:space="preserve">入力時：初期値を設定
出力時：各APIの応答内容を設定
　※リファレンスについては、「マッピング一覧」シート参照。
</t>
    <rPh sb="0" eb="2">
      <t>ニュウリョク</t>
    </rPh>
    <rPh sb="11" eb="13">
      <t>シュツリョク</t>
    </rPh>
    <rPh sb="15" eb="16">
      <t>カク</t>
    </rPh>
    <rPh sb="20" eb="22">
      <t>オウトウ</t>
    </rPh>
    <rPh sb="22" eb="24">
      <t>ナイヨウ</t>
    </rPh>
    <rPh sb="25" eb="27">
      <t>セッテイ</t>
    </rPh>
    <rPh sb="48" eb="50">
      <t>イチラン</t>
    </rPh>
    <rPh sb="54" eb="56">
      <t>サンショウ</t>
    </rPh>
    <phoneticPr fontId="3"/>
  </si>
  <si>
    <r>
      <t xml:space="preserve">*The start point of ATOM fix-size cell must be </t>
    </r>
    <r>
      <rPr>
        <b/>
        <sz val="11"/>
        <rFont val="ＭＳ Ｐゴシック"/>
        <family val="3"/>
        <charset val="128"/>
      </rPr>
      <t>P8</t>
    </r>
    <r>
      <rPr>
        <sz val="11"/>
        <rFont val="ＭＳ Ｐゴシック"/>
        <family val="3"/>
        <charset val="128"/>
      </rPr>
      <t xml:space="preserve"> and the xml's must be </t>
    </r>
    <r>
      <rPr>
        <b/>
        <sz val="11"/>
        <rFont val="ＭＳ Ｐゴシック"/>
        <family val="3"/>
        <charset val="128"/>
      </rPr>
      <t>W8</t>
    </r>
  </si>
  <si>
    <t>10</t>
  </si>
  <si>
    <t>The response filename must be API-ID_out_CaseNo.txt</t>
  </si>
  <si>
    <t>エラーコードは8行目で固定表示。</t>
  </si>
  <si>
    <t>00</t>
  </si>
  <si>
    <t>About Analyze-OUT、Analyze-OUTXML</t>
  </si>
  <si>
    <t>api-prm</t>
  </si>
  <si>
    <t>X</t>
  </si>
  <si>
    <t>M</t>
  </si>
  <si>
    <t>pc-res</t>
  </si>
  <si>
    <t>1</t>
    <phoneticPr fontId="3"/>
  </si>
  <si>
    <t>I/O</t>
    <phoneticPr fontId="3"/>
  </si>
  <si>
    <t>○</t>
    <phoneticPr fontId="3"/>
  </si>
  <si>
    <t>X</t>
    <phoneticPr fontId="3"/>
  </si>
  <si>
    <t>△</t>
    <phoneticPr fontId="3"/>
  </si>
  <si>
    <t>要求項目（初期値スペース）だが応答時に応答内容を設定して返す</t>
    <phoneticPr fontId="3"/>
  </si>
  <si>
    <t>err-flg</t>
    <phoneticPr fontId="3"/>
  </si>
  <si>
    <t>0,1</t>
    <phoneticPr fontId="3"/>
  </si>
  <si>
    <t>2</t>
    <phoneticPr fontId="3"/>
  </si>
  <si>
    <t>任意</t>
    <rPh sb="0" eb="2">
      <t>ニンイ</t>
    </rPh>
    <phoneticPr fontId="3"/>
  </si>
  <si>
    <t>個別結果コード</t>
    <rPh sb="0" eb="2">
      <t>コベツ</t>
    </rPh>
    <rPh sb="2" eb="4">
      <t>ケッカ</t>
    </rPh>
    <phoneticPr fontId="3"/>
  </si>
  <si>
    <t>商品コード</t>
    <rPh sb="0" eb="2">
      <t>ショウヒン</t>
    </rPh>
    <phoneticPr fontId="3"/>
  </si>
  <si>
    <t>N</t>
  </si>
  <si>
    <t>3</t>
    <phoneticPr fontId="3"/>
  </si>
  <si>
    <t>0</t>
    <phoneticPr fontId="3"/>
  </si>
  <si>
    <t>FMC</t>
  </si>
  <si>
    <t>E845001</t>
  </si>
  <si>
    <t>ORANGE</t>
  </si>
  <si>
    <t>0</t>
  </si>
  <si>
    <t>0000</t>
  </si>
  <si>
    <t>5</t>
  </si>
  <si>
    <t>4</t>
  </si>
  <si>
    <t>01</t>
  </si>
  <si>
    <t>20</t>
  </si>
  <si>
    <t>①応答内容
　API処理状態：00
　個別結果コード：0000
②テーブル登録内容
　異業種商材申込情報テーブル：登録有り</t>
    <rPh sb="37" eb="39">
      <t>トウロク</t>
    </rPh>
    <rPh sb="39" eb="41">
      <t>ナイヨウ</t>
    </rPh>
    <rPh sb="57" eb="59">
      <t>トウロク</t>
    </rPh>
    <rPh sb="59" eb="60">
      <t>ア</t>
    </rPh>
    <phoneticPr fontId="3"/>
  </si>
  <si>
    <t>要求項目チェック</t>
  </si>
  <si>
    <t>ケース</t>
    <phoneticPr fontId="4"/>
  </si>
  <si>
    <t>確認内容</t>
  </si>
  <si>
    <t>条件</t>
  </si>
  <si>
    <t>概要</t>
  </si>
  <si>
    <t>NO</t>
    <phoneticPr fontId="4"/>
  </si>
  <si>
    <t>試験観点</t>
  </si>
  <si>
    <t>担当者名</t>
  </si>
  <si>
    <t>／NG</t>
  </si>
  <si>
    <t>OK／</t>
  </si>
  <si>
    <t>試験結果</t>
  </si>
  <si>
    <t>日</t>
  </si>
  <si>
    <t>月</t>
  </si>
  <si>
    <t>試験実施日</t>
  </si>
  <si>
    <t>(回目)</t>
  </si>
  <si>
    <t>試行回数</t>
  </si>
  <si>
    <t>要求項目. API共通情報.API呼出元情報. 担当者ID</t>
  </si>
  <si>
    <t>レコード更新者</t>
  </si>
  <si>
    <t>システム日時</t>
  </si>
  <si>
    <t>レコード更新日時</t>
  </si>
  <si>
    <t>レコード登録者</t>
  </si>
  <si>
    <t>レコード登録日時</t>
  </si>
  <si>
    <t>0：バッチファイル未作成</t>
  </si>
  <si>
    <t>バッチファイル登録ステータス</t>
  </si>
  <si>
    <t>要求項目. 申込内部情報.申込押下ボタン</t>
  </si>
  <si>
    <t>申込押下ボタン</t>
  </si>
  <si>
    <t>要求項目. 申込内部情報. 販売店情報. 電話番号</t>
  </si>
  <si>
    <t>販売店電話番号</t>
  </si>
  <si>
    <t>販売店担当者ID</t>
  </si>
  <si>
    <t>要求項目. 申込内部情報. 販売店情報.担当者名(名)</t>
  </si>
  <si>
    <t>販売店担当者名(名)</t>
  </si>
  <si>
    <t>要求項目. 申込内部情報. 販売店情報.担当者名</t>
  </si>
  <si>
    <t>販売店担当者名</t>
  </si>
  <si>
    <t>要求項目. 申込内部情報. 販売店情報.店名</t>
  </si>
  <si>
    <t>販売店名</t>
  </si>
  <si>
    <t>要求項目. API共通情報.API呼出元情報.au代理店コード</t>
  </si>
  <si>
    <t>au代理店コード</t>
  </si>
  <si>
    <t>要求項目. 取次情報.申込時刻</t>
  </si>
  <si>
    <t>申込時刻</t>
  </si>
  <si>
    <t>要求項目. 取次情報.申込年月日</t>
  </si>
  <si>
    <t>申込年月日</t>
  </si>
  <si>
    <t>要求項目.本人確認情報.顧客区分</t>
  </si>
  <si>
    <t>顧客区分</t>
  </si>
  <si>
    <t>要求項目.本人確認情報.基本契約番号</t>
  </si>
  <si>
    <t>基本契約番号</t>
  </si>
  <si>
    <t>要求項目.本人確認情報.au加入者コード</t>
  </si>
  <si>
    <t>au加入者コード</t>
  </si>
  <si>
    <t>要求項目.取次情報.その他の情報.特記</t>
  </si>
  <si>
    <t>特記</t>
  </si>
  <si>
    <t>要求項目.取次情報.各事業者向け取次情報.備考20</t>
  </si>
  <si>
    <t>備考20</t>
    <phoneticPr fontId="3"/>
  </si>
  <si>
    <t>要求項目.取次情報.各事業者向け取次情報.備考19</t>
  </si>
  <si>
    <t>備考19</t>
    <phoneticPr fontId="3"/>
  </si>
  <si>
    <t>要求項目.取次情報.各事業者向け取次情報.備考18</t>
  </si>
  <si>
    <t>備考18</t>
    <phoneticPr fontId="3"/>
  </si>
  <si>
    <t>要求項目.取次情報.各事業者向け取次情報.備考17</t>
  </si>
  <si>
    <t>備考17</t>
    <phoneticPr fontId="3"/>
  </si>
  <si>
    <t>要求項目.取次情報.各事業者向け取次情報.備考16</t>
  </si>
  <si>
    <t>備考16</t>
    <phoneticPr fontId="3"/>
  </si>
  <si>
    <t>要求項目.取次情報.各事業者向け取次情報.備考15</t>
  </si>
  <si>
    <t>備考15</t>
    <phoneticPr fontId="3"/>
  </si>
  <si>
    <t>要求項目.取次情報.各事業者向け取次情報.備考14</t>
  </si>
  <si>
    <t>備考14</t>
    <phoneticPr fontId="3"/>
  </si>
  <si>
    <t>要求項目.取次情報.各事業者向け取次情報.備考13</t>
  </si>
  <si>
    <t>備考13</t>
    <phoneticPr fontId="3"/>
  </si>
  <si>
    <t>要求項目.取次情報.各事業者向け取次情報.備考12</t>
  </si>
  <si>
    <t>備考12</t>
    <phoneticPr fontId="3"/>
  </si>
  <si>
    <t>要求項目.取次情報.各事業者向け取次情報.備考11</t>
  </si>
  <si>
    <t>備考11</t>
    <phoneticPr fontId="3"/>
  </si>
  <si>
    <t>要求項目.取次情報.各事業者向け取次情報.備考10</t>
  </si>
  <si>
    <t>備考10</t>
    <phoneticPr fontId="3"/>
  </si>
  <si>
    <t>要求項目.取次情報.各事業者向け取次情報.備考9</t>
  </si>
  <si>
    <t>備考9</t>
    <phoneticPr fontId="3"/>
  </si>
  <si>
    <t>要求項目.取次情報.各事業者向け取次情報.備考8</t>
  </si>
  <si>
    <t>備考8</t>
    <phoneticPr fontId="3"/>
  </si>
  <si>
    <t>要求項目.取次情報.各事業者向け取次情報.備考7</t>
  </si>
  <si>
    <t>備考7</t>
    <phoneticPr fontId="3"/>
  </si>
  <si>
    <t>要求項目.取次情報.各事業者向け取次情報.備考6</t>
  </si>
  <si>
    <t>備考6</t>
  </si>
  <si>
    <t>要求項目.取次情報.各事業者向け取次情報.備考5</t>
  </si>
  <si>
    <t>備考5</t>
  </si>
  <si>
    <t>要求項目.取次情報.各事業者向け取次情報.備考4</t>
  </si>
  <si>
    <t>備考4</t>
  </si>
  <si>
    <t>要求項目.取次情報.各事業者向け取次情報.備考3</t>
  </si>
  <si>
    <t>備考3</t>
  </si>
  <si>
    <t>要求項目.取次情報.各事業者向け取次情報.備考2</t>
  </si>
  <si>
    <t>備考2</t>
  </si>
  <si>
    <t>要求項目.取次情報.各事業者向け取次情報.備考1</t>
  </si>
  <si>
    <t>備考1</t>
  </si>
  <si>
    <t>要求項目.取次情報.各事業者向け取次情報.お客様ID</t>
  </si>
  <si>
    <t>お客様ID</t>
  </si>
  <si>
    <t>要求項目.取次情報.各事業者向け取次情報.連絡希望時間帯</t>
  </si>
  <si>
    <t>連絡希望時間帯</t>
  </si>
  <si>
    <t>要求項目.取次情報.各事業者向け取次情報.連絡希望曜日</t>
  </si>
  <si>
    <t>連絡希望曜日</t>
  </si>
  <si>
    <t>要求項目. 取次情報.ご利用場所情報.所有区分</t>
  </si>
  <si>
    <t>所有区分</t>
  </si>
  <si>
    <t>要求項目. 取次情報.ご利用場所情報.住居区分</t>
  </si>
  <si>
    <t>住居区分</t>
  </si>
  <si>
    <t>要求項目. 取次情報.ご利用場所情報.ご利用場所住所情報.住所</t>
  </si>
  <si>
    <t>ご利用場所住所</t>
  </si>
  <si>
    <t>要求項目. 取次情報.ご利用場所情報.ご利用場所住所情報.郵便番号</t>
  </si>
  <si>
    <t>ご利用場所郵便番号</t>
  </si>
  <si>
    <t>要求項目. 取次情報.契約者連絡先情報. 携帯電話番号</t>
  </si>
  <si>
    <t>携帯電話番号</t>
  </si>
  <si>
    <t>要求項目. 取次情報.契約者連絡先情報. 自宅・勤務先電話番号</t>
  </si>
  <si>
    <t>自宅・勤務先電話番号</t>
  </si>
  <si>
    <t>要求項目. 取次情報.契約者氏名情報.カナ</t>
  </si>
  <si>
    <t>契約者氏名（カナ）</t>
  </si>
  <si>
    <t>要求項目. 取次情報.契約者氏名情報.漢字</t>
  </si>
  <si>
    <t>契約者氏名（漢字）</t>
  </si>
  <si>
    <t>要求項目. 取次情報.商品コード</t>
  </si>
  <si>
    <t>商品コード</t>
  </si>
  <si>
    <t>要求項目. 取次情報.事業者コード</t>
  </si>
  <si>
    <t>事業者コード</t>
  </si>
  <si>
    <t>紹介票管理番号（IG＋シーケンス）</t>
  </si>
  <si>
    <t>紹介票管理番号</t>
  </si>
  <si>
    <t>602:取次(異業種)</t>
  </si>
  <si>
    <t>申込登録種別</t>
  </si>
  <si>
    <t>異業種申込管理番号（シーケンス）</t>
  </si>
  <si>
    <t>異業種申込管理番号</t>
  </si>
  <si>
    <t>異業種商材申込情報テーブル</t>
    <phoneticPr fontId="3"/>
  </si>
  <si>
    <t>エラーメッセージなし</t>
  </si>
  <si>
    <t>システムログ</t>
  </si>
  <si>
    <t>アプリログ</t>
  </si>
  <si>
    <t>要求項目で取得した値をそのまま設定する。</t>
  </si>
  <si>
    <t>他の項目</t>
  </si>
  <si>
    <t>該当項目なし</t>
  </si>
  <si>
    <t>テーブルに登録された紹介票管理番号と同様</t>
  </si>
  <si>
    <t>テーブルに登録された異業種申込管理番号と同様</t>
  </si>
  <si>
    <t>個別結果コード</t>
  </si>
  <si>
    <t>API処理状態</t>
  </si>
  <si>
    <t>応答値</t>
  </si>
  <si>
    <t xml:space="preserve"> 確認内容概要</t>
  </si>
  <si>
    <t>M001を実行</t>
  </si>
  <si>
    <t>試験手順</t>
  </si>
  <si>
    <t>値</t>
  </si>
  <si>
    <t>CHECK_FLG</t>
  </si>
  <si>
    <t>キーワード</t>
  </si>
  <si>
    <t>BASE_SERVICE_TIME</t>
  </si>
  <si>
    <t>グープID</t>
  </si>
  <si>
    <t>FMC業務定数マスタ</t>
  </si>
  <si>
    <t>DBデータ準備</t>
  </si>
  <si>
    <t>本人確認情報.顧客区分</t>
    <phoneticPr fontId="3"/>
  </si>
  <si>
    <t>A1711001</t>
    <phoneticPr fontId="3"/>
  </si>
  <si>
    <t>本人確認情報.au加入者コード</t>
    <phoneticPr fontId="3"/>
  </si>
  <si>
    <t>特記欄００１</t>
  </si>
  <si>
    <t>取次情報.その他の情報.特記</t>
    <phoneticPr fontId="3"/>
  </si>
  <si>
    <t>取次情報.各事業者向け取次情報.備考20</t>
    <phoneticPr fontId="3"/>
  </si>
  <si>
    <t>取次情報.各事業者向け取次情報.備考19</t>
    <phoneticPr fontId="3"/>
  </si>
  <si>
    <t>取次情報.各事業者向け取次情報.備考18</t>
    <phoneticPr fontId="3"/>
  </si>
  <si>
    <t>取次情報.各事業者向け取次情報.備考17</t>
    <phoneticPr fontId="3"/>
  </si>
  <si>
    <t>取次情報.各事業者向け取次情報.備考16</t>
    <phoneticPr fontId="3"/>
  </si>
  <si>
    <t>取次情報.各事業者向け取次情報.備考15</t>
    <phoneticPr fontId="3"/>
  </si>
  <si>
    <t>取次情報.各事業者向け取次情報.備考14</t>
    <phoneticPr fontId="3"/>
  </si>
  <si>
    <t>取次情報.各事業者向け取次情報.備考13</t>
    <phoneticPr fontId="3"/>
  </si>
  <si>
    <t>取次情報.各事業者向け取次情報.備考12</t>
    <phoneticPr fontId="3"/>
  </si>
  <si>
    <t>取次情報.各事業者向け取次情報.備考11</t>
    <phoneticPr fontId="3"/>
  </si>
  <si>
    <t>取次情報.各事業者向け取次情報.備考10</t>
    <phoneticPr fontId="3"/>
  </si>
  <si>
    <t>取次情報.各事業者向け取次情報.備考9</t>
    <phoneticPr fontId="3"/>
  </si>
  <si>
    <t>取次情報.各事業者向け取次情報.備考8</t>
    <phoneticPr fontId="3"/>
  </si>
  <si>
    <t>取次情報.各事業者向け取次情報.備考7</t>
    <phoneticPr fontId="3"/>
  </si>
  <si>
    <t>取次情報.各事業者向け取次情報.備考6</t>
  </si>
  <si>
    <t>取次情報.各事業者向け取次情報.備考5</t>
  </si>
  <si>
    <t>取次情報.各事業者向け取次情報.備考4</t>
  </si>
  <si>
    <t>取次情報.各事業者向け取次情報.備考3</t>
  </si>
  <si>
    <t>取次情報.各事業者向け取次情報.備考2</t>
  </si>
  <si>
    <t>取次情報.各事業者向け取次情報.備考1</t>
    <phoneticPr fontId="3"/>
  </si>
  <si>
    <t>取次情報.各事業者向け取次情報.連絡希望時間帯</t>
    <phoneticPr fontId="3"/>
  </si>
  <si>
    <t>取次情報.各事業者向け取次情報.連絡希望曜日</t>
    <phoneticPr fontId="3"/>
  </si>
  <si>
    <t>取次情報.ご利用場所情報.所有区分</t>
    <phoneticPr fontId="3"/>
  </si>
  <si>
    <t>取次情報.ご利用場所情報.住居区分</t>
    <phoneticPr fontId="3"/>
  </si>
  <si>
    <t>東京都港区白金１丁目</t>
  </si>
  <si>
    <t>取次情報.ご利用場所情報.ご利用場所住所情報.住所</t>
    <phoneticPr fontId="3"/>
  </si>
  <si>
    <t>1080035</t>
  </si>
  <si>
    <t>取次情報.ご利用場所情報.ご利用場所住所情報.郵便番号</t>
    <phoneticPr fontId="3"/>
  </si>
  <si>
    <t>0312345678</t>
  </si>
  <si>
    <t>取次情報.契約者連絡先情報.自宅・勤務先電話番号</t>
    <phoneticPr fontId="3"/>
  </si>
  <si>
    <t>ケツゴウ　タロウ</t>
    <phoneticPr fontId="3"/>
  </si>
  <si>
    <t>取次情報.契約者氏名情報.カナ</t>
    <phoneticPr fontId="3"/>
  </si>
  <si>
    <t>結合　太郎</t>
    <rPh sb="0" eb="2">
      <t>ケツゴウ</t>
    </rPh>
    <rPh sb="3" eb="5">
      <t>タロウ</t>
    </rPh>
    <phoneticPr fontId="3"/>
  </si>
  <si>
    <t>取次情報.契約者氏名情報.漢字</t>
    <phoneticPr fontId="3"/>
  </si>
  <si>
    <t>171101</t>
    <phoneticPr fontId="3"/>
  </si>
  <si>
    <t>取次情報.商品コード</t>
    <phoneticPr fontId="3"/>
  </si>
  <si>
    <t>17110</t>
    <phoneticPr fontId="3"/>
  </si>
  <si>
    <t>取次情報.事業者コード</t>
    <phoneticPr fontId="3"/>
  </si>
  <si>
    <t>123456</t>
    <phoneticPr fontId="3"/>
  </si>
  <si>
    <t>取次情報.申込時刻</t>
    <phoneticPr fontId="3"/>
  </si>
  <si>
    <t>20170919</t>
    <phoneticPr fontId="3"/>
  </si>
  <si>
    <t>取次情報.申込年月日</t>
    <phoneticPr fontId="3"/>
  </si>
  <si>
    <t>ＯＲＡＮＧＥ担当者</t>
  </si>
  <si>
    <t>申込内部情報.申込押下ボタン.担当者名</t>
    <phoneticPr fontId="3"/>
  </si>
  <si>
    <t>Ｅ８４５００１</t>
  </si>
  <si>
    <t>申込内部情報.申込押下ボタン.店名</t>
    <phoneticPr fontId="3"/>
  </si>
  <si>
    <t>8</t>
  </si>
  <si>
    <t>申込内部情報.申込押下ボタン</t>
    <phoneticPr fontId="3"/>
  </si>
  <si>
    <t>要求項目</t>
  </si>
  <si>
    <t xml:space="preserve"> チェック条件</t>
  </si>
  <si>
    <t xml:space="preserve"> チェック項目</t>
  </si>
  <si>
    <t xml:space="preserve"> 試験項番</t>
  </si>
  <si>
    <t>小</t>
  </si>
  <si>
    <t>申し込み</t>
  </si>
  <si>
    <t xml:space="preserve"> チーム名</t>
  </si>
  <si>
    <t>M001</t>
  </si>
  <si>
    <t>中</t>
  </si>
  <si>
    <t>結合試験</t>
  </si>
  <si>
    <t xml:space="preserve"> 試験名</t>
  </si>
  <si>
    <t>案件1711</t>
    <phoneticPr fontId="3"/>
  </si>
  <si>
    <t>大</t>
  </si>
  <si>
    <t xml:space="preserve"> 試験項目</t>
  </si>
  <si>
    <t xml:space="preserve"> SMC-FMCオンライン</t>
  </si>
  <si>
    <t xml:space="preserve"> システム名</t>
  </si>
  <si>
    <t>自動採番</t>
    <rPh sb="0" eb="2">
      <t>ジドウ</t>
    </rPh>
    <rPh sb="2" eb="4">
      <t>サイバン</t>
    </rPh>
    <phoneticPr fontId="3"/>
  </si>
  <si>
    <t>introduction-no</t>
  </si>
  <si>
    <t>画面入力値または自動採番された番号を設定</t>
    <rPh sb="0" eb="2">
      <t>ガメン</t>
    </rPh>
    <rPh sb="2" eb="5">
      <t>ニュウリョクチ</t>
    </rPh>
    <rPh sb="8" eb="10">
      <t>ジドウ</t>
    </rPh>
    <rPh sb="10" eb="11">
      <t>サイ</t>
    </rPh>
    <rPh sb="11" eb="12">
      <t>バン</t>
    </rPh>
    <rPh sb="15" eb="17">
      <t>バンゴウ</t>
    </rPh>
    <rPh sb="18" eb="20">
      <t>セッテイ</t>
    </rPh>
    <phoneticPr fontId="3"/>
  </si>
  <si>
    <t>紹介票管理番号</t>
    <rPh sb="0" eb="2">
      <t>ショウカイ</t>
    </rPh>
    <rPh sb="2" eb="3">
      <t>ヒョウ</t>
    </rPh>
    <rPh sb="3" eb="5">
      <t>カンリ</t>
    </rPh>
    <rPh sb="5" eb="7">
      <t>バンゴウ</t>
    </rPh>
    <phoneticPr fontId="3"/>
  </si>
  <si>
    <t>○</t>
    <phoneticPr fontId="3"/>
  </si>
  <si>
    <t>different-appl-mng-no</t>
  </si>
  <si>
    <t xml:space="preserve">FMCオンラインシステム内のユニークな管理番号 </t>
  </si>
  <si>
    <t>異業種申込管理番号</t>
    <rPh sb="0" eb="3">
      <t>イギョウシュ</t>
    </rPh>
    <rPh sb="3" eb="5">
      <t>モウシコミ</t>
    </rPh>
    <rPh sb="5" eb="7">
      <t>カンリ</t>
    </rPh>
    <rPh sb="7" eb="9">
      <t>バンゴウ</t>
    </rPh>
    <phoneticPr fontId="3"/>
  </si>
  <si>
    <t>reg-info</t>
  </si>
  <si>
    <t>登録情報</t>
    <rPh sb="0" eb="2">
      <t>トウロク</t>
    </rPh>
    <rPh sb="2" eb="4">
      <t>ジョウホウ</t>
    </rPh>
    <phoneticPr fontId="3"/>
  </si>
  <si>
    <t>0000</t>
    <phoneticPr fontId="3"/>
  </si>
  <si>
    <t xml:space="preserve">処理結果を設定
"0000"：正常
</t>
    <rPh sb="0" eb="2">
      <t>ショリ</t>
    </rPh>
    <rPh sb="2" eb="4">
      <t>ケッカ</t>
    </rPh>
    <rPh sb="5" eb="7">
      <t>セッテイ</t>
    </rPh>
    <rPh sb="15" eb="17">
      <t>セイジョウ</t>
    </rPh>
    <phoneticPr fontId="3"/>
  </si>
  <si>
    <t>I</t>
  </si>
  <si>
    <t>cust-kbn</t>
  </si>
  <si>
    <t>1,2</t>
    <phoneticPr fontId="3"/>
  </si>
  <si>
    <t xml:space="preserve">"1":個人
"2":法人
</t>
    <phoneticPr fontId="3"/>
  </si>
  <si>
    <t>顧客区分</t>
    <rPh sb="0" eb="2">
      <t>コキャク</t>
    </rPh>
    <rPh sb="2" eb="4">
      <t>クブン</t>
    </rPh>
    <phoneticPr fontId="3"/>
  </si>
  <si>
    <t>login-id</t>
  </si>
  <si>
    <t>基本契約番号</t>
    <rPh sb="0" eb="2">
      <t>キホン</t>
    </rPh>
    <rPh sb="2" eb="4">
      <t>ケイヤク</t>
    </rPh>
    <rPh sb="4" eb="6">
      <t>バンゴウ</t>
    </rPh>
    <phoneticPr fontId="3"/>
  </si>
  <si>
    <t>A1701001</t>
    <phoneticPr fontId="3"/>
  </si>
  <si>
    <t>member-cd</t>
  </si>
  <si>
    <t>au加入者コード</t>
    <rPh sb="2" eb="5">
      <t>カニュウシャ</t>
    </rPh>
    <phoneticPr fontId="3"/>
  </si>
  <si>
    <t>proof-info</t>
  </si>
  <si>
    <t>本人確認情報</t>
    <rPh sb="0" eb="2">
      <t>ホンニン</t>
    </rPh>
    <rPh sb="2" eb="4">
      <t>カクニン</t>
    </rPh>
    <rPh sb="4" eb="6">
      <t>ジョウホウ</t>
    </rPh>
    <phoneticPr fontId="3"/>
  </si>
  <si>
    <t>特記欄００１</t>
    <rPh sb="0" eb="2">
      <t>トッキ</t>
    </rPh>
    <rPh sb="2" eb="3">
      <t>ラン</t>
    </rPh>
    <phoneticPr fontId="3"/>
  </si>
  <si>
    <t>special</t>
  </si>
  <si>
    <t>特記</t>
    <rPh sb="0" eb="2">
      <t>トッキ</t>
    </rPh>
    <phoneticPr fontId="4"/>
  </si>
  <si>
    <t>other-info</t>
  </si>
  <si>
    <t>「特記」が空白の場合タグ無しで連携</t>
    <rPh sb="1" eb="3">
      <t>トッキ</t>
    </rPh>
    <rPh sb="5" eb="7">
      <t>クウハク</t>
    </rPh>
    <rPh sb="8" eb="10">
      <t>バアイ</t>
    </rPh>
    <rPh sb="12" eb="13">
      <t>ナ</t>
    </rPh>
    <rPh sb="15" eb="17">
      <t>レンケイ</t>
    </rPh>
    <phoneticPr fontId="3"/>
  </si>
  <si>
    <t>その他の情報</t>
    <rPh sb="2" eb="3">
      <t>タ</t>
    </rPh>
    <rPh sb="4" eb="6">
      <t>ジョウホウ</t>
    </rPh>
    <phoneticPr fontId="4"/>
  </si>
  <si>
    <t>備考20</t>
    <rPh sb="0" eb="2">
      <t>ビコウ</t>
    </rPh>
    <phoneticPr fontId="3"/>
  </si>
  <si>
    <t>remarks-20</t>
  </si>
  <si>
    <t>△</t>
  </si>
  <si>
    <t>備考19</t>
    <rPh sb="0" eb="2">
      <t>ビコウ</t>
    </rPh>
    <phoneticPr fontId="3"/>
  </si>
  <si>
    <t>remarks-19</t>
  </si>
  <si>
    <t>備考18</t>
    <rPh sb="0" eb="2">
      <t>ビコウ</t>
    </rPh>
    <phoneticPr fontId="3"/>
  </si>
  <si>
    <t>remarks-18</t>
  </si>
  <si>
    <t>備考17</t>
    <rPh sb="0" eb="2">
      <t>ビコウ</t>
    </rPh>
    <phoneticPr fontId="3"/>
  </si>
  <si>
    <t>remarks-17</t>
  </si>
  <si>
    <t>○</t>
    <phoneticPr fontId="3"/>
  </si>
  <si>
    <t>備考16</t>
    <rPh sb="0" eb="2">
      <t>ビコウ</t>
    </rPh>
    <phoneticPr fontId="3"/>
  </si>
  <si>
    <t>remarks-16</t>
  </si>
  <si>
    <t>○</t>
    <phoneticPr fontId="3"/>
  </si>
  <si>
    <t>備考15</t>
    <rPh sb="0" eb="2">
      <t>ビコウ</t>
    </rPh>
    <phoneticPr fontId="3"/>
  </si>
  <si>
    <t>remarks-15</t>
  </si>
  <si>
    <t>備考14</t>
    <rPh sb="0" eb="2">
      <t>ビコウ</t>
    </rPh>
    <phoneticPr fontId="3"/>
  </si>
  <si>
    <t>remarks-14</t>
  </si>
  <si>
    <t>備考13</t>
    <rPh sb="0" eb="2">
      <t>ビコウ</t>
    </rPh>
    <phoneticPr fontId="3"/>
  </si>
  <si>
    <t>remarks-13</t>
  </si>
  <si>
    <t>備考12</t>
    <rPh sb="0" eb="2">
      <t>ビコウ</t>
    </rPh>
    <phoneticPr fontId="3"/>
  </si>
  <si>
    <t>remarks-12</t>
  </si>
  <si>
    <t>備考11</t>
    <rPh sb="0" eb="2">
      <t>ビコウ</t>
    </rPh>
    <phoneticPr fontId="3"/>
  </si>
  <si>
    <t>remarks-11</t>
  </si>
  <si>
    <t>備考10</t>
    <rPh sb="0" eb="2">
      <t>ビコウ</t>
    </rPh>
    <phoneticPr fontId="3"/>
  </si>
  <si>
    <t>remarks-10</t>
  </si>
  <si>
    <t>備考9</t>
    <rPh sb="0" eb="2">
      <t>ビコウ</t>
    </rPh>
    <phoneticPr fontId="3"/>
  </si>
  <si>
    <t>remarks-9</t>
  </si>
  <si>
    <t>備考8</t>
    <rPh sb="0" eb="2">
      <t>ビコウ</t>
    </rPh>
    <phoneticPr fontId="3"/>
  </si>
  <si>
    <t>remarks-8</t>
  </si>
  <si>
    <t>備考7</t>
    <rPh sb="0" eb="2">
      <t>ビコウ</t>
    </rPh>
    <phoneticPr fontId="3"/>
  </si>
  <si>
    <t>remarks-7</t>
  </si>
  <si>
    <t>備考6</t>
    <rPh sb="0" eb="2">
      <t>ビコウ</t>
    </rPh>
    <phoneticPr fontId="3"/>
  </si>
  <si>
    <t>remarks-6</t>
  </si>
  <si>
    <t>備考5</t>
    <rPh sb="0" eb="2">
      <t>ビコウ</t>
    </rPh>
    <phoneticPr fontId="3"/>
  </si>
  <si>
    <t>remarks-5</t>
  </si>
  <si>
    <t>備考4</t>
    <rPh sb="0" eb="2">
      <t>ビコウ</t>
    </rPh>
    <phoneticPr fontId="3"/>
  </si>
  <si>
    <t>remarks-4</t>
  </si>
  <si>
    <t>備考3</t>
    <rPh sb="0" eb="2">
      <t>ビコウ</t>
    </rPh>
    <phoneticPr fontId="3"/>
  </si>
  <si>
    <t>remarks-3</t>
  </si>
  <si>
    <t>備考2</t>
    <rPh sb="0" eb="2">
      <t>ビコウ</t>
    </rPh>
    <phoneticPr fontId="3"/>
  </si>
  <si>
    <t>remarks-2</t>
  </si>
  <si>
    <t>備考1</t>
    <rPh sb="0" eb="2">
      <t>ビコウ</t>
    </rPh>
    <phoneticPr fontId="3"/>
  </si>
  <si>
    <t>remarks-1</t>
  </si>
  <si>
    <t>customer-id</t>
  </si>
  <si>
    <t>相手先の顧客を特定するＩＤ</t>
  </si>
  <si>
    <t>お客様ID</t>
    <rPh sb="1" eb="3">
      <t>キャクサマ</t>
    </rPh>
    <phoneticPr fontId="4"/>
  </si>
  <si>
    <t>contact-time</t>
  </si>
  <si>
    <t>0,1,2,3</t>
    <phoneticPr fontId="3"/>
  </si>
  <si>
    <t xml:space="preserve">"0":指定なし
"1":9時～12時
"2":12時～18時
"3":18時～20時
</t>
    <phoneticPr fontId="3"/>
  </si>
  <si>
    <t>連絡希望時間帯</t>
    <rPh sb="0" eb="2">
      <t>レンラク</t>
    </rPh>
    <rPh sb="2" eb="4">
      <t>キボウ</t>
    </rPh>
    <rPh sb="4" eb="7">
      <t>ジカンタイ</t>
    </rPh>
    <phoneticPr fontId="4"/>
  </si>
  <si>
    <t>contact-date</t>
  </si>
  <si>
    <t>0,1,2</t>
    <phoneticPr fontId="3"/>
  </si>
  <si>
    <t xml:space="preserve">"0":指定なし
"1":平日
"2":土日祝日
</t>
    <phoneticPr fontId="3"/>
  </si>
  <si>
    <t>連絡希望曜日</t>
    <rPh sb="0" eb="2">
      <t>レンラク</t>
    </rPh>
    <rPh sb="2" eb="4">
      <t>キボウ</t>
    </rPh>
    <rPh sb="4" eb="6">
      <t>ヨウビ</t>
    </rPh>
    <phoneticPr fontId="4"/>
  </si>
  <si>
    <t>more-agency-info</t>
  </si>
  <si>
    <t>各事業者向け取次情報</t>
    <rPh sb="0" eb="1">
      <t>カク</t>
    </rPh>
    <rPh sb="1" eb="4">
      <t>ジギョウシャ</t>
    </rPh>
    <rPh sb="4" eb="5">
      <t>ム</t>
    </rPh>
    <rPh sb="6" eb="8">
      <t>トリツギ</t>
    </rPh>
    <rPh sb="8" eb="10">
      <t>ジョウホウ</t>
    </rPh>
    <phoneticPr fontId="4"/>
  </si>
  <si>
    <t>owner-kbn</t>
  </si>
  <si>
    <t xml:space="preserve">"0"：持家
"1"：賃貸
</t>
    <rPh sb="4" eb="6">
      <t>モチイエ</t>
    </rPh>
    <rPh sb="11" eb="13">
      <t>チンタイ</t>
    </rPh>
    <phoneticPr fontId="3"/>
  </si>
  <si>
    <t>所有区分</t>
    <rPh sb="0" eb="2">
      <t>ショユウ</t>
    </rPh>
    <rPh sb="2" eb="4">
      <t>クブン</t>
    </rPh>
    <phoneticPr fontId="4"/>
  </si>
  <si>
    <t>building-type</t>
  </si>
  <si>
    <t xml:space="preserve">"0"：一戸建
"1"：集合住宅
</t>
    <phoneticPr fontId="3"/>
  </si>
  <si>
    <t>住居区分</t>
    <rPh sb="0" eb="2">
      <t>ジュウキョ</t>
    </rPh>
    <rPh sb="2" eb="4">
      <t>クブン</t>
    </rPh>
    <phoneticPr fontId="4"/>
  </si>
  <si>
    <t>東京都港区白金１丁目</t>
    <phoneticPr fontId="3"/>
  </si>
  <si>
    <t>use-add</t>
  </si>
  <si>
    <t>住所</t>
    <phoneticPr fontId="3"/>
  </si>
  <si>
    <t>1080035</t>
    <phoneticPr fontId="3"/>
  </si>
  <si>
    <t>use-post-cd</t>
  </si>
  <si>
    <t>郵便番号</t>
    <rPh sb="0" eb="4">
      <t>ユウビンバンゴウ</t>
    </rPh>
    <phoneticPr fontId="4"/>
  </si>
  <si>
    <t>use-add-info</t>
  </si>
  <si>
    <t>ご利用場所住所情報</t>
    <rPh sb="1" eb="3">
      <t>リヨウ</t>
    </rPh>
    <rPh sb="3" eb="5">
      <t>バショ</t>
    </rPh>
    <rPh sb="5" eb="7">
      <t>ジュウショ</t>
    </rPh>
    <rPh sb="7" eb="9">
      <t>ジョウホウ</t>
    </rPh>
    <phoneticPr fontId="3"/>
  </si>
  <si>
    <t>use-info</t>
  </si>
  <si>
    <t>ご利用場所情報</t>
    <rPh sb="1" eb="3">
      <t>リヨウ</t>
    </rPh>
    <rPh sb="3" eb="5">
      <t>バショ</t>
    </rPh>
    <rPh sb="5" eb="7">
      <t>ジョウホウ</t>
    </rPh>
    <phoneticPr fontId="3"/>
  </si>
  <si>
    <t>mobile-tel-no</t>
  </si>
  <si>
    <t>0312345678</t>
    <phoneticPr fontId="3"/>
  </si>
  <si>
    <t>home-tel-no</t>
  </si>
  <si>
    <t>自宅・勤務先電話番号</t>
    <rPh sb="3" eb="6">
      <t>キンムサキ</t>
    </rPh>
    <phoneticPr fontId="4"/>
  </si>
  <si>
    <t>appl-cnct-info</t>
  </si>
  <si>
    <t>自宅・勤務先電話番号、携帯電話番号の何れか必須</t>
    <rPh sb="3" eb="6">
      <t>キンムサキ</t>
    </rPh>
    <phoneticPr fontId="3"/>
  </si>
  <si>
    <t>契約者連絡先情報</t>
    <rPh sb="0" eb="3">
      <t>ケイヤクシャ</t>
    </rPh>
    <rPh sb="3" eb="5">
      <t>レンラク</t>
    </rPh>
    <rPh sb="5" eb="6">
      <t>サキ</t>
    </rPh>
    <rPh sb="6" eb="8">
      <t>ジョウホウ</t>
    </rPh>
    <phoneticPr fontId="3"/>
  </si>
  <si>
    <t>cont-nm-kn</t>
  </si>
  <si>
    <t>カナ</t>
  </si>
  <si>
    <t>cont-nm-kj</t>
  </si>
  <si>
    <t>漢字</t>
    <rPh sb="0" eb="2">
      <t>カンジ</t>
    </rPh>
    <phoneticPr fontId="4"/>
  </si>
  <si>
    <t>cont-nm-info</t>
  </si>
  <si>
    <t>契約者氏名情報</t>
    <rPh sb="0" eb="3">
      <t>ケイヤクシャ</t>
    </rPh>
    <rPh sb="3" eb="5">
      <t>シメイ</t>
    </rPh>
    <rPh sb="5" eb="7">
      <t>ジョウホウ</t>
    </rPh>
    <phoneticPr fontId="4"/>
  </si>
  <si>
    <t>shouhin-cd</t>
  </si>
  <si>
    <t>carrier-cd</t>
  </si>
  <si>
    <t>appl-time</t>
  </si>
  <si>
    <t>サーバ時刻をhhmmss形式で設定</t>
  </si>
  <si>
    <t>申込時刻</t>
    <rPh sb="2" eb="4">
      <t>ジコク</t>
    </rPh>
    <phoneticPr fontId="3"/>
  </si>
  <si>
    <t>appl-date</t>
  </si>
  <si>
    <t>サーバ年月日をyyyymmdd形式で設定</t>
  </si>
  <si>
    <t>申込年月日</t>
    <phoneticPr fontId="3"/>
  </si>
  <si>
    <t>agency-info</t>
  </si>
  <si>
    <t>取次情報</t>
    <rPh sb="0" eb="2">
      <t>トリツギ</t>
    </rPh>
    <phoneticPr fontId="3"/>
  </si>
  <si>
    <t>au-agency-tel-no</t>
  </si>
  <si>
    <t>auショップ電話番号</t>
    <phoneticPr fontId="3"/>
  </si>
  <si>
    <t>電話番号</t>
    <rPh sb="0" eb="2">
      <t>デンワ</t>
    </rPh>
    <rPh sb="2" eb="4">
      <t>バンゴウ</t>
    </rPh>
    <phoneticPr fontId="4"/>
  </si>
  <si>
    <t>ope-nm-kj-first</t>
  </si>
  <si>
    <t>担当者名称(名)</t>
    <phoneticPr fontId="3"/>
  </si>
  <si>
    <t>担当者名(名)</t>
    <rPh sb="0" eb="2">
      <t>タントウ</t>
    </rPh>
    <rPh sb="2" eb="3">
      <t>シャ</t>
    </rPh>
    <rPh sb="3" eb="4">
      <t>メイ</t>
    </rPh>
    <phoneticPr fontId="3"/>
  </si>
  <si>
    <t>ＯＲＡＮＧＥ担当者</t>
    <rPh sb="6" eb="8">
      <t>タントウ</t>
    </rPh>
    <rPh sb="8" eb="9">
      <t>シャ</t>
    </rPh>
    <phoneticPr fontId="3"/>
  </si>
  <si>
    <t>ope-nm-kj</t>
  </si>
  <si>
    <t>担当者名称</t>
    <phoneticPr fontId="3"/>
  </si>
  <si>
    <t>担当者名</t>
    <rPh sb="0" eb="2">
      <t>タントウ</t>
    </rPh>
    <rPh sb="2" eb="3">
      <t>シャ</t>
    </rPh>
    <rPh sb="3" eb="4">
      <t>メイ</t>
    </rPh>
    <phoneticPr fontId="3"/>
  </si>
  <si>
    <t>Ｅ８４５００１</t>
    <phoneticPr fontId="3"/>
  </si>
  <si>
    <t>au-agency-nm-kj</t>
  </si>
  <si>
    <t>代理店名称</t>
    <phoneticPr fontId="3"/>
  </si>
  <si>
    <t>店名</t>
    <rPh sb="0" eb="2">
      <t>テンメイ</t>
    </rPh>
    <phoneticPr fontId="3"/>
  </si>
  <si>
    <t>au-agency-info</t>
  </si>
  <si>
    <t>販売店情報</t>
    <rPh sb="0" eb="3">
      <t>ハンバイテン</t>
    </rPh>
    <rPh sb="3" eb="5">
      <t>ジョウホウ</t>
    </rPh>
    <phoneticPr fontId="3"/>
  </si>
  <si>
    <t>select-btn</t>
  </si>
  <si>
    <t xml:space="preserve">"8"：取次申込
</t>
    <rPh sb="4" eb="6">
      <t>トリツギ</t>
    </rPh>
    <rPh sb="6" eb="8">
      <t>モウシコミ</t>
    </rPh>
    <phoneticPr fontId="3"/>
  </si>
  <si>
    <t>申込押下ボタン</t>
    <rPh sb="0" eb="2">
      <t>モウシコミ</t>
    </rPh>
    <rPh sb="2" eb="4">
      <t>オウカ</t>
    </rPh>
    <phoneticPr fontId="3"/>
  </si>
  <si>
    <t>appl-form-info</t>
  </si>
  <si>
    <t>申込内部情報</t>
    <rPh sb="0" eb="2">
      <t>モウシコミ</t>
    </rPh>
    <rPh sb="2" eb="4">
      <t>ナイブ</t>
    </rPh>
    <rPh sb="4" eb="6">
      <t>ジョウホウ</t>
    </rPh>
    <phoneticPr fontId="3"/>
  </si>
  <si>
    <t>I/O</t>
  </si>
  <si>
    <t>APIパラメータ</t>
    <phoneticPr fontId="3"/>
  </si>
  <si>
    <t>△</t>
    <phoneticPr fontId="3"/>
  </si>
  <si>
    <t>エラーフラグ</t>
    <phoneticPr fontId="3"/>
  </si>
  <si>
    <t>○</t>
    <phoneticPr fontId="3"/>
  </si>
  <si>
    <t>00</t>
    <phoneticPr fontId="3"/>
  </si>
  <si>
    <t>O</t>
    <phoneticPr fontId="3"/>
  </si>
  <si>
    <t>X</t>
    <phoneticPr fontId="3"/>
  </si>
  <si>
    <t>api-status</t>
    <phoneticPr fontId="3"/>
  </si>
  <si>
    <t>要求項目（初期値スペース）だが応答時に応答内容を設定して返す</t>
    <phoneticPr fontId="3"/>
  </si>
  <si>
    <t>I/O</t>
    <phoneticPr fontId="3"/>
  </si>
  <si>
    <t xml:space="preserve">入力時：初期値を設定
出力時：下記、API呼出結果を設定
　"00"：正常終了
　"01"：フォーマットエラー(入力XML不正)
　"02"：APIバージョン不正
　"03"：呼び出し元システムID不正
　"04"：設定ファイルエラー
　"05"：データ不正
　"80"：メンテナンス中(内部)
　"81"：システム利用時間外エラー
　"82"：メンテナンス中(外部)
　"90"：DBエラー(GATE内部)
　"91"：DBエラー(GATE外部)
　"92"：内部連携エラー
　"93"：外部連携エラー
　"99"：システムエラー(その他エラー)
</t>
  </si>
  <si>
    <t>ODP40570</t>
  </si>
  <si>
    <r>
      <t xml:space="preserve">絵喜伝：8桁
PASCAL：6桁
</t>
    </r>
    <r>
      <rPr>
        <sz val="11"/>
        <rFont val="ＭＳ Ｐゴシック"/>
        <family val="3"/>
        <charset val="128"/>
      </rPr>
      <t>ORANGE：8桁</t>
    </r>
    <r>
      <rPr>
        <sz val="11"/>
        <rFont val="ＭＳ Ｐゴシック"/>
        <family val="3"/>
        <charset val="128"/>
      </rPr>
      <t xml:space="preserve">
</t>
    </r>
    <rPh sb="25" eb="26">
      <t>ケタ</t>
    </rPh>
    <phoneticPr fontId="3"/>
  </si>
  <si>
    <t>api-title-name</t>
    <phoneticPr fontId="3"/>
  </si>
  <si>
    <r>
      <t xml:space="preserve">各FMCオンライン呼出元の画面名（ID)
</t>
    </r>
    <r>
      <rPr>
        <sz val="11"/>
        <rFont val="ＭＳ Ｐゴシック"/>
        <family val="3"/>
        <charset val="128"/>
      </rPr>
      <t xml:space="preserve">
</t>
    </r>
    <rPh sb="0" eb="1">
      <t>カク</t>
    </rPh>
    <rPh sb="9" eb="11">
      <t>ヨビダシ</t>
    </rPh>
    <rPh sb="11" eb="12">
      <t>モト</t>
    </rPh>
    <rPh sb="13" eb="15">
      <t>ガメン</t>
    </rPh>
    <rPh sb="15" eb="16">
      <t>メイ</t>
    </rPh>
    <phoneticPr fontId="3"/>
  </si>
  <si>
    <t>api-sys-name</t>
    <phoneticPr fontId="3"/>
  </si>
  <si>
    <r>
      <t>PASCAL,EKIDEN</t>
    </r>
    <r>
      <rPr>
        <sz val="11"/>
        <rFont val="ＭＳ Ｐゴシック"/>
        <family val="3"/>
        <charset val="128"/>
      </rPr>
      <t>,ORANGE</t>
    </r>
    <phoneticPr fontId="3"/>
  </si>
  <si>
    <r>
      <t>各FMCオンライン呼出元のシステム名
タブレット端末："PASCAL"</t>
    </r>
    <r>
      <rPr>
        <sz val="11"/>
        <rFont val="ＭＳ Ｐゴシック"/>
        <family val="3"/>
        <charset val="128"/>
      </rPr>
      <t xml:space="preserve">
絵喜伝："EKIDEN"
ORANGE："ORANGE"</t>
    </r>
    <r>
      <rPr>
        <sz val="11"/>
        <rFont val="ＭＳ Ｐゴシック"/>
        <family val="3"/>
        <charset val="128"/>
      </rPr>
      <t xml:space="preserve">
</t>
    </r>
    <rPh sb="0" eb="1">
      <t>カク</t>
    </rPh>
    <rPh sb="9" eb="11">
      <t>ヨビダシ</t>
    </rPh>
    <rPh sb="11" eb="12">
      <t>モト</t>
    </rPh>
    <rPh sb="17" eb="18">
      <t>メイ</t>
    </rPh>
    <rPh sb="24" eb="26">
      <t>タンマツ</t>
    </rPh>
    <rPh sb="36" eb="37">
      <t>エ</t>
    </rPh>
    <rPh sb="37" eb="38">
      <t>キ</t>
    </rPh>
    <rPh sb="38" eb="39">
      <t>デン</t>
    </rPh>
    <phoneticPr fontId="3"/>
  </si>
  <si>
    <t>192.168.134.246</t>
  </si>
  <si>
    <t>api-ip-add</t>
    <phoneticPr fontId="3"/>
  </si>
  <si>
    <t>\d{1,3}\.\d{1,3}\.\d{1,3}\.\d{1,3}</t>
    <phoneticPr fontId="3"/>
  </si>
  <si>
    <r>
      <t>API呼出を行ったPASCAL、絵喜伝</t>
    </r>
    <r>
      <rPr>
        <sz val="11"/>
        <rFont val="ＭＳ Ｐゴシック"/>
        <family val="3"/>
        <charset val="128"/>
      </rPr>
      <t>、ORANGE端末のIPアドレスを設定。</t>
    </r>
    <r>
      <rPr>
        <sz val="11"/>
        <rFont val="ＭＳ Ｐゴシック"/>
        <family val="3"/>
        <charset val="128"/>
      </rPr>
      <t xml:space="preserve">
</t>
    </r>
    <rPh sb="6" eb="7">
      <t>オコナ</t>
    </rPh>
    <rPh sb="16" eb="19">
      <t>エキデン</t>
    </rPh>
    <rPh sb="26" eb="28">
      <t>タンマツ</t>
    </rPh>
    <rPh sb="36" eb="38">
      <t>セッテイ</t>
    </rPh>
    <phoneticPr fontId="3"/>
  </si>
  <si>
    <t>AUE31814</t>
  </si>
  <si>
    <r>
      <t>api-pson-chg-</t>
    </r>
    <r>
      <rPr>
        <sz val="11"/>
        <rFont val="ＭＳ Ｐゴシック"/>
        <family val="3"/>
        <charset val="128"/>
      </rPr>
      <t>id</t>
    </r>
    <phoneticPr fontId="3"/>
  </si>
  <si>
    <r>
      <t>api-</t>
    </r>
    <r>
      <rPr>
        <sz val="11"/>
        <rFont val="ＭＳ Ｐゴシック"/>
        <family val="3"/>
        <charset val="128"/>
      </rPr>
      <t>agency-cd</t>
    </r>
    <phoneticPr fontId="3"/>
  </si>
  <si>
    <r>
      <t xml:space="preserve">au代理店コードを設定。
</t>
    </r>
    <r>
      <rPr>
        <sz val="11"/>
        <rFont val="ＭＳ Ｐゴシック"/>
        <family val="3"/>
        <charset val="128"/>
      </rPr>
      <t xml:space="preserve">下記の条件を全て満たす場合のみ非必須。
満たさない場合は、必須。
API識別：H001（申込情報照会API）
呼出元：EKIDEN（絵喜伝）
</t>
    </r>
    <rPh sb="9" eb="11">
      <t>セッテイ</t>
    </rPh>
    <rPh sb="14" eb="16">
      <t>カキ</t>
    </rPh>
    <rPh sb="17" eb="19">
      <t>ジョウケン</t>
    </rPh>
    <rPh sb="20" eb="21">
      <t>スベ</t>
    </rPh>
    <rPh sb="22" eb="23">
      <t>ミ</t>
    </rPh>
    <rPh sb="25" eb="27">
      <t>バアイ</t>
    </rPh>
    <rPh sb="29" eb="30">
      <t>ヒ</t>
    </rPh>
    <rPh sb="30" eb="32">
      <t>ヒッス</t>
    </rPh>
    <rPh sb="34" eb="35">
      <t>ミ</t>
    </rPh>
    <rPh sb="39" eb="41">
      <t>バアイ</t>
    </rPh>
    <rPh sb="43" eb="45">
      <t>ヒッス</t>
    </rPh>
    <rPh sb="58" eb="60">
      <t>モウシコミ</t>
    </rPh>
    <rPh sb="60" eb="62">
      <t>ジョウホウ</t>
    </rPh>
    <rPh sb="62" eb="64">
      <t>ショウカイ</t>
    </rPh>
    <rPh sb="69" eb="71">
      <t>ヨビダ</t>
    </rPh>
    <rPh sb="71" eb="72">
      <t>モト</t>
    </rPh>
    <rPh sb="80" eb="81">
      <t>エ</t>
    </rPh>
    <rPh sb="81" eb="82">
      <t>キ</t>
    </rPh>
    <rPh sb="82" eb="83">
      <t>デン</t>
    </rPh>
    <phoneticPr fontId="3"/>
  </si>
  <si>
    <t>api-sys-id</t>
    <phoneticPr fontId="3"/>
  </si>
  <si>
    <t>api-caller-info</t>
    <phoneticPr fontId="3"/>
  </si>
  <si>
    <t>api-dtime</t>
    <phoneticPr fontId="3"/>
  </si>
  <si>
    <t>API呼出日時を設定　形式：yyyymmddhhmmss</t>
    <phoneticPr fontId="3"/>
  </si>
  <si>
    <t>api-var</t>
    <phoneticPr fontId="3"/>
  </si>
  <si>
    <r>
      <t xml:space="preserve">APIのバージョンを設定。
</t>
    </r>
    <r>
      <rPr>
        <sz val="11"/>
        <rFont val="ＭＳ Ｐゴシック"/>
        <family val="3"/>
        <charset val="128"/>
      </rPr>
      <t>「10」固定。</t>
    </r>
    <rPh sb="10" eb="12">
      <t>セッテイ</t>
    </rPh>
    <rPh sb="18" eb="20">
      <t>コテイ</t>
    </rPh>
    <phoneticPr fontId="3"/>
  </si>
  <si>
    <t>APIバージョン</t>
    <phoneticPr fontId="3"/>
  </si>
  <si>
    <t>M001</t>
    <phoneticPr fontId="3"/>
  </si>
  <si>
    <t>api-id</t>
    <phoneticPr fontId="3"/>
  </si>
  <si>
    <r>
      <t>APIを識別するコード</t>
    </r>
    <r>
      <rPr>
        <sz val="11"/>
        <rFont val="ＭＳ Ｐゴシック"/>
        <family val="3"/>
        <charset val="128"/>
      </rPr>
      <t>（API-ID）を設定。
設定内容は「付録C FMCオンラインAPI補足資料」を参照。</t>
    </r>
    <rPh sb="4" eb="6">
      <t>シキベツ</t>
    </rPh>
    <rPh sb="20" eb="22">
      <t>セッテイ</t>
    </rPh>
    <phoneticPr fontId="3"/>
  </si>
  <si>
    <t>API識別</t>
    <phoneticPr fontId="3"/>
  </si>
  <si>
    <t>api-com-info</t>
    <phoneticPr fontId="3"/>
  </si>
  <si>
    <t>I</t>
    <phoneticPr fontId="3"/>
  </si>
  <si>
    <t>api-request</t>
    <phoneticPr fontId="3"/>
  </si>
  <si>
    <r>
      <t>ルート</t>
    </r>
    <r>
      <rPr>
        <sz val="11"/>
        <rFont val="ＭＳ Ｐゴシック"/>
        <family val="3"/>
        <charset val="128"/>
      </rPr>
      <t>（入力）</t>
    </r>
    <rPh sb="4" eb="6">
      <t>ニュウリョク</t>
    </rPh>
    <phoneticPr fontId="3"/>
  </si>
  <si>
    <t>-</t>
    <phoneticPr fontId="3"/>
  </si>
  <si>
    <t>OK/NG</t>
    <phoneticPr fontId="3"/>
  </si>
  <si>
    <t>期待値</t>
    <rPh sb="0" eb="2">
      <t>キタイ</t>
    </rPh>
    <rPh sb="2" eb="3">
      <t>アタイ</t>
    </rPh>
    <phoneticPr fontId="3"/>
  </si>
  <si>
    <t>I/O</t>
    <phoneticPr fontId="3"/>
  </si>
  <si>
    <t>ﾀｲﾌﾟ</t>
    <phoneticPr fontId="3"/>
  </si>
  <si>
    <t>ﾊﾞｲﾄ</t>
    <phoneticPr fontId="3"/>
  </si>
  <si>
    <t>Ref</t>
    <phoneticPr fontId="3"/>
  </si>
  <si>
    <t>http://kddi.com/smc/fmconline/bbcappl/schema/reg_diff_industries_appl_response</t>
    <phoneticPr fontId="3"/>
  </si>
  <si>
    <r>
      <rPr>
        <b/>
        <sz val="11"/>
        <color indexed="10"/>
        <rFont val="ＭＳ Ｐゴシック"/>
        <family val="3"/>
        <charset val="128"/>
      </rPr>
      <t>応答</t>
    </r>
    <r>
      <rPr>
        <b/>
        <sz val="11"/>
        <rFont val="ＭＳ Ｐゴシック"/>
        <family val="3"/>
        <charset val="128"/>
      </rPr>
      <t>名前空間（URI）</t>
    </r>
    <rPh sb="0" eb="2">
      <t>オウトウ</t>
    </rPh>
    <phoneticPr fontId="3"/>
  </si>
  <si>
    <t>確認対象でないものは「判定対象外」を入力する</t>
    <rPh sb="0" eb="2">
      <t>カクニン</t>
    </rPh>
    <rPh sb="2" eb="4">
      <t>タイショウ</t>
    </rPh>
    <rPh sb="11" eb="13">
      <t>ハンテイ</t>
    </rPh>
    <rPh sb="13" eb="16">
      <t>タイショウガイ</t>
    </rPh>
    <rPh sb="18" eb="20">
      <t>ニュウリョク</t>
    </rPh>
    <phoneticPr fontId="3"/>
  </si>
  <si>
    <t>http://kddi.com/smc/fmconline/bbcappl/schema/reg_diff_industries_appl_request</t>
    <phoneticPr fontId="3"/>
  </si>
  <si>
    <r>
      <rPr>
        <b/>
        <sz val="11"/>
        <color indexed="10"/>
        <rFont val="ＭＳ Ｐゴシック"/>
        <family val="3"/>
        <charset val="128"/>
      </rPr>
      <t>要求</t>
    </r>
    <r>
      <rPr>
        <b/>
        <sz val="11"/>
        <rFont val="ＭＳ Ｐゴシック"/>
        <family val="3"/>
        <charset val="128"/>
      </rPr>
      <t>名前空間（URI）</t>
    </r>
    <rPh sb="0" eb="2">
      <t>ヨウキュウ</t>
    </rPh>
    <phoneticPr fontId="3"/>
  </si>
  <si>
    <t>テスト時に入力（自動採番値　等）</t>
    <rPh sb="3" eb="4">
      <t>ジ</t>
    </rPh>
    <phoneticPr fontId="3"/>
  </si>
  <si>
    <t>※値の入っている箇所</t>
    <rPh sb="1" eb="2">
      <t>アタイ</t>
    </rPh>
    <rPh sb="3" eb="4">
      <t>ハイ</t>
    </rPh>
    <rPh sb="8" eb="10">
      <t>カショ</t>
    </rPh>
    <phoneticPr fontId="3"/>
  </si>
  <si>
    <t>reg_diff_industries_appl</t>
    <phoneticPr fontId="3"/>
  </si>
  <si>
    <t>異業種商材申込情報登録</t>
    <rPh sb="0" eb="3">
      <t>イギョウシュ</t>
    </rPh>
    <rPh sb="3" eb="5">
      <t>ショウザイ</t>
    </rPh>
    <rPh sb="5" eb="7">
      <t>モウシコミ</t>
    </rPh>
    <rPh sb="7" eb="9">
      <t>ジョウホウ</t>
    </rPh>
    <rPh sb="9" eb="11">
      <t>トウロク</t>
    </rPh>
    <phoneticPr fontId="3"/>
  </si>
  <si>
    <t>M001</t>
    <phoneticPr fontId="3"/>
  </si>
  <si>
    <t>API-ID</t>
    <phoneticPr fontId="3"/>
  </si>
  <si>
    <t>FMCオンラインAPIパラメータ</t>
    <phoneticPr fontId="3"/>
  </si>
  <si>
    <t>属性チェック：OK</t>
    <rPh sb="0" eb="2">
      <t>ゾクセイ</t>
    </rPh>
    <phoneticPr fontId="3"/>
  </si>
  <si>
    <t>属性チェック：NG</t>
    <rPh sb="0" eb="2">
      <t>ゾクセイ</t>
    </rPh>
    <phoneticPr fontId="3"/>
  </si>
  <si>
    <t>バイト数チェック：OK</t>
    <rPh sb="3" eb="4">
      <t>スウ</t>
    </rPh>
    <phoneticPr fontId="3"/>
  </si>
  <si>
    <t>バイト数チェック：NG</t>
    <rPh sb="3" eb="4">
      <t>カズ</t>
    </rPh>
    <phoneticPr fontId="3"/>
  </si>
  <si>
    <t>6</t>
  </si>
  <si>
    <t>7</t>
  </si>
  <si>
    <t>9</t>
  </si>
  <si>
    <t>11</t>
  </si>
  <si>
    <t>12</t>
  </si>
  <si>
    <t>13</t>
  </si>
  <si>
    <t>14</t>
  </si>
  <si>
    <t>15</t>
  </si>
  <si>
    <t>16</t>
  </si>
  <si>
    <t>17</t>
  </si>
  <si>
    <t>18</t>
  </si>
  <si>
    <t>19</t>
  </si>
  <si>
    <t>21</t>
  </si>
  <si>
    <t>22</t>
  </si>
  <si>
    <t>23</t>
  </si>
  <si>
    <t>24</t>
  </si>
  <si>
    <t>25</t>
  </si>
  <si>
    <t>26</t>
  </si>
  <si>
    <t>27</t>
  </si>
  <si>
    <t>28</t>
  </si>
  <si>
    <t>29</t>
  </si>
  <si>
    <t>30</t>
  </si>
  <si>
    <t>31</t>
  </si>
  <si>
    <t>32</t>
  </si>
  <si>
    <t>33</t>
  </si>
  <si>
    <t>34</t>
  </si>
  <si>
    <t>35</t>
  </si>
  <si>
    <t>36</t>
  </si>
  <si>
    <t>37</t>
  </si>
  <si>
    <t>38</t>
  </si>
  <si>
    <t>39</t>
  </si>
  <si>
    <t>40</t>
  </si>
  <si>
    <t>41</t>
  </si>
  <si>
    <t>42</t>
  </si>
  <si>
    <t>43</t>
  </si>
  <si>
    <t>取次情報.各事業者向け取次情報.備考1～20のバイト数不正の旨のメッセージが出力</t>
    <rPh sb="26" eb="27">
      <t>スウ</t>
    </rPh>
    <phoneticPr fontId="3"/>
  </si>
  <si>
    <t>取次情報.各事業者向け取次情報.備考1～20のフォーマット不正の旨のメッセージが出力</t>
    <phoneticPr fontId="3"/>
  </si>
  <si>
    <t>①応答内容
　API処理状態：01
②テーブル登録内容
　異業種商材申込情報テーブル：登録無し
③アプリログ
　フォーマット不正の旨のメッセージが出力</t>
    <phoneticPr fontId="3"/>
  </si>
  <si>
    <t>取次情報.各事業者向け取次情報.備考7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</si>
  <si>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取次情報.各事業者向け取次情報.備考7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</si>
  <si>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①応答内容
　API処理状態：01
②テーブル登録内容
　異業種商材申込情報テーブル：登録無し
③アプリログ
　バイト数不正の旨のメッセージが出力</t>
    <phoneticPr fontId="3"/>
  </si>
  <si>
    <t>取次情報.各事業者向け取次情報.備考8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</si>
  <si>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取次情報.各事業者向け取次情報.備考8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</si>
  <si>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取次情報.各事業者向け取次情報.備考9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</si>
  <si>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取次情報.各事業者向け取次情報.備考9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</si>
  <si>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取次情報.各事業者向け取次情報.備考10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</si>
  <si>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取次情報.各事業者向け取次情報.備考10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</si>
  <si>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取次情報.各事業者向け取次情報.備考11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</si>
  <si>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取次情報.各事業者向け取次情報.備考11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</si>
  <si>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取次情報.各事業者向け取次情報.備考12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</si>
  <si>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取次情報.各事業者向け取次情報.備考12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</si>
  <si>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取次情報.各事業者向け取次情報.備考13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</si>
  <si>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取次情報.各事業者向け取次情報.備考13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</si>
  <si>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取次情報.各事業者向け取次情報.備考15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</si>
  <si>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取次情報.各事業者向け取次情報.備考14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</si>
  <si>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取次情報.各事業者向け取次情報.備考14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</si>
  <si>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取次情報.各事業者向け取次情報.備考15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</si>
  <si>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取次情報.各事業者向け取次情報.備考16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</si>
  <si>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取次情報.各事業者向け取次情報.備考16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</si>
  <si>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取次情報.各事業者向け取次情報.備考17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</si>
  <si>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取次情報.各事業者向け取次情報.備考17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</si>
  <si>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取次情報.各事業者向け取次情報.備考18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</si>
  <si>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取次情報.各事業者向け取次情報.備考18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</si>
  <si>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取次情報.各事業者向け取次情報.備考19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</si>
  <si>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取次情報.各事業者向け取次情報.備考19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</si>
  <si>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取次情報.各事業者向け取次情報.備考20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</si>
  <si>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取次情報.各事業者向け取次情報.備考20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</si>
  <si>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正常
取次情報.各事業者向け取次情報.備考7～20</t>
    <rPh sb="0" eb="2">
      <t>セイジョウ</t>
    </rPh>
    <phoneticPr fontId="3"/>
  </si>
  <si>
    <t>20170920</t>
    <phoneticPr fontId="3"/>
  </si>
  <si>
    <t>ＦＭＣ試験　太郎</t>
    <phoneticPr fontId="3"/>
  </si>
  <si>
    <t>ＦＭＣシケン　タロウ</t>
    <phoneticPr fontId="3"/>
  </si>
  <si>
    <t>0123456789012345678901234567890123456789012345678901234567890123456789012345678901234567890123456789012345678901234567890123456789012345678901234567890123456789012345678901234567890</t>
    <phoneticPr fontId="3"/>
  </si>
  <si>
    <t>備考13</t>
  </si>
  <si>
    <t>備考14</t>
  </si>
  <si>
    <t>備考15</t>
  </si>
  <si>
    <t>備考16</t>
  </si>
  <si>
    <t>備考17</t>
  </si>
  <si>
    <t>備考18</t>
  </si>
  <si>
    <t>備考19</t>
  </si>
  <si>
    <t>,</t>
    <phoneticPr fontId="3"/>
  </si>
  <si>
    <t>012345678901234567890123456789012345678901234567890123456789012345678901234567890123456789012345678901234567890123456789012345678901234567890123456789012345678901234567890123456789°</t>
    <phoneticPr fontId="3"/>
  </si>
  <si>
    <t>０１２３４５６７８９０１２３４５６７８９０１２３４５６７８９０１２３４５６７８９０１２３４５６７８０１２３４５６７８９０１２３４５６７８９０１２３４５６７８９０１２３４５６７８９０１</t>
  </si>
  <si>
    <r>
      <rPr>
        <sz val="10"/>
        <rFont val="ＭＳ Ｐゴシック"/>
        <family val="3"/>
        <charset val="128"/>
      </rPr>
      <t>備考</t>
    </r>
    <r>
      <rPr>
        <sz val="10"/>
        <rFont val="Arial"/>
        <family val="2"/>
      </rPr>
      <t>20</t>
    </r>
    <r>
      <rPr>
        <sz val="10"/>
        <rFont val="ＭＳ Ｐゴシック"/>
        <family val="3"/>
        <charset val="128"/>
      </rPr>
      <t>°</t>
    </r>
    <rPh sb="0" eb="2">
      <t>ビコウ</t>
    </rPh>
    <phoneticPr fontId="3"/>
  </si>
  <si>
    <t>171102</t>
    <phoneticPr fontId="3"/>
  </si>
  <si>
    <t>171103</t>
    <phoneticPr fontId="3"/>
  </si>
  <si>
    <t>171104</t>
    <phoneticPr fontId="3"/>
  </si>
  <si>
    <t>171105</t>
    <phoneticPr fontId="3"/>
  </si>
  <si>
    <t>171106</t>
    <phoneticPr fontId="3"/>
  </si>
  <si>
    <t>171107</t>
    <phoneticPr fontId="3"/>
  </si>
  <si>
    <t>171108</t>
    <phoneticPr fontId="3"/>
  </si>
  <si>
    <t>171109</t>
    <phoneticPr fontId="3"/>
  </si>
  <si>
    <t>171111</t>
    <phoneticPr fontId="3"/>
  </si>
  <si>
    <t>171112</t>
    <phoneticPr fontId="3"/>
  </si>
  <si>
    <t>171113</t>
    <phoneticPr fontId="3"/>
  </si>
  <si>
    <t>171114</t>
    <phoneticPr fontId="3"/>
  </si>
  <si>
    <t>171115</t>
    <phoneticPr fontId="3"/>
  </si>
  <si>
    <t>171116</t>
    <phoneticPr fontId="3"/>
  </si>
  <si>
    <t>171117</t>
    <phoneticPr fontId="3"/>
  </si>
  <si>
    <t>171118</t>
    <phoneticPr fontId="3"/>
  </si>
  <si>
    <t>171119</t>
    <phoneticPr fontId="3"/>
  </si>
  <si>
    <t>171120</t>
    <phoneticPr fontId="3"/>
  </si>
  <si>
    <t>171121</t>
    <phoneticPr fontId="3"/>
  </si>
  <si>
    <t>171122</t>
    <phoneticPr fontId="3"/>
  </si>
  <si>
    <t>171123</t>
    <phoneticPr fontId="3"/>
  </si>
  <si>
    <t>171124</t>
    <phoneticPr fontId="3"/>
  </si>
  <si>
    <t>171125</t>
    <phoneticPr fontId="3"/>
  </si>
  <si>
    <t>171126</t>
    <phoneticPr fontId="3"/>
  </si>
  <si>
    <t>171127</t>
    <phoneticPr fontId="3"/>
  </si>
  <si>
    <t>171128</t>
    <phoneticPr fontId="3"/>
  </si>
  <si>
    <t>171129</t>
    <phoneticPr fontId="3"/>
  </si>
  <si>
    <t>171130</t>
    <phoneticPr fontId="3"/>
  </si>
  <si>
    <t>171131</t>
    <phoneticPr fontId="3"/>
  </si>
  <si>
    <t>171132</t>
    <phoneticPr fontId="3"/>
  </si>
  <si>
    <t>171133</t>
    <phoneticPr fontId="3"/>
  </si>
  <si>
    <t>171134</t>
    <phoneticPr fontId="3"/>
  </si>
  <si>
    <t>171135</t>
    <phoneticPr fontId="3"/>
  </si>
  <si>
    <t>171136</t>
    <phoneticPr fontId="3"/>
  </si>
  <si>
    <t>171137</t>
    <phoneticPr fontId="3"/>
  </si>
  <si>
    <t>171138</t>
    <phoneticPr fontId="3"/>
  </si>
  <si>
    <t>171139</t>
    <phoneticPr fontId="3"/>
  </si>
  <si>
    <t>171140</t>
    <phoneticPr fontId="3"/>
  </si>
  <si>
    <t>171141</t>
    <phoneticPr fontId="3"/>
  </si>
  <si>
    <t>171142</t>
    <phoneticPr fontId="3"/>
  </si>
  <si>
    <t>171143</t>
    <phoneticPr fontId="3"/>
  </si>
  <si>
    <t>171110</t>
    <phoneticPr fontId="3"/>
  </si>
  <si>
    <r>
      <rPr>
        <sz val="10"/>
        <rFont val="ＭＳ Ｐゴシック"/>
        <family val="3"/>
        <charset val="128"/>
      </rPr>
      <t>シナリオ</t>
    </r>
    <r>
      <rPr>
        <sz val="10"/>
        <rFont val="Arial"/>
        <family val="2"/>
      </rPr>
      <t>1</t>
    </r>
    <phoneticPr fontId="3"/>
  </si>
  <si>
    <r>
      <rPr>
        <sz val="10"/>
        <rFont val="ＭＳ Ｐゴシック"/>
        <family val="3"/>
        <charset val="128"/>
      </rPr>
      <t>シナリオ</t>
    </r>
    <r>
      <rPr>
        <sz val="10"/>
        <rFont val="Arial"/>
        <family val="2"/>
      </rPr>
      <t>2</t>
    </r>
    <phoneticPr fontId="3"/>
  </si>
  <si>
    <r>
      <rPr>
        <sz val="10"/>
        <rFont val="ＭＳ Ｐゴシック"/>
        <family val="3"/>
        <charset val="128"/>
      </rPr>
      <t>シナリオ</t>
    </r>
    <r>
      <rPr>
        <sz val="10"/>
        <rFont val="Arial"/>
        <family val="2"/>
      </rPr>
      <t>3</t>
    </r>
    <r>
      <rPr>
        <sz val="11"/>
        <rFont val="ＭＳ Ｐゴシック"/>
        <family val="3"/>
        <charset val="128"/>
      </rPr>
      <t/>
    </r>
  </si>
  <si>
    <r>
      <rPr>
        <sz val="10"/>
        <rFont val="ＭＳ Ｐゴシック"/>
        <family val="3"/>
        <charset val="128"/>
      </rPr>
      <t>シナリオ</t>
    </r>
    <r>
      <rPr>
        <sz val="10"/>
        <rFont val="Arial"/>
        <family val="2"/>
      </rPr>
      <t>4</t>
    </r>
    <r>
      <rPr>
        <sz val="11"/>
        <rFont val="ＭＳ Ｐゴシック"/>
        <family val="3"/>
        <charset val="128"/>
      </rPr>
      <t/>
    </r>
  </si>
  <si>
    <r>
      <rPr>
        <sz val="10"/>
        <rFont val="ＭＳ Ｐゴシック"/>
        <family val="3"/>
        <charset val="128"/>
      </rPr>
      <t>シナリオ</t>
    </r>
    <r>
      <rPr>
        <sz val="10"/>
        <rFont val="Arial"/>
        <family val="2"/>
      </rPr>
      <t>5</t>
    </r>
    <r>
      <rPr>
        <sz val="11"/>
        <rFont val="ＭＳ Ｐゴシック"/>
        <family val="3"/>
        <charset val="128"/>
      </rPr>
      <t/>
    </r>
  </si>
  <si>
    <r>
      <rPr>
        <sz val="10"/>
        <rFont val="ＭＳ Ｐゴシック"/>
        <family val="3"/>
        <charset val="128"/>
      </rPr>
      <t>シナリオ</t>
    </r>
    <r>
      <rPr>
        <sz val="10"/>
        <rFont val="Arial"/>
        <family val="2"/>
      </rPr>
      <t>6</t>
    </r>
    <r>
      <rPr>
        <sz val="11"/>
        <rFont val="ＭＳ Ｐゴシック"/>
        <family val="3"/>
        <charset val="128"/>
      </rPr>
      <t/>
    </r>
  </si>
  <si>
    <r>
      <rPr>
        <sz val="10"/>
        <rFont val="ＭＳ Ｐゴシック"/>
        <family val="3"/>
        <charset val="128"/>
      </rPr>
      <t>シナリオ</t>
    </r>
    <r>
      <rPr>
        <sz val="10"/>
        <rFont val="Arial"/>
        <family val="2"/>
      </rPr>
      <t>7</t>
    </r>
    <r>
      <rPr>
        <sz val="11"/>
        <rFont val="ＭＳ Ｐゴシック"/>
        <family val="3"/>
        <charset val="128"/>
      </rPr>
      <t/>
    </r>
  </si>
  <si>
    <r>
      <rPr>
        <sz val="10"/>
        <rFont val="ＭＳ Ｐゴシック"/>
        <family val="3"/>
        <charset val="128"/>
      </rPr>
      <t>シナリオ</t>
    </r>
    <r>
      <rPr>
        <sz val="10"/>
        <rFont val="Arial"/>
        <family val="2"/>
      </rPr>
      <t>8</t>
    </r>
    <r>
      <rPr>
        <sz val="11"/>
        <rFont val="ＭＳ Ｐゴシック"/>
        <family val="3"/>
        <charset val="128"/>
      </rPr>
      <t/>
    </r>
  </si>
  <si>
    <r>
      <rPr>
        <sz val="10"/>
        <rFont val="ＭＳ Ｐゴシック"/>
        <family val="3"/>
        <charset val="128"/>
      </rPr>
      <t>シナリオ</t>
    </r>
    <r>
      <rPr>
        <sz val="10"/>
        <rFont val="Arial"/>
        <family val="2"/>
      </rPr>
      <t>9</t>
    </r>
    <r>
      <rPr>
        <sz val="11"/>
        <rFont val="ＭＳ Ｐゴシック"/>
        <family val="3"/>
        <charset val="128"/>
      </rPr>
      <t/>
    </r>
  </si>
  <si>
    <r>
      <rPr>
        <sz val="10"/>
        <rFont val="ＭＳ Ｐゴシック"/>
        <family val="3"/>
        <charset val="128"/>
      </rPr>
      <t>シナリオ</t>
    </r>
    <r>
      <rPr>
        <sz val="10"/>
        <rFont val="Arial"/>
        <family val="2"/>
      </rPr>
      <t>10</t>
    </r>
    <r>
      <rPr>
        <sz val="11"/>
        <rFont val="ＭＳ Ｐゴシック"/>
        <family val="3"/>
        <charset val="128"/>
      </rPr>
      <t/>
    </r>
  </si>
  <si>
    <r>
      <rPr>
        <sz val="10"/>
        <rFont val="ＭＳ Ｐゴシック"/>
        <family val="3"/>
        <charset val="128"/>
      </rPr>
      <t>シナリオ</t>
    </r>
    <r>
      <rPr>
        <sz val="10"/>
        <rFont val="Arial"/>
        <family val="2"/>
      </rPr>
      <t>11</t>
    </r>
    <r>
      <rPr>
        <sz val="11"/>
        <rFont val="ＭＳ Ｐゴシック"/>
        <family val="3"/>
        <charset val="128"/>
      </rPr>
      <t/>
    </r>
  </si>
  <si>
    <r>
      <rPr>
        <sz val="10"/>
        <rFont val="ＭＳ Ｐゴシック"/>
        <family val="3"/>
        <charset val="128"/>
      </rPr>
      <t>シナリオ</t>
    </r>
    <r>
      <rPr>
        <sz val="10"/>
        <rFont val="Arial"/>
        <family val="2"/>
      </rPr>
      <t>12</t>
    </r>
    <r>
      <rPr>
        <sz val="11"/>
        <rFont val="ＭＳ Ｐゴシック"/>
        <family val="3"/>
        <charset val="128"/>
      </rPr>
      <t/>
    </r>
  </si>
  <si>
    <r>
      <rPr>
        <sz val="10"/>
        <rFont val="ＭＳ Ｐゴシック"/>
        <family val="3"/>
        <charset val="128"/>
      </rPr>
      <t>シナリオ</t>
    </r>
    <r>
      <rPr>
        <sz val="10"/>
        <rFont val="Arial"/>
        <family val="2"/>
      </rPr>
      <t>13</t>
    </r>
    <r>
      <rPr>
        <sz val="11"/>
        <rFont val="ＭＳ Ｐゴシック"/>
        <family val="3"/>
        <charset val="128"/>
      </rPr>
      <t/>
    </r>
  </si>
  <si>
    <r>
      <rPr>
        <sz val="10"/>
        <rFont val="ＭＳ Ｐゴシック"/>
        <family val="3"/>
        <charset val="128"/>
      </rPr>
      <t>シナリオ</t>
    </r>
    <r>
      <rPr>
        <sz val="10"/>
        <rFont val="Arial"/>
        <family val="2"/>
      </rPr>
      <t>14</t>
    </r>
    <r>
      <rPr>
        <sz val="11"/>
        <rFont val="ＭＳ Ｐゴシック"/>
        <family val="3"/>
        <charset val="128"/>
      </rPr>
      <t/>
    </r>
  </si>
  <si>
    <r>
      <rPr>
        <sz val="10"/>
        <rFont val="ＭＳ Ｐゴシック"/>
        <family val="3"/>
        <charset val="128"/>
      </rPr>
      <t>シナリオ</t>
    </r>
    <r>
      <rPr>
        <sz val="10"/>
        <rFont val="Arial"/>
        <family val="2"/>
      </rPr>
      <t>15</t>
    </r>
    <r>
      <rPr>
        <sz val="11"/>
        <rFont val="ＭＳ Ｐゴシック"/>
        <family val="3"/>
        <charset val="128"/>
      </rPr>
      <t/>
    </r>
  </si>
  <si>
    <r>
      <rPr>
        <sz val="10"/>
        <rFont val="ＭＳ Ｐゴシック"/>
        <family val="3"/>
        <charset val="128"/>
      </rPr>
      <t>シナリオ</t>
    </r>
    <r>
      <rPr>
        <sz val="10"/>
        <rFont val="Arial"/>
        <family val="2"/>
      </rPr>
      <t>16</t>
    </r>
    <r>
      <rPr>
        <sz val="11"/>
        <rFont val="ＭＳ Ｐゴシック"/>
        <family val="3"/>
        <charset val="128"/>
      </rPr>
      <t/>
    </r>
  </si>
  <si>
    <r>
      <rPr>
        <sz val="10"/>
        <rFont val="ＭＳ Ｐゴシック"/>
        <family val="3"/>
        <charset val="128"/>
      </rPr>
      <t>シナリオ</t>
    </r>
    <r>
      <rPr>
        <sz val="10"/>
        <rFont val="Arial"/>
        <family val="2"/>
      </rPr>
      <t>17</t>
    </r>
    <r>
      <rPr>
        <sz val="11"/>
        <rFont val="ＭＳ Ｐゴシック"/>
        <family val="3"/>
        <charset val="128"/>
      </rPr>
      <t/>
    </r>
  </si>
  <si>
    <r>
      <rPr>
        <sz val="10"/>
        <rFont val="ＭＳ Ｐゴシック"/>
        <family val="3"/>
        <charset val="128"/>
      </rPr>
      <t>シナリオ</t>
    </r>
    <r>
      <rPr>
        <sz val="10"/>
        <rFont val="Arial"/>
        <family val="2"/>
      </rPr>
      <t>18</t>
    </r>
    <r>
      <rPr>
        <sz val="11"/>
        <rFont val="ＭＳ Ｐゴシック"/>
        <family val="3"/>
        <charset val="128"/>
      </rPr>
      <t/>
    </r>
  </si>
  <si>
    <r>
      <rPr>
        <sz val="10"/>
        <rFont val="ＭＳ Ｐゴシック"/>
        <family val="3"/>
        <charset val="128"/>
      </rPr>
      <t>シナリオ</t>
    </r>
    <r>
      <rPr>
        <sz val="10"/>
        <rFont val="Arial"/>
        <family val="2"/>
      </rPr>
      <t>19</t>
    </r>
    <r>
      <rPr>
        <sz val="11"/>
        <rFont val="ＭＳ Ｐゴシック"/>
        <family val="3"/>
        <charset val="128"/>
      </rPr>
      <t/>
    </r>
  </si>
  <si>
    <r>
      <rPr>
        <sz val="10"/>
        <rFont val="ＭＳ Ｐゴシック"/>
        <family val="3"/>
        <charset val="128"/>
      </rPr>
      <t>シナリオ</t>
    </r>
    <r>
      <rPr>
        <sz val="10"/>
        <rFont val="Arial"/>
        <family val="2"/>
      </rPr>
      <t>20</t>
    </r>
    <r>
      <rPr>
        <sz val="11"/>
        <rFont val="ＭＳ Ｐゴシック"/>
        <family val="3"/>
        <charset val="128"/>
      </rPr>
      <t/>
    </r>
  </si>
  <si>
    <r>
      <rPr>
        <sz val="10"/>
        <rFont val="ＭＳ Ｐゴシック"/>
        <family val="3"/>
        <charset val="128"/>
      </rPr>
      <t>シナリオ</t>
    </r>
    <r>
      <rPr>
        <sz val="10"/>
        <rFont val="Arial"/>
        <family val="2"/>
      </rPr>
      <t>21</t>
    </r>
    <r>
      <rPr>
        <sz val="11"/>
        <rFont val="ＭＳ Ｐゴシック"/>
        <family val="3"/>
        <charset val="128"/>
      </rPr>
      <t/>
    </r>
  </si>
  <si>
    <r>
      <rPr>
        <sz val="10"/>
        <rFont val="ＭＳ Ｐゴシック"/>
        <family val="3"/>
        <charset val="128"/>
      </rPr>
      <t>シナリオ</t>
    </r>
    <r>
      <rPr>
        <sz val="10"/>
        <rFont val="Arial"/>
        <family val="2"/>
      </rPr>
      <t>22</t>
    </r>
    <r>
      <rPr>
        <sz val="11"/>
        <rFont val="ＭＳ Ｐゴシック"/>
        <family val="3"/>
        <charset val="128"/>
      </rPr>
      <t/>
    </r>
  </si>
  <si>
    <r>
      <rPr>
        <sz val="10"/>
        <rFont val="ＭＳ Ｐゴシック"/>
        <family val="3"/>
        <charset val="128"/>
      </rPr>
      <t>シナリオ</t>
    </r>
    <r>
      <rPr>
        <sz val="10"/>
        <rFont val="Arial"/>
        <family val="2"/>
      </rPr>
      <t>23</t>
    </r>
    <r>
      <rPr>
        <sz val="11"/>
        <rFont val="ＭＳ Ｐゴシック"/>
        <family val="3"/>
        <charset val="128"/>
      </rPr>
      <t/>
    </r>
  </si>
  <si>
    <r>
      <rPr>
        <sz val="10"/>
        <rFont val="ＭＳ Ｐゴシック"/>
        <family val="3"/>
        <charset val="128"/>
      </rPr>
      <t>シナリオ</t>
    </r>
    <r>
      <rPr>
        <sz val="10"/>
        <rFont val="Arial"/>
        <family val="2"/>
      </rPr>
      <t>24</t>
    </r>
    <r>
      <rPr>
        <sz val="11"/>
        <rFont val="ＭＳ Ｐゴシック"/>
        <family val="3"/>
        <charset val="128"/>
      </rPr>
      <t/>
    </r>
  </si>
  <si>
    <r>
      <rPr>
        <sz val="10"/>
        <rFont val="ＭＳ Ｐゴシック"/>
        <family val="3"/>
        <charset val="128"/>
      </rPr>
      <t>シナリオ</t>
    </r>
    <r>
      <rPr>
        <sz val="10"/>
        <rFont val="Arial"/>
        <family val="2"/>
      </rPr>
      <t>25</t>
    </r>
    <r>
      <rPr>
        <sz val="11"/>
        <rFont val="ＭＳ Ｐゴシック"/>
        <family val="3"/>
        <charset val="128"/>
      </rPr>
      <t/>
    </r>
  </si>
  <si>
    <r>
      <rPr>
        <sz val="10"/>
        <rFont val="ＭＳ Ｐゴシック"/>
        <family val="3"/>
        <charset val="128"/>
      </rPr>
      <t>シナリオ</t>
    </r>
    <r>
      <rPr>
        <sz val="10"/>
        <rFont val="Arial"/>
        <family val="2"/>
      </rPr>
      <t>26</t>
    </r>
    <r>
      <rPr>
        <sz val="11"/>
        <rFont val="ＭＳ Ｐゴシック"/>
        <family val="3"/>
        <charset val="128"/>
      </rPr>
      <t/>
    </r>
  </si>
  <si>
    <r>
      <rPr>
        <sz val="10"/>
        <rFont val="ＭＳ Ｐゴシック"/>
        <family val="3"/>
        <charset val="128"/>
      </rPr>
      <t>シナリオ</t>
    </r>
    <r>
      <rPr>
        <sz val="10"/>
        <rFont val="Arial"/>
        <family val="2"/>
      </rPr>
      <t>27</t>
    </r>
    <r>
      <rPr>
        <sz val="11"/>
        <rFont val="ＭＳ Ｐゴシック"/>
        <family val="3"/>
        <charset val="128"/>
      </rPr>
      <t/>
    </r>
  </si>
  <si>
    <r>
      <rPr>
        <sz val="10"/>
        <rFont val="ＭＳ Ｐゴシック"/>
        <family val="3"/>
        <charset val="128"/>
      </rPr>
      <t>シナリオ</t>
    </r>
    <r>
      <rPr>
        <sz val="10"/>
        <rFont val="Arial"/>
        <family val="2"/>
      </rPr>
      <t>28</t>
    </r>
    <r>
      <rPr>
        <sz val="11"/>
        <rFont val="ＭＳ Ｐゴシック"/>
        <family val="3"/>
        <charset val="128"/>
      </rPr>
      <t/>
    </r>
  </si>
  <si>
    <r>
      <rPr>
        <sz val="10"/>
        <rFont val="ＭＳ Ｐゴシック"/>
        <family val="3"/>
        <charset val="128"/>
      </rPr>
      <t>シナリオ</t>
    </r>
    <r>
      <rPr>
        <sz val="10"/>
        <rFont val="Arial"/>
        <family val="2"/>
      </rPr>
      <t>29</t>
    </r>
    <r>
      <rPr>
        <sz val="11"/>
        <rFont val="ＭＳ Ｐゴシック"/>
        <family val="3"/>
        <charset val="128"/>
      </rPr>
      <t/>
    </r>
  </si>
  <si>
    <r>
      <rPr>
        <sz val="10"/>
        <rFont val="ＭＳ Ｐゴシック"/>
        <family val="3"/>
        <charset val="128"/>
      </rPr>
      <t>シナリオ</t>
    </r>
    <r>
      <rPr>
        <sz val="10"/>
        <rFont val="Arial"/>
        <family val="2"/>
      </rPr>
      <t>30</t>
    </r>
    <r>
      <rPr>
        <sz val="11"/>
        <rFont val="ＭＳ Ｐゴシック"/>
        <family val="3"/>
        <charset val="128"/>
      </rPr>
      <t/>
    </r>
  </si>
  <si>
    <r>
      <rPr>
        <sz val="10"/>
        <rFont val="ＭＳ Ｐゴシック"/>
        <family val="3"/>
        <charset val="128"/>
      </rPr>
      <t>シナリオ</t>
    </r>
    <r>
      <rPr>
        <sz val="10"/>
        <rFont val="Arial"/>
        <family val="2"/>
      </rPr>
      <t>31</t>
    </r>
    <r>
      <rPr>
        <sz val="11"/>
        <rFont val="ＭＳ Ｐゴシック"/>
        <family val="3"/>
        <charset val="128"/>
      </rPr>
      <t/>
    </r>
  </si>
  <si>
    <r>
      <rPr>
        <sz val="10"/>
        <rFont val="ＭＳ Ｐゴシック"/>
        <family val="3"/>
        <charset val="128"/>
      </rPr>
      <t>シナリオ</t>
    </r>
    <r>
      <rPr>
        <sz val="10"/>
        <rFont val="Arial"/>
        <family val="2"/>
      </rPr>
      <t>32</t>
    </r>
    <r>
      <rPr>
        <sz val="11"/>
        <rFont val="ＭＳ Ｐゴシック"/>
        <family val="3"/>
        <charset val="128"/>
      </rPr>
      <t/>
    </r>
  </si>
  <si>
    <r>
      <rPr>
        <sz val="10"/>
        <rFont val="ＭＳ Ｐゴシック"/>
        <family val="3"/>
        <charset val="128"/>
      </rPr>
      <t>シナリオ</t>
    </r>
    <r>
      <rPr>
        <sz val="10"/>
        <rFont val="Arial"/>
        <family val="2"/>
      </rPr>
      <t>33</t>
    </r>
    <r>
      <rPr>
        <sz val="11"/>
        <rFont val="ＭＳ Ｐゴシック"/>
        <family val="3"/>
        <charset val="128"/>
      </rPr>
      <t/>
    </r>
  </si>
  <si>
    <r>
      <rPr>
        <sz val="10"/>
        <rFont val="ＭＳ Ｐゴシック"/>
        <family val="3"/>
        <charset val="128"/>
      </rPr>
      <t>シナリオ</t>
    </r>
    <r>
      <rPr>
        <sz val="10"/>
        <rFont val="Arial"/>
        <family val="2"/>
      </rPr>
      <t>34</t>
    </r>
    <r>
      <rPr>
        <sz val="11"/>
        <rFont val="ＭＳ Ｐゴシック"/>
        <family val="3"/>
        <charset val="128"/>
      </rPr>
      <t/>
    </r>
  </si>
  <si>
    <r>
      <rPr>
        <sz val="10"/>
        <rFont val="ＭＳ Ｐゴシック"/>
        <family val="3"/>
        <charset val="128"/>
      </rPr>
      <t>シナリオ</t>
    </r>
    <r>
      <rPr>
        <sz val="10"/>
        <rFont val="Arial"/>
        <family val="2"/>
      </rPr>
      <t>35</t>
    </r>
    <r>
      <rPr>
        <sz val="11"/>
        <rFont val="ＭＳ Ｐゴシック"/>
        <family val="3"/>
        <charset val="128"/>
      </rPr>
      <t/>
    </r>
  </si>
  <si>
    <r>
      <rPr>
        <sz val="10"/>
        <rFont val="ＭＳ Ｐゴシック"/>
        <family val="3"/>
        <charset val="128"/>
      </rPr>
      <t>シナリオ</t>
    </r>
    <r>
      <rPr>
        <sz val="10"/>
        <rFont val="Arial"/>
        <family val="2"/>
      </rPr>
      <t>36</t>
    </r>
    <r>
      <rPr>
        <sz val="11"/>
        <rFont val="ＭＳ Ｐゴシック"/>
        <family val="3"/>
        <charset val="128"/>
      </rPr>
      <t/>
    </r>
  </si>
  <si>
    <r>
      <rPr>
        <sz val="10"/>
        <rFont val="ＭＳ Ｐゴシック"/>
        <family val="3"/>
        <charset val="128"/>
      </rPr>
      <t>シナリオ</t>
    </r>
    <r>
      <rPr>
        <sz val="10"/>
        <rFont val="Arial"/>
        <family val="2"/>
      </rPr>
      <t>37</t>
    </r>
    <r>
      <rPr>
        <sz val="11"/>
        <rFont val="ＭＳ Ｐゴシック"/>
        <family val="3"/>
        <charset val="128"/>
      </rPr>
      <t/>
    </r>
  </si>
  <si>
    <r>
      <rPr>
        <sz val="10"/>
        <rFont val="ＭＳ Ｐゴシック"/>
        <family val="3"/>
        <charset val="128"/>
      </rPr>
      <t>シナリオ</t>
    </r>
    <r>
      <rPr>
        <sz val="10"/>
        <rFont val="Arial"/>
        <family val="2"/>
      </rPr>
      <t>38</t>
    </r>
    <r>
      <rPr>
        <sz val="11"/>
        <rFont val="ＭＳ Ｐゴシック"/>
        <family val="3"/>
        <charset val="128"/>
      </rPr>
      <t/>
    </r>
  </si>
  <si>
    <r>
      <rPr>
        <sz val="10"/>
        <rFont val="ＭＳ Ｐゴシック"/>
        <family val="3"/>
        <charset val="128"/>
      </rPr>
      <t>シナリオ</t>
    </r>
    <r>
      <rPr>
        <sz val="10"/>
        <rFont val="Arial"/>
        <family val="2"/>
      </rPr>
      <t>39</t>
    </r>
    <r>
      <rPr>
        <sz val="11"/>
        <rFont val="ＭＳ Ｐゴシック"/>
        <family val="3"/>
        <charset val="128"/>
      </rPr>
      <t/>
    </r>
  </si>
  <si>
    <r>
      <rPr>
        <sz val="10"/>
        <rFont val="ＭＳ Ｐゴシック"/>
        <family val="3"/>
        <charset val="128"/>
      </rPr>
      <t>シナリオ</t>
    </r>
    <r>
      <rPr>
        <sz val="10"/>
        <rFont val="Arial"/>
        <family val="2"/>
      </rPr>
      <t>40</t>
    </r>
    <r>
      <rPr>
        <sz val="11"/>
        <rFont val="ＭＳ Ｐゴシック"/>
        <family val="3"/>
        <charset val="128"/>
      </rPr>
      <t/>
    </r>
  </si>
  <si>
    <r>
      <rPr>
        <sz val="10"/>
        <rFont val="ＭＳ Ｐゴシック"/>
        <family val="3"/>
        <charset val="128"/>
      </rPr>
      <t>シナリオ</t>
    </r>
    <r>
      <rPr>
        <sz val="10"/>
        <rFont val="Arial"/>
        <family val="2"/>
      </rPr>
      <t>41</t>
    </r>
    <r>
      <rPr>
        <sz val="11"/>
        <rFont val="ＭＳ Ｐゴシック"/>
        <family val="3"/>
        <charset val="128"/>
      </rPr>
      <t/>
    </r>
  </si>
  <si>
    <r>
      <rPr>
        <sz val="10"/>
        <rFont val="ＭＳ Ｐゴシック"/>
        <family val="3"/>
        <charset val="128"/>
      </rPr>
      <t>シナリオ</t>
    </r>
    <r>
      <rPr>
        <sz val="10"/>
        <rFont val="Arial"/>
        <family val="2"/>
      </rPr>
      <t>42</t>
    </r>
    <r>
      <rPr>
        <sz val="11"/>
        <rFont val="ＭＳ Ｐゴシック"/>
        <family val="3"/>
        <charset val="128"/>
      </rPr>
      <t/>
    </r>
  </si>
  <si>
    <r>
      <rPr>
        <sz val="10"/>
        <rFont val="ＭＳ Ｐゴシック"/>
        <family val="3"/>
        <charset val="128"/>
      </rPr>
      <t>シナリオ</t>
    </r>
    <r>
      <rPr>
        <sz val="10"/>
        <rFont val="Arial"/>
        <family val="2"/>
      </rPr>
      <t>43</t>
    </r>
    <r>
      <rPr>
        <sz val="11"/>
        <rFont val="ＭＳ Ｐゴシック"/>
        <family val="3"/>
        <charset val="128"/>
      </rPr>
      <t/>
    </r>
  </si>
  <si>
    <t>&lt;?xml version="1.0" encoding="UTF-8"?&gt;</t>
  </si>
  <si>
    <t>APIレスポンス</t>
    <phoneticPr fontId="3"/>
  </si>
  <si>
    <t>アプリログ</t>
    <phoneticPr fontId="3"/>
  </si>
  <si>
    <t xml:space="preserve">com.kddi.smc.fmconline.common.exception.ApplicationException: </t>
  </si>
  <si>
    <t>at com.kddi.smc.fmconline.common.servlet.BaseServlet.validate(BaseServlet.java:293)</t>
  </si>
  <si>
    <t>at com.kddi.smc.fmconline.common.servlet.BaseServlet.service(BaseServlet.java:88)</t>
  </si>
  <si>
    <t>at javax.servlet.http.HttpServlet.service(HttpServlet.java:847)</t>
  </si>
  <si>
    <t>at org.apache.catalina.core.ApplicationFilterChain.internalDoFilter(ApplicationFilterChain.java:295)</t>
  </si>
  <si>
    <t>at org.apache.catalina.core.ApplicationFilterChain.doFilter(ApplicationFilterChain.java:214)</t>
  </si>
  <si>
    <t>at org.apache.catalina.core.StandardWrapperValve.invoke(StandardWrapperValve.java:231)</t>
  </si>
  <si>
    <t>at org.apache.catalina.core.StandardContextValve.invoke(StandardContextValve.java:149)</t>
  </si>
  <si>
    <t>at org.jboss.as.web.security.SecurityContextAssociationValve.invoke(SecurityContextAssociationValve.java:169)</t>
  </si>
  <si>
    <t>at org.apache.catalina.core.StandardHostValve.invoke(StandardHostValve.java:150)</t>
  </si>
  <si>
    <t>at org.apache.catalina.valves.ErrorReportValve.invoke(ErrorReportValve.java:97)</t>
  </si>
  <si>
    <t>at org.apache.catalina.core.StandardEngineValve.invoke(StandardEngineValve.java:102)</t>
  </si>
  <si>
    <t>at org.apache.catalina.connector.CoyoteAdapter.service(CoyoteAdapter.java:344)</t>
  </si>
  <si>
    <t>at org.apache.coyote.http11.Http11Processor.process(Http11Processor.java:854)</t>
  </si>
  <si>
    <t>at org.apache.coyote.http11.Http11Protocol$Http11ConnectionHandler.process(Http11Protocol.java:653)</t>
  </si>
  <si>
    <t>at org.apache.tomcat.util.net.JIoEndpoint$Worker.run(JIoEndpoint.java:926)</t>
  </si>
  <si>
    <t>at java.lang.Thread.run(Thread.java:745)</t>
  </si>
  <si>
    <t>9</t>
    <phoneticPr fontId="3"/>
  </si>
  <si>
    <t>25</t>
    <phoneticPr fontId="3"/>
  </si>
  <si>
    <t>OK</t>
    <phoneticPr fontId="3"/>
  </si>
  <si>
    <t>正田</t>
    <rPh sb="0" eb="2">
      <t>マサダ</t>
    </rPh>
    <phoneticPr fontId="3"/>
  </si>
  <si>
    <t>Message    :&lt;CI&gt;String: ',' does not match pattern for type of remarks-7 element in type of more-agency-info element in type of agency-info element in type of api-prm element in type of element api-request in namespace http://kddi.com/smc/fmconline/bbcappl/schema/reg_diff_industries_appl_request</t>
  </si>
  <si>
    <t>Invalid XML:&lt;CI&gt;&lt;xml-fragment xmlns:com="http://kddi.com/smc/fmconline/common/schema/common_request"&gt;,&lt;/xml-fragment&gt;</t>
  </si>
  <si>
    <t>2017/09/25 13:04:35.661 I 21347 AUE31814 RegDiffIndustriesApplServlet 00002I:Service End</t>
  </si>
  <si>
    <t>Message    :&lt;CI&gt;String length (181) is greater than max length facet (180) for type of remarks-7 element in type of more-agency-info element in type of agency-info element in type of api-prm element in type of element api-request in namespace http://kddi.com/smc/fmconline/bbcappl/schema/reg_diff_industries_appl_request</t>
  </si>
  <si>
    <t>Invalid XML:&lt;CI&gt;&lt;xml-fragment xmlns:com="http://kddi.com/smc/fmconline/common/schema/common_request"&gt;0123456789012345678901234567890123456789012345678901234567890123456789012345678901234567890123456789012345678901234567890123456789012345678901234567890123456789012345678901234567890&lt;/xml-fragment&gt;</t>
  </si>
  <si>
    <t>Message    :&lt;CI&gt;String: ',' does not match pattern for type of remarks-8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</si>
  <si>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remarks-8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</si>
  <si>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remarks-9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</si>
  <si>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remarks-9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</si>
  <si>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remarks-10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</si>
  <si>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remarks-10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</si>
  <si>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remarks-11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</si>
  <si>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remarks-11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</si>
  <si>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remarks-12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</si>
  <si>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remarks-12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</si>
  <si>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remarks-13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</si>
  <si>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remarks-13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</si>
  <si>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remarks-14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</si>
  <si>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remarks-14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</si>
  <si>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remarks-15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</si>
  <si>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remarks-15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</si>
  <si>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remarks-16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</si>
  <si>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remarks-17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</si>
  <si>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remarks-17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</si>
  <si>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remarks-18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</si>
  <si>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remarks-18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</si>
  <si>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remarks-19 element in type of more-agency-info element in type of agency-info element in type of api-prm element in type of element api-request in namespace http://kddi.com/smc/fmconline/bbcappl/schema/reg_diff_industries_appl_request</t>
  </si>
  <si>
    <t>Invalid XML:&lt;CI&gt;&lt;xml-fragment xmlns:com="http://kddi.com/smc/fmconline/common/schema/common_request"&gt;012345678901234567890123456789012345678901234567890123456789012345678901234567890123456789012345678901234567890123456789012345678901234567890123456789012345678901234567890123456789°&lt;/xml-fragment&gt;</t>
  </si>
  <si>
    <t>Message    :&lt;CI&gt;String: ',' does not match pattern for type of remarks-20 element in type of more-agency-info element in type of agency-info element in type of api-prm element in type of element api-request in namespace http://kddi.com/smc/fmconline/bbcappl/schema/reg_diff_industries_appl_request</t>
  </si>
  <si>
    <t>12345</t>
    <phoneticPr fontId="3"/>
  </si>
  <si>
    <t>20170920130000</t>
    <phoneticPr fontId="3"/>
  </si>
  <si>
    <t>20170920130000</t>
  </si>
  <si>
    <t>com.kddi.smc.fmconline.common.exception.ApplicationException: checkByte name = [REMARKS-20]</t>
  </si>
  <si>
    <t>at com.kddi.smc.fmconline.diffindustappl.regdiffindustriesappl.bl.RegDiffIndustriesApplBL.checkByte_aroundBody6(RegDiffIndustriesApplBL.java:319)</t>
  </si>
  <si>
    <t>at com.kddi.smc.fmconline.diffindustappl.regdiffindustriesappl.bl.RegDiffIndustriesApplBL$AjcClosure7.run(RegDiffIndustriesApplBL.java:1)</t>
  </si>
  <si>
    <t>at org.aspectj.runtime.reflect.JoinPointImpl.proceed(JoinPointImpl.java:149)</t>
  </si>
  <si>
    <t>at MethodTraceLoggerAspect.trace(MethodTraceLoggerAspect.java:32)</t>
  </si>
  <si>
    <t>at com.kddi.smc.fmconline.diffindustappl.regdiffindustriesappl.bl.RegDiffIndustriesApplBL.checkByte(RegDiffIndustriesApplBL.java:107)</t>
  </si>
  <si>
    <t>at com.kddi.smc.fmconline.diffindustappl.regdiffindustriesappl.bl.RegDiffIndustriesApplBL.execute_aroundBody4(RegDiffIndustriesApplBL.java:74)</t>
  </si>
  <si>
    <t>at com.kddi.smc.fmconline.diffindustappl.regdiffindustriesappl.bl.RegDiffIndustriesApplBL$AjcClosure5.run(RegDiffIndustriesApplBL.java:1)</t>
  </si>
  <si>
    <t>at com.kddi.smc.fmconline.diffindustappl.regdiffindustriesappl.bl.RegDiffIndustriesApplBL.execute(RegDiffIndustriesApplBL.java:63)</t>
  </si>
  <si>
    <t>at com.kddi.smc.fmconline.diffindustappl.regdiffindustriesappl.bl.RegDiffIndustriesApplBL$$EnhancedByS2AOP$$5c146a29.execute$$invokeSuperMethod$$(RegDiffIndustriesApplBL$$EnhancedByS2AOP$$5c146a29.java)</t>
  </si>
  <si>
    <t>at com.kddi.smc.fmconline.diffindustappl.regdiffindustriesappl.bl.RegDiffIndustriesApplBL$$EnhancedByS2AOP$$5c146a29$$MethodInvocation$$execute0.proceed(MethodInvocationClassGenerator.java)</t>
  </si>
  <si>
    <t>at org.seasar.extension.tx.RequiredInterceptor.invoke(RequiredInterceptor.java:40)</t>
  </si>
  <si>
    <t>at com.kddi.smc.fmconline.diffindustappl.regdiffindustriesappl.bl.RegDiffIndustriesApplBL$$EnhancedByS2AOP$$5c146a29.execute(RegDiffIndustriesApplBL$$EnhancedByS2AOP$$5c146a29.java)</t>
  </si>
  <si>
    <t>at com.kddi.smc.fmconline.diffindustappl.regdiffindustriesappl.servlet.RegDiffIndustriesApplServlet.execute(RegDiffIndustriesApplServlet.java:21)</t>
  </si>
  <si>
    <t>at com.kddi.smc.fmconline.bbcbase.servlet.BBCBaseServlet.callExecute(BBCBaseServlet.java:443)</t>
  </si>
  <si>
    <t>at com.kddi.smc.fmconline.bbcbase.servlet.BBCBaseServlet.doMethod(BBCBaseServlet.java:387)</t>
  </si>
  <si>
    <t>at com.kddi.smc.fmconline.bbcbase.servlet.BBCBaseServlet.start(BBCBaseServlet.java:53)</t>
  </si>
  <si>
    <t>at com.kddi.smc.fmconline.common.servlet.BaseServlet.service(BaseServlet.java:117)</t>
  </si>
  <si>
    <t>マラメータ：なし</t>
    <phoneticPr fontId="3"/>
  </si>
  <si>
    <t>パラメータ：あり</t>
    <phoneticPr fontId="3"/>
  </si>
  <si>
    <t>Nul</t>
    <phoneticPr fontId="3"/>
  </si>
  <si>
    <t>取次情報.各事業者向け取次情報.備考7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</si>
  <si>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取次情報.各事業者向け取次情報.備考8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</si>
  <si>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取次情報.各事業者向け取次情報.備考9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</si>
  <si>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取次情報.各事業者向け取次情報.備考10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</si>
  <si>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取次情報.各事業者向け取次情報.備考11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</si>
  <si>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取次情報.各事業者向け取次情報.備考12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</si>
  <si>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取次情報.各事業者向け取次情報.備考13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</si>
  <si>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取次情報.各事業者向け取次情報.備考14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</si>
  <si>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取次情報.各事業者向け取次情報.備考15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</si>
  <si>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取次情報.各事業者向け取次情報.備考16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</si>
  <si>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取次情報.各事業者向け取次情報.備考17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</si>
  <si>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取次情報.各事業者向け取次情報.備考18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</si>
  <si>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取次情報.各事業者向け取次情報.備考19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</si>
  <si>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取次情報.各事業者向け取次情報.備考20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</si>
  <si>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①応答内容
　API処理状態：00
　個別結果コード：0000
②テーブル登録内容
　異業種商材申込情報テーブル：登録有り
　NULL設定</t>
    <rPh sb="37" eb="39">
      <t>トウロク</t>
    </rPh>
    <rPh sb="39" eb="41">
      <t>ナイヨウ</t>
    </rPh>
    <rPh sb="57" eb="59">
      <t>トウロク</t>
    </rPh>
    <rPh sb="59" eb="60">
      <t>ア</t>
    </rPh>
    <rPh sb="67" eb="69">
      <t>セッテイ</t>
    </rPh>
    <phoneticPr fontId="3"/>
  </si>
  <si>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20&lt;/different-appl-mng-no&gt;&lt;introduction-no&gt;IG0000020&lt;/introduction-no&gt;&lt;/reg-info&gt;&lt;/api-prm&gt;&lt;/api-response&gt;</t>
  </si>
  <si>
    <t>2017/09/25 15:39:00.795 I 21347 AUE31814 RegDiffIndustriesApplServlet 00002I:Service End</t>
  </si>
  <si>
    <t>2017/09/25 16:09:03.020 I 21345          RegDiffIndustriesApplServlet 00001I:Service Start</t>
  </si>
  <si>
    <t>2017/09/25 16:09:03.020 D 21345          RegDiffIndustriesApplServlet :▽▽parse▽▽</t>
  </si>
  <si>
    <t>2017/09/25 16:09:03.020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171101&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</si>
  <si>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16:09:03.020 D 21345          RegDiffIndustriesApplServlet :△△parse△△[0ミリ秒]</t>
  </si>
  <si>
    <t>2017/09/25 16:09:03.020 D 21345 AUE31814 DBCacheUtil 00104D:Trace:groupId=BASE_SERVICE_TIME;keyword=CHECK_FLG;value=0</t>
  </si>
  <si>
    <t>2017/09/25 16:09:03.020 D 21345 AUE31814 RegDiffIndustriesApplServlet :▽▽validate▽▽</t>
  </si>
  <si>
    <t>2017/09/25 16:09:03.020 D 21345 AUE31814 RegDiffIndustriesApplServlet :△△validate△△[0ミリ秒]</t>
  </si>
  <si>
    <t>2017/09/25 16:09:03.020 D 21345 AUE31814 DBCacheUtil 00104D:Trace:groupId=API_VERSION;keyword=/fmc-on/bbc-appl-api/diffindustappl/reg_diff_industries_appl;value=10</t>
  </si>
  <si>
    <t>2017/09/25 16:09:03.020 D 21345 AUE31814 RegDiffIndustriesApplServlet :▽▽業務ロジック▽▽</t>
  </si>
  <si>
    <t>2017/09/25 16:09:03.020 D 21345 AUE31814 RegDiffIndustriesApplBL 00104D:Trace:[setSequenceDao開始]</t>
  </si>
  <si>
    <t>2017/09/25 16:09:03.020 D 21345 AUE31814 RegDiffIndustriesApplBL 00104D:Trace:[setSequenceDao終了]</t>
  </si>
  <si>
    <t>2017/09/25 16:09:03.020 D 21345 AUE31814 RegDiffIndustriesApplBL 00104D:Trace:[setdApplDiffIndustryInfoApplDao開始]</t>
  </si>
  <si>
    <t>2017/09/25 16:09:03.020 D 21345 AUE31814 RegDiffIndustriesApplBL 00104D:Trace:[setdApplDiffIndustryInfoApplDao終了]</t>
  </si>
  <si>
    <t>2017/09/25 16:09:03.030 D 21345 AUE31814 RegDiffIndustriesApplBL 00104D:Trace:[execute開始]</t>
  </si>
  <si>
    <t>2017/09/25 16:09:03.030 D 21345 AUE31814 RegDiffIndustriesApplBL 00104D:Trace:[traceRequest開始]</t>
  </si>
  <si>
    <t>2017/09/25 16:09:03.030 D 21345 AUE31814 RegDiffIndustriesApplBL 00104D:Trace:au代理店コード：E845001</t>
  </si>
  <si>
    <t>2017/09/25 16:09:03.030 D 21345 AUE31814 RegDiffIndustriesApplBL 00104D:Trace: 申込押下ボタン：8</t>
  </si>
  <si>
    <t>2017/09/25 16:09:03.030 D 21345 AUE31814 RegDiffIndustriesApplBL 00104D:Trace: 店名：Ｅ８４５００１</t>
  </si>
  <si>
    <t>2017/09/25 16:09:03.030 D 21345 AUE31814 RegDiffIndustriesApplBL 00104D:Trace: 担当者名：ＯＲＡＮＧＥ担当者</t>
  </si>
  <si>
    <t>2017/09/25 16:09:03.030 D 21345 AUE31814 RegDiffIndustriesApplBL 00104D:Trace: 担当者名(名)：null</t>
  </si>
  <si>
    <t>2017/09/25 16:09:03.030 D 21345 AUE31814 RegDiffIndustriesApplBL 00104D:Trace: 電話番号：null</t>
  </si>
  <si>
    <t>2017/09/25 16:09:03.030 D 21345 AUE31814 RegDiffIndustriesApplBL 00104D:Trace: 申込年月日：20170920</t>
  </si>
  <si>
    <t>2017/09/25 16:09:03.030 D 21345 AUE31814 RegDiffIndustriesApplBL 00104D:Trace: 申込時刻：123456</t>
  </si>
  <si>
    <t>2017/09/25 16:09:03.030 D 21345 AUE31814 RegDiffIndustriesApplBL 00104D:Trace: 事業者コード：17110</t>
  </si>
  <si>
    <t>2017/09/25 16:09:03.030 D 21345 AUE31814 RegDiffIndustriesApplBL 00104D:Trace: 商品コード：171101</t>
  </si>
  <si>
    <t>2017/09/25 16:09:03.030 D 21345 AUE31814 RegDiffIndustriesApplBL 00104D:Trace: 漢字：ＦＭＣ試験　太郎</t>
  </si>
  <si>
    <t>2017/09/25 16:09:03.030 D 21345 AUE31814 RegDiffIndustriesApplBL 00104D:Trace: カナ：ＦＭＣシケン　タロウ</t>
  </si>
  <si>
    <t>2017/09/25 16:09:03.030 D 21345 AUE31814 RegDiffIndustriesApplBL 00104D:Trace: 自宅・勤務先電話番号：0312345678</t>
  </si>
  <si>
    <t>2017/09/25 16:09:03.030 D 21345 AUE31814 RegDiffIndustriesApplBL 00104D:Trace: 携帯電話番号：null</t>
  </si>
  <si>
    <t>2017/09/25 16:09:03.030 D 21345 AUE31814 RegDiffIndustriesApplBL 00104D:Trace: 郵便番号：1080035</t>
  </si>
  <si>
    <t>2017/09/25 16:09:03.030 D 21345 AUE31814 RegDiffIndustriesApplBL 00104D:Trace: 住所：東京都港区白金１丁目</t>
  </si>
  <si>
    <t>2017/09/25 16:09:03.030 D 21345 AUE31814 RegDiffIndustriesApplBL 00104D:Trace: 住居区分：0</t>
  </si>
  <si>
    <t>2017/09/25 16:09:03.030 D 21345 AUE31814 RegDiffIndustriesApplBL 00104D:Trace: 所有区分：1</t>
  </si>
  <si>
    <t>2017/09/25 16:09:03.030 D 21345 AUE31814 RegDiffIndustriesApplBL 00104D:Trace: 連絡希望曜日：0</t>
  </si>
  <si>
    <t>2017/09/25 16:09:03.030 D 21345 AUE31814 RegDiffIndustriesApplBL 00104D:Trace: 連絡希望時間帯：1</t>
  </si>
  <si>
    <t>2017/09/25 16:09:03.030 D 21345 AUE31814 RegDiffIndustriesApplBL 00104D:Trace: お客様ID：null</t>
  </si>
  <si>
    <t>2017/09/25 16:09:03.030 D 21345 AUE31814 RegDiffIndustriesApplBL 00104D:Trace: 備考1：備考1</t>
  </si>
  <si>
    <t>2017/09/25 16:09:03.030 D 21345 AUE31814 RegDiffIndustriesApplBL 00104D:Trace: 備考2：備考2</t>
  </si>
  <si>
    <t>2017/09/25 16:09:03.030 D 21345 AUE31814 RegDiffIndustriesApplBL 00104D:Trace: 備考3：備考3</t>
  </si>
  <si>
    <t>2017/09/25 16:09:03.030 D 21345 AUE31814 RegDiffIndustriesApplBL 00104D:Trace: 備考4：備考4</t>
  </si>
  <si>
    <t>2017/09/25 16:09:03.030 D 21345 AUE31814 RegDiffIndustriesApplBL 00104D:Trace: 備考5：備考5</t>
  </si>
  <si>
    <t>2017/09/25 16:09:03.030 D 21345 AUE31814 RegDiffIndustriesApplBL 00104D:Trace: 備考6：備考6</t>
  </si>
  <si>
    <t>2017/09/25 16:09:03.030 D 21345 AUE31814 RegDiffIndustriesApplBL 00104D:Trace: 備考7：null</t>
  </si>
  <si>
    <t>2017/09/25 16:09:03.030 D 21345 AUE31814 RegDiffIndustriesApplBL 00104D:Trace: 備考8：備考8</t>
  </si>
  <si>
    <t>2017/09/25 16:09:03.030 D 21345 AUE31814 RegDiffIndustriesApplBL 00104D:Trace: 備考9：備考9</t>
  </si>
  <si>
    <t>2017/09/25 16:09:03.030 D 21345 AUE31814 RegDiffIndustriesApplBL 00104D:Trace: 備考10：備考10</t>
  </si>
  <si>
    <t>2017/09/25 16:09:03.030 D 21345 AUE31814 RegDiffIndustriesApplBL 00104D:Trace: 備考11：備考11</t>
  </si>
  <si>
    <t>2017/09/25 16:09:03.030 D 21345 AUE31814 RegDiffIndustriesApplBL 00104D:Trace: 備考12：備考12</t>
  </si>
  <si>
    <t>2017/09/25 16:09:03.030 D 21345 AUE31814 RegDiffIndustriesApplBL 00104D:Trace: 備考13：備考13</t>
  </si>
  <si>
    <t>2017/09/25 16:09:03.030 D 21345 AUE31814 RegDiffIndustriesApplBL 00104D:Trace: 備考14：備考14</t>
  </si>
  <si>
    <t>2017/09/25 16:09:03.030 D 21345 AUE31814 RegDiffIndustriesApplBL 00104D:Trace: 備考15：備考15</t>
  </si>
  <si>
    <t>2017/09/25 16:09:03.030 D 21345 AUE31814 RegDiffIndustriesApplBL 00104D:Trace: 備考16：備考16</t>
  </si>
  <si>
    <t>2017/09/25 16:09:03.030 D 21345 AUE31814 RegDiffIndustriesApplBL 00104D:Trace: 備考17：備考17</t>
  </si>
  <si>
    <t>2017/09/25 16:09:03.030 D 21345 AUE31814 RegDiffIndustriesApplBL 00104D:Trace: 備考18：備考18</t>
  </si>
  <si>
    <t>2017/09/25 16:09:03.030 D 21345 AUE31814 RegDiffIndustriesApplBL 00104D:Trace: 備考19：備考19</t>
  </si>
  <si>
    <t>2017/09/25 16:09:03.030 D 21345 AUE31814 RegDiffIndustriesApplBL 00104D:Trace: 備考20：備考20</t>
  </si>
  <si>
    <t>2017/09/25 16:09:03.030 D 21345 AUE31814 RegDiffIndustriesApplBL 00104D:Trace: 特記：特記欄００１</t>
  </si>
  <si>
    <t>2017/09/25 16:09:03.030 D 21345 AUE31814 RegDiffIndustriesApplBL 00104D:Trace: au加入者コード:A1701001</t>
  </si>
  <si>
    <t>2017/09/25 16:09:03.030 D 21345 AUE31814 RegDiffIndustriesApplBL 00104D:Trace: 基本契約番号:null</t>
  </si>
  <si>
    <t>2017/09/25 16:09:03.030 I 21345 AUE31814 RegDiffIndustriesApplBL 00105I:Trace:&lt;CI&gt; 顧客区分：1</t>
  </si>
  <si>
    <t>2017/09/25 16:09:03.030 D 21345 AUE31814 RegDiffIndustriesApplBL 00104D:Trace:[traceRequest終了]</t>
  </si>
  <si>
    <t>2017/09/25 16:09:03.030 D 21345 AUE31814 RegDiffIndustriesApplBL 00104D:Trace:[checkByte開始]</t>
  </si>
  <si>
    <t>2017/09/25 16:09:03.030 I 21345 AUE31814 RegDiffIndustriesApplBL 00105I:Trace:&lt;CI&gt;errByteMessage.size =「0」</t>
  </si>
  <si>
    <t>2017/09/25 16:09:03.030 D 21345 AUE31814 RegDiffIndustriesApplBL 00104D:Trace:[checkByte終了]</t>
  </si>
  <si>
    <t>2017/09/25 16:09:03.030 D 21345 AUE31814 RegDiffIndustriesApplBL 00104D:Trace:[getDiffIndustryApplMngNo開始]</t>
  </si>
  <si>
    <t>2017/09/25 16:09:03.060 I 21345 AUE31814 RegDiffIndustriesApplBL 00101I:SQL:&lt;CI&gt;SELECT SQ_DIFF_INDUSTRY_APPL_MNG_NO.NEXTVAL FROM DUAL</t>
  </si>
  <si>
    <t>2017/09/25 16:09:03.060 D 21345 AUE31814 RegDiffIndustriesApplBL 00104D:Trace:異業種商材申込管理番号：20</t>
  </si>
  <si>
    <t>2017/09/25 16:09:03.060 D 21345 AUE31814 RegDiffIndustriesApplBL 00104D:Trace:[getDiffIndustryApplMngNo終了]</t>
  </si>
  <si>
    <t>2017/09/25 16:09:03.060 D 21345 AUE31814 RegDiffIndustriesApplBL 00104D:Trace:[getDiffIndustryIntroductionNo開始]</t>
  </si>
  <si>
    <t>2017/09/25 16:09:03.060 D 21345 AUE31814 RegDiffIndustriesApplBL 00104D:Trace:++プロパティファイルより取得した紹介票管理番号取得リトライ回数：4</t>
  </si>
  <si>
    <t>2017/09/25 16:09:03.060 D 21345 AUE31814 RegDiffIndustriesApplBL 00104D:Trace:[getSqDiffIndustryIntroductionNo開始]</t>
  </si>
  <si>
    <t>2017/09/25 16:09:03.080 I 21345 AUE31814 RegDiffIndustriesApplBL 00101I:SQL:&lt;CI&gt;SELECT SQ_DIFF_INDUSTRY_INTRODUCTION_NO.NEXTVAL FROM DUAL</t>
  </si>
  <si>
    <t>2017/09/25 16:09:03.080 D 21345 AUE31814 RegDiffIndustriesApplBL 00104D:Trace:[getSqDiffIndustryIntroductionNo終了]</t>
  </si>
  <si>
    <t>2017/09/25 16:09:03.080 D 21345 AUE31814 RegDiffIndustriesApplBL 00104D:Trace:[chkDiffIndustryIntroductionNo開始]</t>
  </si>
  <si>
    <t>2017/09/25 16:09:03.110 I 21345 AUE31814 RegDiffIndustriesApplBL 00101I:SQL:&lt;CI&gt;SELECT     count(*) FROM     D_APPL_DIFF_INDUSTRY_INFO d WHERE     d.INTRODUCTION_NO = 'IG0000020'  AND     d.BATCH_FILE_IN_STS in ('0','1')</t>
  </si>
  <si>
    <t>2017/09/25 16:09:03.110 D 21345 AUE31814 RegDiffIndustriesApplBL 00104D:Trace:[chkDiffIndustryIntroductionNo終了]</t>
  </si>
  <si>
    <t>2017/09/25 16:09:03.110 D 21345 AUE31814 RegDiffIndustriesApplBL 00104D:Trace:++紹介票管理番号を取得して完了。</t>
  </si>
  <si>
    <t>2017/09/25 16:09:03.110 D 21345 AUE31814 RegDiffIndustriesApplBL 00104D:Trace:紹介票管理番号：IG0000020</t>
  </si>
  <si>
    <t>2017/09/25 16:09:03.110 D 21345 AUE31814 RegDiffIndustriesApplBL 00104D:Trace:[getDiffIndustryIntroductionNo終了]</t>
  </si>
  <si>
    <t>2017/09/25 16:09:03.110 D 21345 AUE31814 RegDiffIndustriesApplBL 00104D:Trace:[insertDiffIndustryInfo開始]</t>
  </si>
  <si>
    <t>2017/09/25 16:09:03.110 D 21345 AUE31814 RegDiffIndustriesApplBL 00104D:Trace:[insertDiffIndustryInfo終了]</t>
  </si>
  <si>
    <t>2017/09/25 16:09:03.130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remarks_8, remarks_9, remarks_10, remarks_11, remarks_12, remarks_13, remarks_14, remarks_15, remarks_16, remarks_17, remarks_18, remarks_19, remarks_20) VALUES (20, 'ＯＲＡＮＧＥ担当者', 'A1701001', '0', '123456', '特記欄００１', '1', 'ＦＭＣ試験　太郎', 'ＦＭＣシケン　タロウ', '1080035', '東京都港区白金１丁目', 602, '20170920', 'AUE31814', '8', 'E845001', 'Ｅ８４５００１', '0', '2017-09-25', 'AUE31814', '2017-09-25', 'AUE31814', 'IG0000020', '0', '1', '0312345678', '備考1', '備考2', '備考3', '備考4', '備考5', '備考6', '1', '17110', '171101', '備考8', '備考9', '備考10', '備考11', '備考12', '備考13', '備考14', '備考15', '備考16', '備考17', '備考18', '備考19', '備考20')</t>
  </si>
  <si>
    <t>2017/09/25 16:09:03.130 D 21345 AUE31814 RegDiffIndustriesApplBL 00104D:Trace:[setResponseObjectChkPass開始]</t>
  </si>
  <si>
    <t>2017/09/25 16:09:03.130 D 21345 AUE31814 RegDiffIndustriesApplBL 00104D:Trace:[setResponseObjectChkPass終了]</t>
  </si>
  <si>
    <t>2017/09/25 16:09:03.130 D 21345 AUE31814 RegDiffIndustriesApplBL 00104D:Trace:[traceResponse開始]</t>
  </si>
  <si>
    <t>2017/09/25 16:09:03.130 D 21345 AUE31814 RegDiffIndustriesApplBL 00104D:Trace:個別結果コード0000</t>
  </si>
  <si>
    <t>2017/09/25 16:09:03.130 D 21345 AUE31814 RegDiffIndustriesApplBL 00104D:Trace:異業種申込管理番号20</t>
  </si>
  <si>
    <t>2017/09/25 16:09:03.130 D 21345 AUE31814 RegDiffIndustriesApplBL 00104D:Trace:紹介票管理番号IG0000020</t>
  </si>
  <si>
    <t>2017/09/25 16:09:03.130 D 21345 AUE31814 RegDiffIndustriesApplBL 00104D:Trace:[traceResponse終了]</t>
  </si>
  <si>
    <t>2017/09/25 16:09:03.130 D 21345 AUE31814 RegDiffIndustriesApplBL 00104D:Trace:[execute終了]</t>
  </si>
  <si>
    <t>2017/09/25 16:09:03.140 D 21345 AUE31814 RegDiffIndustriesApplServlet :△△業務ロジック△△[120ミリ秒]</t>
  </si>
  <si>
    <t>2017/09/25 16:09:03.140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20&lt;/different-appl-mng-no&gt;&lt;introduction-no&gt;IG0000020&lt;/introduction-no&gt;&lt;/reg-info&gt;&lt;/api-prm&gt;&lt;/api-response&gt;</t>
  </si>
  <si>
    <t>2017/09/25 16:09:03.140 I 21345 AUE31814 RegDiffIndustriesApplServlet 00002I:Service End</t>
  </si>
  <si>
    <t>Nul</t>
    <phoneticPr fontId="3"/>
  </si>
  <si>
    <t>DBログ</t>
    <phoneticPr fontId="3"/>
  </si>
  <si>
    <t>BSS1=# select * from D_APPL_DIFF_INDUSTRY_INFO where carrier_cd='17110' and shouhin_cd='171101';</t>
  </si>
  <si>
    <t>-[ RECORD 1 ]---------+----------------------</t>
  </si>
  <si>
    <t>different_appl_mng_no | 20</t>
  </si>
  <si>
    <t>appl_in_kind          | 602</t>
  </si>
  <si>
    <t>introduction_no       | IG0000020</t>
  </si>
  <si>
    <t>carrier_cd            | 17110</t>
  </si>
  <si>
    <t>shouhin_cd            | 171101</t>
  </si>
  <si>
    <t>cont_nm_kj            | ＦＭＣ試験　太郎</t>
  </si>
  <si>
    <t>cont_nm_kn            | ＦＭＣシケン　タロウ</t>
  </si>
  <si>
    <t>home_tel_no           | 0312345678</t>
  </si>
  <si>
    <t>mobile_tel_no         | (null)</t>
  </si>
  <si>
    <t>use_post_cd           | 1080035</t>
  </si>
  <si>
    <t>use_add               | 東京都港区白金１丁目</t>
  </si>
  <si>
    <t>building_type         | 0</t>
  </si>
  <si>
    <t>owner_kbn             | 1</t>
  </si>
  <si>
    <t>contact_date          | 0</t>
  </si>
  <si>
    <t>contact_time          | 1</t>
  </si>
  <si>
    <t>customer_id           | (null)</t>
  </si>
  <si>
    <t>remarks_1             | 備考1</t>
  </si>
  <si>
    <t>remarks_2             | 備考2</t>
  </si>
  <si>
    <t>remarks_3             | 備考3</t>
  </si>
  <si>
    <t>remarks_4             | 備考4</t>
  </si>
  <si>
    <t>remarks_5             | 備考5</t>
  </si>
  <si>
    <t>remarks_6             | 備考6</t>
  </si>
  <si>
    <t>special               | 特記欄００１</t>
  </si>
  <si>
    <t>member_cd             | A1701001</t>
  </si>
  <si>
    <t>login_id              | (null)</t>
  </si>
  <si>
    <t>cust_kbn              | 1</t>
  </si>
  <si>
    <t>appl_date             | 20170920</t>
  </si>
  <si>
    <t>appl_time             | 123456</t>
  </si>
  <si>
    <t>au_agency_code        | E845001</t>
  </si>
  <si>
    <t>au_agency_name        | Ｅ８４５００１</t>
  </si>
  <si>
    <t>operator_fmly_name    | ＯＲＡＮＧＥ担当者</t>
  </si>
  <si>
    <t>operator_frst_name    | (null)</t>
  </si>
  <si>
    <t>operator_id           | AUE31814</t>
  </si>
  <si>
    <t>au_agency_tel_no      | (null)</t>
  </si>
  <si>
    <t>select_btn            | 8</t>
  </si>
  <si>
    <t>batch_file_in_sts     | 0</t>
  </si>
  <si>
    <t>rec_entry_dtime       | 25-SEP-17 16:09:03.11</t>
  </si>
  <si>
    <t>rec_entry_user        | AUE31814</t>
  </si>
  <si>
    <t>rec_update_dtime      | 25-SEP-17 16:09:03.11</t>
  </si>
  <si>
    <t>rec_update_user       | AUE31814</t>
  </si>
  <si>
    <t>remarks_7             | (null)</t>
  </si>
  <si>
    <t>remarks_8             | 備考8</t>
  </si>
  <si>
    <t>remarks_9             | 備考9</t>
  </si>
  <si>
    <t>remarks_10            | 備考10</t>
  </si>
  <si>
    <t>remarks_11            | 備考11</t>
  </si>
  <si>
    <t>remarks_12            | 備考12</t>
  </si>
  <si>
    <t>remarks_13            | 備考13</t>
  </si>
  <si>
    <t>remarks_14            | 備考14</t>
  </si>
  <si>
    <t>remarks_15            | 備考15</t>
  </si>
  <si>
    <t>remarks_16            | 備考16</t>
  </si>
  <si>
    <t>remarks_17            | 備考17</t>
  </si>
  <si>
    <t>remarks_18            | 備考18</t>
  </si>
  <si>
    <t>remarks_19            | 備考19</t>
  </si>
  <si>
    <t>remarks_20            | 備考20</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</si>
  <si>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</si>
  <si>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16:17:20.695 I 21347          RegDiffIndustriesApplServlet 00001I:Service Start</t>
  </si>
  <si>
    <t>2017/09/25 16:17:20.695 D 21347          RegDiffIndustriesApplServlet :▽▽parse▽▽</t>
  </si>
  <si>
    <t>2017/09/25 16:17:20.695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171102&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</si>
  <si>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16:17:20.695 D 21347          RegDiffIndustriesApplServlet :△△parse△△[0ミリ秒]</t>
  </si>
  <si>
    <t>2017/09/25 16:17:20.695 D 21347 AUE31814 DBCacheUtil 00104D:Trace:groupId=BASE_SERVICE_TIME;keyword=CHECK_FLG;value=0</t>
  </si>
  <si>
    <t>2017/09/25 16:17:20.695 D 21347 AUE31814 RegDiffIndustriesApplServlet :▽▽validate▽▽</t>
  </si>
  <si>
    <t>2017/09/25 16:17:20.705 I 21347 AUE31814 RegDiffIndustriesApplServlet 01001I:Parameter Error</t>
  </si>
  <si>
    <t>2017/09/25 16:17:20.705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</si>
  <si>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16:17:20.705 I 21347 AUE31814 RegDiffIndustriesApplServlet 00002I:Service End</t>
  </si>
  <si>
    <t>2017/09/25 16:19:02.888 I 21345          RegDiffIndustriesApplServlet 00001I:Service Start</t>
  </si>
  <si>
    <t>2017/09/25 16:19:02.888 D 21345          RegDiffIndustriesApplServlet :▽▽parse▽▽</t>
  </si>
  <si>
    <t>2017/09/25 16:19:02.888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171103&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0123456789012345678901234567890123456789012345678901234567890123456789012345678901234567890123456789012345678901234567890123456789012345678901234567890123456789012345678901234567890&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</si>
  <si>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16:19:02.888 D 21345          RegDiffIndustriesApplServlet :△△parse△△[0ミリ秒]</t>
  </si>
  <si>
    <t>2017/09/25 16:19:02.888 D 21345 AUE31814 DBCacheUtil 00104D:Trace:groupId=BASE_SERVICE_TIME;keyword=CHECK_FLG;value=0</t>
  </si>
  <si>
    <t>2017/09/25 16:19:02.888 D 21345 AUE31814 RegDiffIndustriesApplServlet :▽▽validate▽▽</t>
  </si>
  <si>
    <t>2017/09/25 16:19:02.888 I 21345 AUE31814 RegDiffIndustriesApplServlet 01001I:Parameter Error</t>
  </si>
  <si>
    <t>2017/09/25 16:19:02.888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</si>
  <si>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16:19:02.888 I 21345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</si>
  <si>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21&lt;/different-appl-mng-no&gt;&lt;introduction-no&gt;IG0000021&lt;/introduction-no&gt;&lt;/reg-info&gt;&lt;/api-prm&gt;&lt;/api-response&gt;</t>
  </si>
  <si>
    <t>2017/09/25 16:20:57.175 I 21347          RegDiffIndustriesApplServlet 00001I:Service Start</t>
  </si>
  <si>
    <t>2017/09/25 16:20:57.175 D 21347          RegDiffIndustriesApplServlet :▽▽parse▽▽</t>
  </si>
  <si>
    <t>2017/09/25 16:20:57.175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171104&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</si>
  <si>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16:20:57.175 D 21347          RegDiffIndustriesApplServlet :△△parse△△[0ミリ秒]</t>
  </si>
  <si>
    <t>2017/09/25 16:20:57.175 D 21347 AUE31814 DBCacheUtil 00104D:Trace:groupId=BASE_SERVICE_TIME;keyword=CHECK_FLG;value=0</t>
  </si>
  <si>
    <t>2017/09/25 16:20:57.175 D 21347 AUE31814 RegDiffIndustriesApplServlet :▽▽validate▽▽</t>
  </si>
  <si>
    <t>2017/09/25 16:20:57.175 D 21347 AUE31814 RegDiffIndustriesApplServlet :△△validate△△[0ミリ秒]</t>
  </si>
  <si>
    <t>2017/09/25 16:20:57.175 D 21347 AUE31814 DBCacheUtil 00104D:Trace:groupId=API_VERSION;keyword=/fmc-on/bbc-appl-api/diffindustappl/reg_diff_industries_appl;value=10</t>
  </si>
  <si>
    <t>2017/09/25 16:20:57.175 D 21347 AUE31814 RegDiffIndustriesApplServlet :▽▽業務ロジック▽▽</t>
  </si>
  <si>
    <t>2017/09/25 16:20:57.175 D 21347 AUE31814 RegDiffIndustriesApplBL 00104D:Trace:[setSequenceDao開始]</t>
  </si>
  <si>
    <t>2017/09/25 16:20:57.175 D 21347 AUE31814 RegDiffIndustriesApplBL 00104D:Trace:[setSequenceDao終了]</t>
  </si>
  <si>
    <t>2017/09/25 16:20:57.175 D 21347 AUE31814 RegDiffIndustriesApplBL 00104D:Trace:[setdApplDiffIndustryInfoApplDao開始]</t>
  </si>
  <si>
    <t>2017/09/25 16:20:57.175 D 21347 AUE31814 RegDiffIndustriesApplBL 00104D:Trace:[setdApplDiffIndustryInfoApplDao終了]</t>
  </si>
  <si>
    <t>2017/09/25 16:20:57.175 D 21347 AUE31814 RegDiffIndustriesApplBL 00104D:Trace:[execute開始]</t>
  </si>
  <si>
    <t>2017/09/25 16:20:57.175 D 21347 AUE31814 RegDiffIndustriesApplBL 00104D:Trace:[traceRequest開始]</t>
  </si>
  <si>
    <t>2017/09/25 16:20:57.175 D 21347 AUE31814 RegDiffIndustriesApplBL 00104D:Trace:au代理店コード：E845001</t>
  </si>
  <si>
    <t>2017/09/25 16:20:57.175 D 21347 AUE31814 RegDiffIndustriesApplBL 00104D:Trace: 申込押下ボタン：8</t>
  </si>
  <si>
    <t>2017/09/25 16:20:57.175 D 21347 AUE31814 RegDiffIndustriesApplBL 00104D:Trace: 店名：Ｅ８４５００１</t>
  </si>
  <si>
    <t>2017/09/25 16:20:57.175 D 21347 AUE31814 RegDiffIndustriesApplBL 00104D:Trace: 担当者名：ＯＲＡＮＧＥ担当者</t>
  </si>
  <si>
    <t>2017/09/25 16:20:57.175 D 21347 AUE31814 RegDiffIndustriesApplBL 00104D:Trace: 担当者名(名)：null</t>
  </si>
  <si>
    <t>2017/09/25 16:20:57.175 D 21347 AUE31814 RegDiffIndustriesApplBL 00104D:Trace: 電話番号：null</t>
  </si>
  <si>
    <t>2017/09/25 16:20:57.175 D 21347 AUE31814 RegDiffIndustriesApplBL 00104D:Trace: 申込年月日：20170920</t>
  </si>
  <si>
    <t>2017/09/25 16:20:57.175 D 21347 AUE31814 RegDiffIndustriesApplBL 00104D:Trace: 申込時刻：123456</t>
  </si>
  <si>
    <t>2017/09/25 16:20:57.175 D 21347 AUE31814 RegDiffIndustriesApplBL 00104D:Trace: 事業者コード：17110</t>
  </si>
  <si>
    <t>2017/09/25 16:20:57.175 D 21347 AUE31814 RegDiffIndustriesApplBL 00104D:Trace: 商品コード：171104</t>
  </si>
  <si>
    <t>2017/09/25 16:20:57.175 D 21347 AUE31814 RegDiffIndustriesApplBL 00104D:Trace: 漢字：ＦＭＣ試験　太郎</t>
  </si>
  <si>
    <t>2017/09/25 16:20:57.175 D 21347 AUE31814 RegDiffIndustriesApplBL 00104D:Trace: カナ：ＦＭＣシケン　タロウ</t>
  </si>
  <si>
    <t>2017/09/25 16:20:57.175 D 21347 AUE31814 RegDiffIndustriesApplBL 00104D:Trace: 自宅・勤務先電話番号：0312345678</t>
  </si>
  <si>
    <t>2017/09/25 16:20:57.175 D 21347 AUE31814 RegDiffIndustriesApplBL 00104D:Trace: 携帯電話番号：null</t>
  </si>
  <si>
    <t>2017/09/25 16:20:57.175 D 21347 AUE31814 RegDiffIndustriesApplBL 00104D:Trace: 郵便番号：1080035</t>
  </si>
  <si>
    <t>2017/09/25 16:20:57.175 D 21347 AUE31814 RegDiffIndustriesApplBL 00104D:Trace: 住所：東京都港区白金１丁目</t>
  </si>
  <si>
    <t>2017/09/25 16:20:57.175 D 21347 AUE31814 RegDiffIndustriesApplBL 00104D:Trace: 住居区分：0</t>
  </si>
  <si>
    <t>2017/09/25 16:20:57.175 D 21347 AUE31814 RegDiffIndustriesApplBL 00104D:Trace: 所有区分：1</t>
  </si>
  <si>
    <t>2017/09/25 16:20:57.175 D 21347 AUE31814 RegDiffIndustriesApplBL 00104D:Trace: 連絡希望曜日：0</t>
  </si>
  <si>
    <t>2017/09/25 16:20:57.175 D 21347 AUE31814 RegDiffIndustriesApplBL 00104D:Trace: 連絡希望時間帯：1</t>
  </si>
  <si>
    <t>2017/09/25 16:20:57.175 D 21347 AUE31814 RegDiffIndustriesApplBL 00104D:Trace: お客様ID：null</t>
  </si>
  <si>
    <t>2017/09/25 16:20:57.175 D 21347 AUE31814 RegDiffIndustriesApplBL 00104D:Trace: 備考1：備考1</t>
  </si>
  <si>
    <t>2017/09/25 16:20:57.175 D 21347 AUE31814 RegDiffIndustriesApplBL 00104D:Trace: 備考2：備考2</t>
  </si>
  <si>
    <t>2017/09/25 16:20:57.175 D 21347 AUE31814 RegDiffIndustriesApplBL 00104D:Trace: 備考3：備考3</t>
  </si>
  <si>
    <t>2017/09/25 16:20:57.175 D 21347 AUE31814 RegDiffIndustriesApplBL 00104D:Trace: 備考4：備考4</t>
  </si>
  <si>
    <t>2017/09/25 16:20:57.175 D 21347 AUE31814 RegDiffIndustriesApplBL 00104D:Trace: 備考5：備考5</t>
  </si>
  <si>
    <t>2017/09/25 16:20:57.175 D 21347 AUE31814 RegDiffIndustriesApplBL 00104D:Trace: 備考6：備考6</t>
  </si>
  <si>
    <t>2017/09/25 16:20:57.175 D 21347 AUE31814 RegDiffIndustriesApplBL 00104D:Trace: 備考7：備考7</t>
  </si>
  <si>
    <t>2017/09/25 16:20:57.175 D 21347 AUE31814 RegDiffIndustriesApplBL 00104D:Trace: 備考8：null</t>
  </si>
  <si>
    <t>2017/09/25 16:20:57.175 D 21347 AUE31814 RegDiffIndustriesApplBL 00104D:Trace: 備考9：備考9</t>
  </si>
  <si>
    <t>2017/09/25 16:20:57.175 D 21347 AUE31814 RegDiffIndustriesApplBL 00104D:Trace: 備考10：備考10</t>
  </si>
  <si>
    <t>2017/09/25 16:20:57.175 D 21347 AUE31814 RegDiffIndustriesApplBL 00104D:Trace: 備考11：備考11</t>
  </si>
  <si>
    <t>2017/09/25 16:20:57.175 D 21347 AUE31814 RegDiffIndustriesApplBL 00104D:Trace: 備考12：備考12</t>
  </si>
  <si>
    <t>2017/09/25 16:20:57.175 D 21347 AUE31814 RegDiffIndustriesApplBL 00104D:Trace: 備考13：備考13</t>
  </si>
  <si>
    <t>2017/09/25 16:20:57.175 D 21347 AUE31814 RegDiffIndustriesApplBL 00104D:Trace: 備考14：備考14</t>
  </si>
  <si>
    <t>2017/09/25 16:20:57.175 D 21347 AUE31814 RegDiffIndustriesApplBL 00104D:Trace: 備考15：備考15</t>
  </si>
  <si>
    <t>2017/09/25 16:20:57.175 D 21347 AUE31814 RegDiffIndustriesApplBL 00104D:Trace: 備考16：備考16</t>
  </si>
  <si>
    <t>2017/09/25 16:20:57.175 D 21347 AUE31814 RegDiffIndustriesApplBL 00104D:Trace: 備考17：備考17</t>
  </si>
  <si>
    <t>2017/09/25 16:20:57.175 D 21347 AUE31814 RegDiffIndustriesApplBL 00104D:Trace: 備考18：備考18</t>
  </si>
  <si>
    <t>2017/09/25 16:20:57.175 D 21347 AUE31814 RegDiffIndustriesApplBL 00104D:Trace: 備考19：備考19</t>
  </si>
  <si>
    <t>2017/09/25 16:20:57.175 D 21347 AUE31814 RegDiffIndustriesApplBL 00104D:Trace: 備考20：備考20</t>
  </si>
  <si>
    <t>2017/09/25 16:20:57.175 D 21347 AUE31814 RegDiffIndustriesApplBL 00104D:Trace: 特記：特記欄００１</t>
  </si>
  <si>
    <t>2017/09/25 16:20:57.175 D 21347 AUE31814 RegDiffIndustriesApplBL 00104D:Trace: au加入者コード:A1701001</t>
  </si>
  <si>
    <t>2017/09/25 16:20:57.175 D 21347 AUE31814 RegDiffIndustriesApplBL 00104D:Trace: 基本契約番号:null</t>
  </si>
  <si>
    <t>2017/09/25 16:20:57.175 I 21347 AUE31814 RegDiffIndustriesApplBL 00105I:Trace:&lt;CI&gt; 顧客区分：1</t>
  </si>
  <si>
    <t>2017/09/25 16:20:57.175 D 21347 AUE31814 RegDiffIndustriesApplBL 00104D:Trace:[traceRequest終了]</t>
  </si>
  <si>
    <t>2017/09/25 16:20:57.175 D 21347 AUE31814 RegDiffIndustriesApplBL 00104D:Trace:[checkByte開始]</t>
  </si>
  <si>
    <t>2017/09/25 16:20:57.175 I 21347 AUE31814 RegDiffIndustriesApplBL 00105I:Trace:&lt;CI&gt;errByteMessage.size =「0」</t>
  </si>
  <si>
    <t>2017/09/25 16:20:57.175 D 21347 AUE31814 RegDiffIndustriesApplBL 00104D:Trace:[checkByte終了]</t>
  </si>
  <si>
    <t>2017/09/25 16:20:57.185 D 21347 AUE31814 RegDiffIndustriesApplBL 00104D:Trace:[getDiffIndustryApplMngNo開始]</t>
  </si>
  <si>
    <t>2017/09/25 16:20:57.195 I 21347 AUE31814 RegDiffIndustriesApplBL 00101I:SQL:&lt;CI&gt;SELECT SQ_DIFF_INDUSTRY_APPL_MNG_NO.NEXTVAL FROM DUAL</t>
  </si>
  <si>
    <t>2017/09/25 16:20:57.195 D 21347 AUE31814 RegDiffIndustriesApplBL 00104D:Trace:異業種商材申込管理番号：21</t>
  </si>
  <si>
    <t>2017/09/25 16:20:57.195 D 21347 AUE31814 RegDiffIndustriesApplBL 00104D:Trace:[getDiffIndustryApplMngNo終了]</t>
  </si>
  <si>
    <t>2017/09/25 16:20:57.195 D 21347 AUE31814 RegDiffIndustriesApplBL 00104D:Trace:[getDiffIndustryIntroductionNo開始]</t>
  </si>
  <si>
    <t>2017/09/25 16:20:57.195 D 21347 AUE31814 RegDiffIndustriesApplBL 00104D:Trace:++プロパティファイルより取得した紹介票管理番号取得リトライ回数：4</t>
  </si>
  <si>
    <t>2017/09/25 16:20:57.195 D 21347 AUE31814 RegDiffIndustriesApplBL 00104D:Trace:[getSqDiffIndustryIntroductionNo開始]</t>
  </si>
  <si>
    <t>2017/09/25 16:20:57.205 I 21347 AUE31814 RegDiffIndustriesApplBL 00101I:SQL:&lt;CI&gt;SELECT SQ_DIFF_INDUSTRY_INTRODUCTION_NO.NEXTVAL FROM DUAL</t>
  </si>
  <si>
    <t>2017/09/25 16:20:57.205 D 21347 AUE31814 RegDiffIndustriesApplBL 00104D:Trace:[getSqDiffIndustryIntroductionNo終了]</t>
  </si>
  <si>
    <t>2017/09/25 16:20:57.205 D 21347 AUE31814 RegDiffIndustriesApplBL 00104D:Trace:[chkDiffIndustryIntroductionNo開始]</t>
  </si>
  <si>
    <t>2017/09/25 16:20:57.225 I 21347 AUE31814 RegDiffIndustriesApplBL 00101I:SQL:&lt;CI&gt;SELECT     count(*) FROM     D_APPL_DIFF_INDUSTRY_INFO d WHERE     d.INTRODUCTION_NO = 'IG0000021'  AND     d.BATCH_FILE_IN_STS in ('0','1')</t>
  </si>
  <si>
    <t>2017/09/25 16:20:57.225 D 21347 AUE31814 RegDiffIndustriesApplBL 00104D:Trace:[chkDiffIndustryIntroductionNo終了]</t>
  </si>
  <si>
    <t>2017/09/25 16:20:57.225 D 21347 AUE31814 RegDiffIndustriesApplBL 00104D:Trace:++紹介票管理番号を取得して完了。</t>
  </si>
  <si>
    <t>2017/09/25 16:20:57.225 D 21347 AUE31814 RegDiffIndustriesApplBL 00104D:Trace:紹介票管理番号：IG0000021</t>
  </si>
  <si>
    <t>2017/09/25 16:20:57.225 D 21347 AUE31814 RegDiffIndustriesApplBL 00104D:Trace:[getDiffIndustryIntroductionNo終了]</t>
  </si>
  <si>
    <t>2017/09/25 16:20:57.225 D 21347 AUE31814 RegDiffIndustriesApplBL 00104D:Trace:[insertDiffIndustryInfo開始]</t>
  </si>
  <si>
    <t>2017/09/25 16:20:57.225 D 21347 AUE31814 RegDiffIndustriesApplBL 00104D:Trace:[insertDiffIndustryInfo終了]</t>
  </si>
  <si>
    <t>2017/09/25 16:20:57.235 I 21347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remarks_9, remarks_10, remarks_11, remarks_12, remarks_13, remarks_14, remarks_15, remarks_16, remarks_17, remarks_18, remarks_19, remarks_20) VALUES (21, 'ＯＲＡＮＧＥ担当者', 'A1701001', '0', '123456', '特記欄００１', '1', 'ＦＭＣ試験　太郎', 'ＦＭＣシケン　タロウ', '1080035', '東京都港区白金１丁目', 602, '20170920', 'AUE31814', '8', 'E845001', 'Ｅ８４５００１', '0', '2017-09-25', 'AUE31814', '2017-09-25', 'AUE31814', 'IG0000021', '0', '1', '0312345678', '備考1', '備考2', '備考3', '備考4', '備考5', '備考6', '1', '17110', '171104', '備考7', '備考9', '備考10', '備考11', '備考12', '備考13', '備考14', '備考15', '備考16', '備考17', '備考18', '備考19', '備考20')</t>
  </si>
  <si>
    <t>2017/09/25 16:20:57.235 D 21347 AUE31814 RegDiffIndustriesApplBL 00104D:Trace:[setResponseObjectChkPass開始]</t>
  </si>
  <si>
    <t>2017/09/25 16:20:57.245 D 21347 AUE31814 RegDiffIndustriesApplBL 00104D:Trace:[setResponseObjectChkPass終了]</t>
  </si>
  <si>
    <t>2017/09/25 16:20:57.245 D 21347 AUE31814 RegDiffIndustriesApplBL 00104D:Trace:[traceResponse開始]</t>
  </si>
  <si>
    <t>2017/09/25 16:20:57.245 D 21347 AUE31814 RegDiffIndustriesApplBL 00104D:Trace:個別結果コード0000</t>
  </si>
  <si>
    <t>2017/09/25 16:20:57.245 D 21347 AUE31814 RegDiffIndustriesApplBL 00104D:Trace:異業種申込管理番号21</t>
  </si>
  <si>
    <t>2017/09/25 16:20:57.245 D 21347 AUE31814 RegDiffIndustriesApplBL 00104D:Trace:紹介票管理番号IG0000021</t>
  </si>
  <si>
    <t>2017/09/25 16:20:57.245 D 21347 AUE31814 RegDiffIndustriesApplBL 00104D:Trace:[traceResponse終了]</t>
  </si>
  <si>
    <t>2017/09/25 16:20:57.245 D 21347 AUE31814 RegDiffIndustriesApplBL 00104D:Trace:[execute終了]</t>
  </si>
  <si>
    <t>2017/09/25 16:20:57.245 D 21347 AUE31814 RegDiffIndustriesApplServlet :△△業務ロジック△△[70ミリ秒]</t>
  </si>
  <si>
    <t>2017/09/25 16:20:57.245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21&lt;/different-appl-mng-no&gt;&lt;introduction-no&gt;IG0000021&lt;/introduction-no&gt;&lt;/reg-info&gt;&lt;/api-prm&gt;&lt;/api-response&gt;</t>
  </si>
  <si>
    <t>2017/09/25 16:20:57.245 I 21347 AUE31814 RegDiffIndustriesApplServlet 00002I:Service End</t>
  </si>
  <si>
    <t>BSS1=# select * from D_APPL_DIFF_INDUSTRY_INFO where carrier_cd='17110' and shouhin_cd='171104';</t>
  </si>
  <si>
    <t>-[ RECORD 1 ]---------+-----------------------</t>
  </si>
  <si>
    <t>different_appl_mng_no | 21</t>
  </si>
  <si>
    <t>introduction_no       | IG0000021</t>
  </si>
  <si>
    <t>shouhin_cd            | 171104</t>
  </si>
  <si>
    <t>rec_entry_dtime       | 25-SEP-17 16:20:57.225</t>
  </si>
  <si>
    <t>rec_update_dtime      | 25-SEP-17 16:20:57.225</t>
  </si>
  <si>
    <t>remarks_7             | 備考7</t>
  </si>
  <si>
    <t>remarks_8             | (null)</t>
  </si>
  <si>
    <t>2017/09/25 16:23:09.448 I 21345          RegDiffIndustriesApplServlet 00001I:Service Start</t>
  </si>
  <si>
    <t>2017/09/25 16:23:09.448 D 21345          RegDiffIndustriesApplServlet :▽▽parse▽▽</t>
  </si>
  <si>
    <t>2017/09/25 16:23:09.448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171105&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</si>
  <si>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16:23:09.448 D 21345          RegDiffIndustriesApplServlet :△△parse△△[0ミリ秒]</t>
  </si>
  <si>
    <t>2017/09/25 16:23:09.448 D 21345 AUE31814 DBCacheUtil 00104D:Trace:groupId=BASE_SERVICE_TIME;keyword=CHECK_FLG;value=0</t>
  </si>
  <si>
    <t>2017/09/25 16:23:09.448 D 21345 AUE31814 RegDiffIndustriesApplServlet :▽▽validate▽▽</t>
  </si>
  <si>
    <t>2017/09/25 16:23:09.448 I 21345 AUE31814 RegDiffIndustriesApplServlet 01001I:Parameter Error</t>
  </si>
  <si>
    <t>2017/09/25 16:23:09.458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</si>
  <si>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16:23:09.458 I 21345 AUE31814 RegDiffIndustriesApplServlet 00002I:Service End</t>
  </si>
  <si>
    <t>2017/09/25 16:24:10.671 I 21347          RegDiffIndustriesApplServlet 00001I:Service Start</t>
  </si>
  <si>
    <t>2017/09/25 16:24:10.671 D 21347          RegDiffIndustriesApplServlet :▽▽parse▽▽</t>
  </si>
  <si>
    <t>2017/09/25 16:24:10.671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171106&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0123456789012345678901234567890123456789012345678901234567890123456789012345678901234567890123456789012345678901234567890123456789012345678901234567890123456789012345678901234567890&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</si>
  <si>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16:24:10.671 D 21347          RegDiffIndustriesApplServlet :△△parse△△[0ミリ秒]</t>
  </si>
  <si>
    <t>2017/09/25 16:24:10.671 D 21347 AUE31814 DBCacheUtil 00104D:Trace:groupId=BASE_SERVICE_TIME;keyword=CHECK_FLG;value=0</t>
  </si>
  <si>
    <t>2017/09/25 16:24:10.671 D 21347 AUE31814 RegDiffIndustriesApplServlet :▽▽validate▽▽</t>
  </si>
  <si>
    <t>2017/09/25 16:24:10.671 I 21347 AUE31814 RegDiffIndustriesApplServlet 01001I:Parameter Error</t>
  </si>
  <si>
    <t>2017/09/25 16:24:10.681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</si>
  <si>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16:24:10.681 I 21347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</si>
  <si>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22&lt;/different-appl-mng-no&gt;&lt;introduction-no&gt;IG0000022&lt;/introduction-no&gt;&lt;/reg-info&gt;&lt;/api-prm&gt;&lt;/api-response&gt;</t>
  </si>
  <si>
    <t>2017/09/25 16:25:14.473 I 21348          RegDiffIndustriesApplServlet 00001I:Service Start</t>
  </si>
  <si>
    <t>2017/09/25 16:25:14.473 D 21348          RegDiffIndustriesApplServlet :▽▽parse▽▽</t>
  </si>
  <si>
    <t>2017/09/25 16:25:14.473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171107&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</si>
  <si>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16:25:14.473 D 21348          RegDiffIndustriesApplServlet :△△parse△△[0ミリ秒]</t>
  </si>
  <si>
    <t>2017/09/25 16:25:14.473 D 21348 AUE31814 DBCacheUtil 00104D:Trace:groupId=BASE_SERVICE_TIME;keyword=CHECK_FLG;value=0</t>
  </si>
  <si>
    <t>2017/09/25 16:25:14.473 D 21348 AUE31814 RegDiffIndustriesApplServlet :▽▽validate▽▽</t>
  </si>
  <si>
    <t>2017/09/25 16:25:14.473 D 21348 AUE31814 RegDiffIndustriesApplServlet :△△validate△△[0ミリ秒]</t>
  </si>
  <si>
    <t>2017/09/25 16:25:14.473 D 21348 AUE31814 DBCacheUtil 00104D:Trace:groupId=API_VERSION;keyword=/fmc-on/bbc-appl-api/diffindustappl/reg_diff_industries_appl;value=10</t>
  </si>
  <si>
    <t>2017/09/25 16:25:14.473 D 21348 AUE31814 RegDiffIndustriesApplServlet :▽▽業務ロジック▽▽</t>
  </si>
  <si>
    <t>2017/09/25 16:25:14.473 D 21348 AUE31814 RegDiffIndustriesApplBL 00104D:Trace:[setSequenceDao開始]</t>
  </si>
  <si>
    <t>2017/09/25 16:25:14.473 D 21348 AUE31814 RegDiffIndustriesApplBL 00104D:Trace:[setSequenceDao終了]</t>
  </si>
  <si>
    <t>2017/09/25 16:25:14.473 D 21348 AUE31814 RegDiffIndustriesApplBL 00104D:Trace:[setdApplDiffIndustryInfoApplDao開始]</t>
  </si>
  <si>
    <t>2017/09/25 16:25:14.473 D 21348 AUE31814 RegDiffIndustriesApplBL 00104D:Trace:[setdApplDiffIndustryInfoApplDao終了]</t>
  </si>
  <si>
    <t>2017/09/25 16:25:14.473 D 21348 AUE31814 RegDiffIndustriesApplBL 00104D:Trace:[execute開始]</t>
  </si>
  <si>
    <t>2017/09/25 16:25:14.473 D 21348 AUE31814 RegDiffIndustriesApplBL 00104D:Trace:[traceRequest開始]</t>
  </si>
  <si>
    <t>2017/09/25 16:25:14.473 D 21348 AUE31814 RegDiffIndustriesApplBL 00104D:Trace:au代理店コード：E845001</t>
  </si>
  <si>
    <t>2017/09/25 16:25:14.473 D 21348 AUE31814 RegDiffIndustriesApplBL 00104D:Trace: 申込押下ボタン：8</t>
  </si>
  <si>
    <t>2017/09/25 16:25:14.473 D 21348 AUE31814 RegDiffIndustriesApplBL 00104D:Trace: 店名：Ｅ８４５００１</t>
  </si>
  <si>
    <t>2017/09/25 16:25:14.473 D 21348 AUE31814 RegDiffIndustriesApplBL 00104D:Trace: 担当者名：ＯＲＡＮＧＥ担当者</t>
  </si>
  <si>
    <t>2017/09/25 16:25:14.473 D 21348 AUE31814 RegDiffIndustriesApplBL 00104D:Trace: 担当者名(名)：null</t>
  </si>
  <si>
    <t>2017/09/25 16:25:14.473 D 21348 AUE31814 RegDiffIndustriesApplBL 00104D:Trace: 電話番号：null</t>
  </si>
  <si>
    <t>2017/09/25 16:25:14.473 D 21348 AUE31814 RegDiffIndustriesApplBL 00104D:Trace: 申込年月日：20170920</t>
  </si>
  <si>
    <t>2017/09/25 16:25:14.473 D 21348 AUE31814 RegDiffIndustriesApplBL 00104D:Trace: 申込時刻：123456</t>
  </si>
  <si>
    <t>2017/09/25 16:25:14.473 D 21348 AUE31814 RegDiffIndustriesApplBL 00104D:Trace: 事業者コード：17110</t>
  </si>
  <si>
    <t>2017/09/25 16:25:14.473 D 21348 AUE31814 RegDiffIndustriesApplBL 00104D:Trace: 商品コード：171107</t>
  </si>
  <si>
    <t>2017/09/25 16:25:14.473 D 21348 AUE31814 RegDiffIndustriesApplBL 00104D:Trace: 漢字：ＦＭＣ試験　太郎</t>
  </si>
  <si>
    <t>2017/09/25 16:25:14.473 D 21348 AUE31814 RegDiffIndustriesApplBL 00104D:Trace: カナ：ＦＭＣシケン　タロウ</t>
  </si>
  <si>
    <t>2017/09/25 16:25:14.473 D 21348 AUE31814 RegDiffIndustriesApplBL 00104D:Trace: 自宅・勤務先電話番号：0312345678</t>
  </si>
  <si>
    <t>2017/09/25 16:25:14.473 D 21348 AUE31814 RegDiffIndustriesApplBL 00104D:Trace: 携帯電話番号：null</t>
  </si>
  <si>
    <t>2017/09/25 16:25:14.473 D 21348 AUE31814 RegDiffIndustriesApplBL 00104D:Trace: 郵便番号：1080035</t>
  </si>
  <si>
    <t>2017/09/25 16:25:14.473 D 21348 AUE31814 RegDiffIndustriesApplBL 00104D:Trace: 住所：東京都港区白金１丁目</t>
  </si>
  <si>
    <t>2017/09/25 16:25:14.483 D 21348 AUE31814 RegDiffIndustriesApplBL 00104D:Trace: 住居区分：0</t>
  </si>
  <si>
    <t>2017/09/25 16:25:14.483 D 21348 AUE31814 RegDiffIndustriesApplBL 00104D:Trace: 所有区分：1</t>
  </si>
  <si>
    <t>2017/09/25 16:25:14.483 D 21348 AUE31814 RegDiffIndustriesApplBL 00104D:Trace: 連絡希望曜日：0</t>
  </si>
  <si>
    <t>2017/09/25 16:25:14.483 D 21348 AUE31814 RegDiffIndustriesApplBL 00104D:Trace: 連絡希望時間帯：1</t>
  </si>
  <si>
    <t>2017/09/25 16:25:14.483 D 21348 AUE31814 RegDiffIndustriesApplBL 00104D:Trace: お客様ID：null</t>
  </si>
  <si>
    <t>2017/09/25 16:25:14.483 D 21348 AUE31814 RegDiffIndustriesApplBL 00104D:Trace: 備考1：備考1</t>
  </si>
  <si>
    <t>2017/09/25 16:25:14.483 D 21348 AUE31814 RegDiffIndustriesApplBL 00104D:Trace: 備考2：備考2</t>
  </si>
  <si>
    <t>2017/09/25 16:25:14.483 D 21348 AUE31814 RegDiffIndustriesApplBL 00104D:Trace: 備考3：備考3</t>
  </si>
  <si>
    <t>2017/09/25 16:25:14.483 D 21348 AUE31814 RegDiffIndustriesApplBL 00104D:Trace: 備考4：備考4</t>
  </si>
  <si>
    <t>2017/09/25 16:25:14.483 D 21348 AUE31814 RegDiffIndustriesApplBL 00104D:Trace: 備考5：備考5</t>
  </si>
  <si>
    <t>2017/09/25 16:25:14.483 D 21348 AUE31814 RegDiffIndustriesApplBL 00104D:Trace: 備考6：備考6</t>
  </si>
  <si>
    <t>2017/09/25 16:25:14.483 D 21348 AUE31814 RegDiffIndustriesApplBL 00104D:Trace: 備考7：備考7</t>
  </si>
  <si>
    <t>2017/09/25 16:25:14.483 D 21348 AUE31814 RegDiffIndustriesApplBL 00104D:Trace: 備考8：備考8</t>
  </si>
  <si>
    <t>2017/09/25 16:25:14.483 D 21348 AUE31814 RegDiffIndustriesApplBL 00104D:Trace: 備考9：null</t>
  </si>
  <si>
    <t>2017/09/25 16:25:14.483 D 21348 AUE31814 RegDiffIndustriesApplBL 00104D:Trace: 備考10：備考10</t>
  </si>
  <si>
    <t>2017/09/25 16:25:14.483 D 21348 AUE31814 RegDiffIndustriesApplBL 00104D:Trace: 備考11：備考11</t>
  </si>
  <si>
    <t>2017/09/25 16:25:14.483 D 21348 AUE31814 RegDiffIndustriesApplBL 00104D:Trace: 備考12：備考12</t>
  </si>
  <si>
    <t>2017/09/25 16:25:14.483 D 21348 AUE31814 RegDiffIndustriesApplBL 00104D:Trace: 備考13：備考13</t>
  </si>
  <si>
    <t>2017/09/25 16:25:14.483 D 21348 AUE31814 RegDiffIndustriesApplBL 00104D:Trace: 備考14：備考14</t>
  </si>
  <si>
    <t>2017/09/25 16:25:14.483 D 21348 AUE31814 RegDiffIndustriesApplBL 00104D:Trace: 備考15：備考15</t>
  </si>
  <si>
    <t>2017/09/25 16:25:14.483 D 21348 AUE31814 RegDiffIndustriesApplBL 00104D:Trace: 備考16：備考16</t>
  </si>
  <si>
    <t>2017/09/25 16:25:14.483 D 21348 AUE31814 RegDiffIndustriesApplBL 00104D:Trace: 備考17：備考17</t>
  </si>
  <si>
    <t>2017/09/25 16:25:14.483 D 21348 AUE31814 RegDiffIndustriesApplBL 00104D:Trace: 備考18：備考18</t>
  </si>
  <si>
    <t>2017/09/25 16:25:14.483 D 21348 AUE31814 RegDiffIndustriesApplBL 00104D:Trace: 備考19：備考19</t>
  </si>
  <si>
    <t>2017/09/25 16:25:14.483 D 21348 AUE31814 RegDiffIndustriesApplBL 00104D:Trace: 備考20：備考20</t>
  </si>
  <si>
    <t>2017/09/25 16:25:14.483 D 21348 AUE31814 RegDiffIndustriesApplBL 00104D:Trace: 特記：特記欄００１</t>
  </si>
  <si>
    <t>2017/09/25 16:25:14.483 D 21348 AUE31814 RegDiffIndustriesApplBL 00104D:Trace: au加入者コード:A1701001</t>
  </si>
  <si>
    <t>2017/09/25 16:25:14.483 D 21348 AUE31814 RegDiffIndustriesApplBL 00104D:Trace: 基本契約番号:null</t>
  </si>
  <si>
    <t>2017/09/25 16:25:14.483 I 21348 AUE31814 RegDiffIndustriesApplBL 00105I:Trace:&lt;CI&gt; 顧客区分：1</t>
  </si>
  <si>
    <t>2017/09/25 16:25:14.483 D 21348 AUE31814 RegDiffIndustriesApplBL 00104D:Trace:[traceRequest終了]</t>
  </si>
  <si>
    <t>2017/09/25 16:25:14.483 D 21348 AUE31814 RegDiffIndustriesApplBL 00104D:Trace:[checkByte開始]</t>
  </si>
  <si>
    <t>2017/09/25 16:25:14.483 I 21348 AUE31814 RegDiffIndustriesApplBL 00105I:Trace:&lt;CI&gt;errByteMessage.size =「0」</t>
  </si>
  <si>
    <t>2017/09/25 16:25:14.483 D 21348 AUE31814 RegDiffIndustriesApplBL 00104D:Trace:[checkByte終了]</t>
  </si>
  <si>
    <t>2017/09/25 16:25:14.483 D 21348 AUE31814 RegDiffIndustriesApplBL 00104D:Trace:[getDiffIndustryApplMngNo開始]</t>
  </si>
  <si>
    <t>2017/09/25 16:25:14.493 I 21348 AUE31814 RegDiffIndustriesApplBL 00101I:SQL:&lt;CI&gt;SELECT SQ_DIFF_INDUSTRY_APPL_MNG_NO.NEXTVAL FROM DUAL</t>
  </si>
  <si>
    <t>2017/09/25 16:25:14.493 D 21348 AUE31814 RegDiffIndustriesApplBL 00104D:Trace:異業種商材申込管理番号：22</t>
  </si>
  <si>
    <t>2017/09/25 16:25:14.493 D 21348 AUE31814 RegDiffIndustriesApplBL 00104D:Trace:[getDiffIndustryApplMngNo終了]</t>
  </si>
  <si>
    <t>2017/09/25 16:25:14.493 D 21348 AUE31814 RegDiffIndustriesApplBL 00104D:Trace:[getDiffIndustryIntroductionNo開始]</t>
  </si>
  <si>
    <t>2017/09/25 16:25:14.493 D 21348 AUE31814 RegDiffIndustriesApplBL 00104D:Trace:++プロパティファイルより取得した紹介票管理番号取得リトライ回数：4</t>
  </si>
  <si>
    <t>2017/09/25 16:25:14.493 D 21348 AUE31814 RegDiffIndustriesApplBL 00104D:Trace:[getSqDiffIndustryIntroductionNo開始]</t>
  </si>
  <si>
    <t>2017/09/25 16:25:14.503 I 21348 AUE31814 RegDiffIndustriesApplBL 00101I:SQL:&lt;CI&gt;SELECT SQ_DIFF_INDUSTRY_INTRODUCTION_NO.NEXTVAL FROM DUAL</t>
  </si>
  <si>
    <t>2017/09/25 16:25:14.503 D 21348 AUE31814 RegDiffIndustriesApplBL 00104D:Trace:[getSqDiffIndustryIntroductionNo終了]</t>
  </si>
  <si>
    <t>2017/09/25 16:25:14.503 D 21348 AUE31814 RegDiffIndustriesApplBL 00104D:Trace:[chkDiffIndustryIntroductionNo開始]</t>
  </si>
  <si>
    <t>2017/09/25 16:25:14.523 I 21348 AUE31814 RegDiffIndustriesApplBL 00101I:SQL:&lt;CI&gt;SELECT     count(*) FROM     D_APPL_DIFF_INDUSTRY_INFO d WHERE     d.INTRODUCTION_NO = 'IG0000022'  AND     d.BATCH_FILE_IN_STS in ('0','1')</t>
  </si>
  <si>
    <t>2017/09/25 16:25:14.523 D 21348 AUE31814 RegDiffIndustriesApplBL 00104D:Trace:[chkDiffIndustryIntroductionNo終了]</t>
  </si>
  <si>
    <t>2017/09/25 16:25:14.523 D 21348 AUE31814 RegDiffIndustriesApplBL 00104D:Trace:++紹介票管理番号を取得して完了。</t>
  </si>
  <si>
    <t>2017/09/25 16:25:14.523 D 21348 AUE31814 RegDiffIndustriesApplBL 00104D:Trace:紹介票管理番号：IG0000022</t>
  </si>
  <si>
    <t>2017/09/25 16:25:14.523 D 21348 AUE31814 RegDiffIndustriesApplBL 00104D:Trace:[getDiffIndustryIntroductionNo終了]</t>
  </si>
  <si>
    <t>2017/09/25 16:25:14.523 D 21348 AUE31814 RegDiffIndustriesApplBL 00104D:Trace:[insertDiffIndustryInfo開始]</t>
  </si>
  <si>
    <t>2017/09/25 16:25:14.523 D 21348 AUE31814 RegDiffIndustriesApplBL 00104D:Trace:[insertDiffIndustryInfo終了]</t>
  </si>
  <si>
    <t>2017/09/25 16:25:14.533 I 21348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remarks_10, remarks_11, remarks_12, remarks_13, remarks_14, remarks_15, remarks_16, remarks_17, remarks_18, remarks_19, remarks_20) VALUES (22, 'ＯＲＡＮＧＥ担当者', 'A1701001', '0', '123456', '特記欄００１', '1', 'ＦＭＣ試験　太郎', 'ＦＭＣシケン　タロウ', '1080035', '東京都港区白金１丁目', 602, '20170920', 'AUE31814', '8', 'E845001', 'Ｅ８４５００１', '0', '2017-09-25', 'AUE31814', '2017-09-25', 'AUE31814', 'IG0000022', '0', '1', '0312345678', '備考1', '備考2', '備考3', '備考4', '備考5', '備考6', '1', '17110', '171107', '備考7', '備考8', '備考10', '備考11', '備考12', '備考13', '備考14', '備考15', '備考16', '備考17', '備考18', '備考19', '備考20')</t>
  </si>
  <si>
    <t>2017/09/25 16:25:14.533 D 21348 AUE31814 RegDiffIndustriesApplBL 00104D:Trace:[setResponseObjectChkPass開始]</t>
  </si>
  <si>
    <t>2017/09/25 16:25:14.533 D 21348 AUE31814 RegDiffIndustriesApplBL 00104D:Trace:[setResponseObjectChkPass終了]</t>
  </si>
  <si>
    <t>2017/09/25 16:25:14.533 D 21348 AUE31814 RegDiffIndustriesApplBL 00104D:Trace:[traceResponse開始]</t>
  </si>
  <si>
    <t>2017/09/25 16:25:14.533 D 21348 AUE31814 RegDiffIndustriesApplBL 00104D:Trace:個別結果コード0000</t>
  </si>
  <si>
    <t>2017/09/25 16:25:14.533 D 21348 AUE31814 RegDiffIndustriesApplBL 00104D:Trace:異業種申込管理番号22</t>
  </si>
  <si>
    <t>2017/09/25 16:25:14.533 D 21348 AUE31814 RegDiffIndustriesApplBL 00104D:Trace:紹介票管理番号IG0000022</t>
  </si>
  <si>
    <t>2017/09/25 16:25:14.533 D 21348 AUE31814 RegDiffIndustriesApplBL 00104D:Trace:[traceResponse終了]</t>
  </si>
  <si>
    <t>2017/09/25 16:25:14.533 D 21348 AUE31814 RegDiffIndustriesApplBL 00104D:Trace:[execute終了]</t>
  </si>
  <si>
    <t>2017/09/25 16:25:14.533 D 21348 AUE31814 RegDiffIndustriesApplServlet :△△業務ロジック△△[60ミリ秒]</t>
  </si>
  <si>
    <t>2017/09/25 16:25:14.533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22&lt;/different-appl-mng-no&gt;&lt;introduction-no&gt;IG0000022&lt;/introduction-no&gt;&lt;/reg-info&gt;&lt;/api-prm&gt;&lt;/api-response&gt;</t>
  </si>
  <si>
    <t>2017/09/25 16:25:14.533 I 21348 AUE31814 RegDiffIndustriesApplServlet 00002I:Service End</t>
  </si>
  <si>
    <t>BSS1=# select * from D_APPL_DIFF_INDUSTRY_INFO where carrier_cd='17110' and shouhin_cd='171107';</t>
  </si>
  <si>
    <t>different_appl_mng_no | 22</t>
  </si>
  <si>
    <t>introduction_no       | IG0000022</t>
  </si>
  <si>
    <t>shouhin_cd            | 171107</t>
  </si>
  <si>
    <t>rec_entry_dtime       | 25-SEP-17 16:25:14.523</t>
  </si>
  <si>
    <t>rec_update_dtime      | 25-SEP-17 16:25:14.523</t>
  </si>
  <si>
    <t>remarks_9             | (null)</t>
  </si>
  <si>
    <t>2017/09/25 16:26:42.014 I 21345          RegDiffIndustriesApplServlet 00001I:Service Start</t>
  </si>
  <si>
    <t>2017/09/25 16:26:42.014 D 21345          RegDiffIndustriesApplServlet :▽▽parse▽▽</t>
  </si>
  <si>
    <t>2017/09/25 16:26:42.014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171108&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</si>
  <si>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16:26:42.024 D 21345          RegDiffIndustriesApplServlet :△△parse△△[10ミリ秒]</t>
  </si>
  <si>
    <t>2017/09/25 16:26:42.024 D 21345 AUE31814 DBCacheUtil 00104D:Trace:groupId=BASE_SERVICE_TIME;keyword=CHECK_FLG;value=0</t>
  </si>
  <si>
    <t>2017/09/25 16:26:42.024 D 21345 AUE31814 RegDiffIndustriesApplServlet :▽▽validate▽▽</t>
  </si>
  <si>
    <t>2017/09/25 16:26:42.024 I 21345 AUE31814 RegDiffIndustriesApplServlet 01001I:Parameter Error</t>
  </si>
  <si>
    <t>2017/09/25 16:26:42.024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</si>
  <si>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16:26:42.024 I 21345 AUE31814 RegDiffIndustriesApplServlet 00002I:Service End</t>
  </si>
  <si>
    <t>2017/09/25 16:27:36.025 I 21348          RegDiffIndustriesApplServlet 00001I:Service Start</t>
  </si>
  <si>
    <t>2017/09/25 16:27:36.025 D 21348          RegDiffIndustriesApplServlet :▽▽parse▽▽</t>
  </si>
  <si>
    <t>2017/09/25 16:27:36.025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171109&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0123456789012345678901234567890123456789012345678901234567890123456789012345678901234567890123456789012345678901234567890123456789012345678901234567890123456789012345678901234567890&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</si>
  <si>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16:27:36.025 D 21348          RegDiffIndustriesApplServlet :△△parse△△[0ミリ秒]</t>
  </si>
  <si>
    <t>2017/09/25 16:27:36.025 D 21348 AUE31814 DBCacheUtil 00104D:Trace:groupId=BASE_SERVICE_TIME;keyword=CHECK_FLG;value=0</t>
  </si>
  <si>
    <t>2017/09/25 16:27:36.025 D 21348 AUE31814 RegDiffIndustriesApplServlet :▽▽validate▽▽</t>
  </si>
  <si>
    <t>2017/09/25 16:27:36.025 I 21348 AUE31814 RegDiffIndustriesApplServlet 01001I:Parameter Error</t>
  </si>
  <si>
    <t>2017/09/25 16:27:36.035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</si>
  <si>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16:27:36.035 I 21348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</si>
  <si>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23&lt;/different-appl-mng-no&gt;&lt;introduction-no&gt;IG0000023&lt;/introduction-no&gt;&lt;/reg-info&gt;&lt;/api-prm&gt;&lt;/api-response&gt;</t>
  </si>
  <si>
    <t>2017/09/25 16:28:24.460 I 21345          RegDiffIndustriesApplServlet 00001I:Service Start</t>
  </si>
  <si>
    <t>2017/09/25 16:28:24.460 D 21345          RegDiffIndustriesApplServlet :▽▽parse▽▽</t>
  </si>
  <si>
    <t>2017/09/25 16:28:24.470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171110&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</si>
  <si>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16:28:24.470 D 21345          RegDiffIndustriesApplServlet :△△parse△△[10ミリ秒]</t>
  </si>
  <si>
    <t>2017/09/25 16:28:24.470 D 21345 AUE31814 DBCacheUtil 00104D:Trace:groupId=BASE_SERVICE_TIME;keyword=CHECK_FLG;value=0</t>
  </si>
  <si>
    <t>2017/09/25 16:28:24.470 D 21345 AUE31814 RegDiffIndustriesApplServlet :▽▽validate▽▽</t>
  </si>
  <si>
    <t>2017/09/25 16:28:24.470 D 21345 AUE31814 RegDiffIndustriesApplServlet :△△validate△△[0ミリ秒]</t>
  </si>
  <si>
    <t>2017/09/25 16:28:24.470 D 21345 AUE31814 DBCacheUtil 00104D:Trace:groupId=API_VERSION;keyword=/fmc-on/bbc-appl-api/diffindustappl/reg_diff_industries_appl;value=10</t>
  </si>
  <si>
    <t>2017/09/25 16:28:24.470 D 21345 AUE31814 RegDiffIndustriesApplServlet :▽▽業務ロジック▽▽</t>
  </si>
  <si>
    <t>2017/09/25 16:28:24.470 D 21345 AUE31814 RegDiffIndustriesApplBL 00104D:Trace:[setSequenceDao開始]</t>
  </si>
  <si>
    <t>2017/09/25 16:28:24.470 D 21345 AUE31814 RegDiffIndustriesApplBL 00104D:Trace:[setSequenceDao終了]</t>
  </si>
  <si>
    <t>2017/09/25 16:28:24.470 D 21345 AUE31814 RegDiffIndustriesApplBL 00104D:Trace:[setdApplDiffIndustryInfoApplDao開始]</t>
  </si>
  <si>
    <t>2017/09/25 16:28:24.470 D 21345 AUE31814 RegDiffIndustriesApplBL 00104D:Trace:[setdApplDiffIndustryInfoApplDao終了]</t>
  </si>
  <si>
    <t>2017/09/25 16:28:24.470 D 21345 AUE31814 RegDiffIndustriesApplBL 00104D:Trace:[execute開始]</t>
  </si>
  <si>
    <t>2017/09/25 16:28:24.470 D 21345 AUE31814 RegDiffIndustriesApplBL 00104D:Trace:[traceRequest開始]</t>
  </si>
  <si>
    <t>2017/09/25 16:28:24.470 D 21345 AUE31814 RegDiffIndustriesApplBL 00104D:Trace:au代理店コード：E845001</t>
  </si>
  <si>
    <t>2017/09/25 16:28:24.470 D 21345 AUE31814 RegDiffIndustriesApplBL 00104D:Trace: 申込押下ボタン：8</t>
  </si>
  <si>
    <t>2017/09/25 16:28:24.470 D 21345 AUE31814 RegDiffIndustriesApplBL 00104D:Trace: 店名：Ｅ８４５００１</t>
  </si>
  <si>
    <t>2017/09/25 16:28:24.470 D 21345 AUE31814 RegDiffIndustriesApplBL 00104D:Trace: 担当者名：ＯＲＡＮＧＥ担当者</t>
  </si>
  <si>
    <t>2017/09/25 16:28:24.470 D 21345 AUE31814 RegDiffIndustriesApplBL 00104D:Trace: 担当者名(名)：null</t>
  </si>
  <si>
    <t>2017/09/25 16:28:24.470 D 21345 AUE31814 RegDiffIndustriesApplBL 00104D:Trace: 電話番号：null</t>
  </si>
  <si>
    <t>2017/09/25 16:28:24.470 D 21345 AUE31814 RegDiffIndustriesApplBL 00104D:Trace: 申込年月日：20170920</t>
  </si>
  <si>
    <t>2017/09/25 16:28:24.470 D 21345 AUE31814 RegDiffIndustriesApplBL 00104D:Trace: 申込時刻：123456</t>
  </si>
  <si>
    <t>2017/09/25 16:28:24.470 D 21345 AUE31814 RegDiffIndustriesApplBL 00104D:Trace: 事業者コード：17110</t>
  </si>
  <si>
    <t>2017/09/25 16:28:24.470 D 21345 AUE31814 RegDiffIndustriesApplBL 00104D:Trace: 商品コード：171110</t>
  </si>
  <si>
    <t>2017/09/25 16:28:24.470 D 21345 AUE31814 RegDiffIndustriesApplBL 00104D:Trace: 漢字：ＦＭＣ試験　太郎</t>
  </si>
  <si>
    <t>2017/09/25 16:28:24.470 D 21345 AUE31814 RegDiffIndustriesApplBL 00104D:Trace: カナ：ＦＭＣシケン　タロウ</t>
  </si>
  <si>
    <t>2017/09/25 16:28:24.470 D 21345 AUE31814 RegDiffIndustriesApplBL 00104D:Trace: 自宅・勤務先電話番号：0312345678</t>
  </si>
  <si>
    <t>2017/09/25 16:28:24.470 D 21345 AUE31814 RegDiffIndustriesApplBL 00104D:Trace: 携帯電話番号：null</t>
  </si>
  <si>
    <t>2017/09/25 16:28:24.470 D 21345 AUE31814 RegDiffIndustriesApplBL 00104D:Trace: 郵便番号：1080035</t>
  </si>
  <si>
    <t>2017/09/25 16:28:24.470 D 21345 AUE31814 RegDiffIndustriesApplBL 00104D:Trace: 住所：東京都港区白金１丁目</t>
  </si>
  <si>
    <t>2017/09/25 16:28:24.470 D 21345 AUE31814 RegDiffIndustriesApplBL 00104D:Trace: 住居区分：0</t>
  </si>
  <si>
    <t>2017/09/25 16:28:24.470 D 21345 AUE31814 RegDiffIndustriesApplBL 00104D:Trace: 所有区分：1</t>
  </si>
  <si>
    <t>2017/09/25 16:28:24.470 D 21345 AUE31814 RegDiffIndustriesApplBL 00104D:Trace: 連絡希望曜日：0</t>
  </si>
  <si>
    <t>2017/09/25 16:28:24.470 D 21345 AUE31814 RegDiffIndustriesApplBL 00104D:Trace: 連絡希望時間帯：1</t>
  </si>
  <si>
    <t>2017/09/25 16:28:24.470 D 21345 AUE31814 RegDiffIndustriesApplBL 00104D:Trace: お客様ID：null</t>
  </si>
  <si>
    <t>2017/09/25 16:28:24.470 D 21345 AUE31814 RegDiffIndustriesApplBL 00104D:Trace: 備考1：備考1</t>
  </si>
  <si>
    <t>2017/09/25 16:28:24.470 D 21345 AUE31814 RegDiffIndustriesApplBL 00104D:Trace: 備考2：備考2</t>
  </si>
  <si>
    <t>2017/09/25 16:28:24.470 D 21345 AUE31814 RegDiffIndustriesApplBL 00104D:Trace: 備考3：備考3</t>
  </si>
  <si>
    <t>2017/09/25 16:28:24.470 D 21345 AUE31814 RegDiffIndustriesApplBL 00104D:Trace: 備考4：備考4</t>
  </si>
  <si>
    <t>2017/09/25 16:28:24.470 D 21345 AUE31814 RegDiffIndustriesApplBL 00104D:Trace: 備考5：備考5</t>
  </si>
  <si>
    <t>2017/09/25 16:28:24.470 D 21345 AUE31814 RegDiffIndustriesApplBL 00104D:Trace: 備考6：備考6</t>
  </si>
  <si>
    <t>2017/09/25 16:28:24.470 D 21345 AUE31814 RegDiffIndustriesApplBL 00104D:Trace: 備考7：備考7</t>
  </si>
  <si>
    <t>2017/09/25 16:28:24.470 D 21345 AUE31814 RegDiffIndustriesApplBL 00104D:Trace: 備考8：備考8</t>
  </si>
  <si>
    <t>2017/09/25 16:28:24.470 D 21345 AUE31814 RegDiffIndustriesApplBL 00104D:Trace: 備考9：備考9</t>
  </si>
  <si>
    <t>2017/09/25 16:28:24.470 D 21345 AUE31814 RegDiffIndustriesApplBL 00104D:Trace: 備考10：null</t>
  </si>
  <si>
    <t>2017/09/25 16:28:24.470 D 21345 AUE31814 RegDiffIndustriesApplBL 00104D:Trace: 備考11：備考11</t>
  </si>
  <si>
    <t>2017/09/25 16:28:24.470 D 21345 AUE31814 RegDiffIndustriesApplBL 00104D:Trace: 備考12：備考12</t>
  </si>
  <si>
    <t>2017/09/25 16:28:24.470 D 21345 AUE31814 RegDiffIndustriesApplBL 00104D:Trace: 備考13：備考13</t>
  </si>
  <si>
    <t>2017/09/25 16:28:24.470 D 21345 AUE31814 RegDiffIndustriesApplBL 00104D:Trace: 備考14：備考14</t>
  </si>
  <si>
    <t>2017/09/25 16:28:24.470 D 21345 AUE31814 RegDiffIndustriesApplBL 00104D:Trace: 備考15：備考15</t>
  </si>
  <si>
    <t>2017/09/25 16:28:24.470 D 21345 AUE31814 RegDiffIndustriesApplBL 00104D:Trace: 備考16：備考16</t>
  </si>
  <si>
    <t>2017/09/25 16:28:24.470 D 21345 AUE31814 RegDiffIndustriesApplBL 00104D:Trace: 備考17：備考17</t>
  </si>
  <si>
    <t>2017/09/25 16:28:24.470 D 21345 AUE31814 RegDiffIndustriesApplBL 00104D:Trace: 備考18：備考18</t>
  </si>
  <si>
    <t>2017/09/25 16:28:24.470 D 21345 AUE31814 RegDiffIndustriesApplBL 00104D:Trace: 備考19：備考19</t>
  </si>
  <si>
    <t>2017/09/25 16:28:24.470 D 21345 AUE31814 RegDiffIndustriesApplBL 00104D:Trace: 備考20：備考20</t>
  </si>
  <si>
    <t>2017/09/25 16:28:24.470 D 21345 AUE31814 RegDiffIndustriesApplBL 00104D:Trace: 特記：特記欄００１</t>
  </si>
  <si>
    <t>2017/09/25 16:28:24.470 D 21345 AUE31814 RegDiffIndustriesApplBL 00104D:Trace: au加入者コード:A1701001</t>
  </si>
  <si>
    <t>2017/09/25 16:28:24.470 D 21345 AUE31814 RegDiffIndustriesApplBL 00104D:Trace: 基本契約番号:null</t>
  </si>
  <si>
    <t>2017/09/25 16:28:24.470 I 21345 AUE31814 RegDiffIndustriesApplBL 00105I:Trace:&lt;CI&gt; 顧客区分：1</t>
  </si>
  <si>
    <t>2017/09/25 16:28:24.470 D 21345 AUE31814 RegDiffIndustriesApplBL 00104D:Trace:[traceRequest終了]</t>
  </si>
  <si>
    <t>2017/09/25 16:28:24.470 D 21345 AUE31814 RegDiffIndustriesApplBL 00104D:Trace:[checkByte開始]</t>
  </si>
  <si>
    <t>2017/09/25 16:28:24.480 I 21345 AUE31814 RegDiffIndustriesApplBL 00105I:Trace:&lt;CI&gt;errByteMessage.size =「0」</t>
  </si>
  <si>
    <t>2017/09/25 16:28:24.480 D 21345 AUE31814 RegDiffIndustriesApplBL 00104D:Trace:[checkByte終了]</t>
  </si>
  <si>
    <t>2017/09/25 16:28:24.480 D 21345 AUE31814 RegDiffIndustriesApplBL 00104D:Trace:[getDiffIndustryApplMngNo開始]</t>
  </si>
  <si>
    <t>2017/09/25 16:28:24.490 I 21345 AUE31814 RegDiffIndustriesApplBL 00101I:SQL:&lt;CI&gt;SELECT SQ_DIFF_INDUSTRY_APPL_MNG_NO.NEXTVAL FROM DUAL</t>
  </si>
  <si>
    <t>2017/09/25 16:28:24.490 D 21345 AUE31814 RegDiffIndustriesApplBL 00104D:Trace:異業種商材申込管理番号：23</t>
  </si>
  <si>
    <t>2017/09/25 16:28:24.490 D 21345 AUE31814 RegDiffIndustriesApplBL 00104D:Trace:[getDiffIndustryApplMngNo終了]</t>
  </si>
  <si>
    <t>2017/09/25 16:28:24.490 D 21345 AUE31814 RegDiffIndustriesApplBL 00104D:Trace:[getDiffIndustryIntroductionNo開始]</t>
  </si>
  <si>
    <t>2017/09/25 16:28:24.490 D 21345 AUE31814 RegDiffIndustriesApplBL 00104D:Trace:++プロパティファイルより取得した紹介票管理番号取得リトライ回数：4</t>
  </si>
  <si>
    <t>2017/09/25 16:28:24.490 D 21345 AUE31814 RegDiffIndustriesApplBL 00104D:Trace:[getSqDiffIndustryIntroductionNo開始]</t>
  </si>
  <si>
    <t>2017/09/25 16:28:24.500 I 21345 AUE31814 RegDiffIndustriesApplBL 00101I:SQL:&lt;CI&gt;SELECT SQ_DIFF_INDUSTRY_INTRODUCTION_NO.NEXTVAL FROM DUAL</t>
  </si>
  <si>
    <t>2017/09/25 16:28:24.500 D 21345 AUE31814 RegDiffIndustriesApplBL 00104D:Trace:[getSqDiffIndustryIntroductionNo終了]</t>
  </si>
  <si>
    <t>2017/09/25 16:28:24.500 D 21345 AUE31814 RegDiffIndustriesApplBL 00104D:Trace:[chkDiffIndustryIntroductionNo開始]</t>
  </si>
  <si>
    <t>2017/09/25 16:28:24.510 I 21345 AUE31814 RegDiffIndustriesApplBL 00101I:SQL:&lt;CI&gt;SELECT     count(*) FROM     D_APPL_DIFF_INDUSTRY_INFO d WHERE     d.INTRODUCTION_NO = 'IG0000023'  AND     d.BATCH_FILE_IN_STS in ('0','1')</t>
  </si>
  <si>
    <t>2017/09/25 16:28:24.510 D 21345 AUE31814 RegDiffIndustriesApplBL 00104D:Trace:[chkDiffIndustryIntroductionNo終了]</t>
  </si>
  <si>
    <t>2017/09/25 16:28:24.510 D 21345 AUE31814 RegDiffIndustriesApplBL 00104D:Trace:++紹介票管理番号を取得して完了。</t>
  </si>
  <si>
    <t>2017/09/25 16:28:24.510 D 21345 AUE31814 RegDiffIndustriesApplBL 00104D:Trace:紹介票管理番号：IG0000023</t>
  </si>
  <si>
    <t>2017/09/25 16:28:24.510 D 21345 AUE31814 RegDiffIndustriesApplBL 00104D:Trace:[getDiffIndustryIntroductionNo終了]</t>
  </si>
  <si>
    <t>2017/09/25 16:28:24.510 D 21345 AUE31814 RegDiffIndustriesApplBL 00104D:Trace:[insertDiffIndustryInfo開始]</t>
  </si>
  <si>
    <t>2017/09/25 16:28:24.510 D 21345 AUE31814 RegDiffIndustriesApplBL 00104D:Trace:[insertDiffIndustryInfo終了]</t>
  </si>
  <si>
    <t>2017/09/25 16:28:24.530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remarks_11, remarks_12, remarks_13, remarks_14, remarks_15, remarks_16, remarks_17, remarks_18, remarks_19, remarks_20) VALUES (23, 'ＯＲＡＮＧＥ担当者', 'A1701001', '0', '123456', '特記欄００１', '1', 'ＦＭＣ試験　太郎', 'ＦＭＣシケン　タロウ', '1080035', '東京都港区白金１丁目', 602, '20170920', 'AUE31814', '8', 'E845001', 'Ｅ８４５００１', '0', '2017-09-25', 'AUE31814', '2017-09-25', 'AUE31814', 'IG0000023', '0', '1', '0312345678', '備考1', '備考2', '備考3', '備考4', '備考5', '備考6', '1', '17110', '171110', '備考7', '備考8', '備考9', '備考11', '備考12', '備考13', '備考14', '備考15', '備考16', '備考17', '備考18', '備考19', '備考20')</t>
  </si>
  <si>
    <t>2017/09/25 16:28:24.530 D 21345 AUE31814 RegDiffIndustriesApplBL 00104D:Trace:[setResponseObjectChkPass開始]</t>
  </si>
  <si>
    <t>2017/09/25 16:28:24.530 D 21345 AUE31814 RegDiffIndustriesApplBL 00104D:Trace:[setResponseObjectChkPass終了]</t>
  </si>
  <si>
    <t>2017/09/25 16:28:24.530 D 21345 AUE31814 RegDiffIndustriesApplBL 00104D:Trace:[traceResponse開始]</t>
  </si>
  <si>
    <t>2017/09/25 16:28:24.530 D 21345 AUE31814 RegDiffIndustriesApplBL 00104D:Trace:個別結果コード0000</t>
  </si>
  <si>
    <t>2017/09/25 16:28:24.530 D 21345 AUE31814 RegDiffIndustriesApplBL 00104D:Trace:異業種申込管理番号23</t>
  </si>
  <si>
    <t>2017/09/25 16:28:24.530 D 21345 AUE31814 RegDiffIndustriesApplBL 00104D:Trace:紹介票管理番号IG0000023</t>
  </si>
  <si>
    <t>2017/09/25 16:28:24.530 D 21345 AUE31814 RegDiffIndustriesApplBL 00104D:Trace:[traceResponse終了]</t>
  </si>
  <si>
    <t>2017/09/25 16:28:24.530 D 21345 AUE31814 RegDiffIndustriesApplBL 00104D:Trace:[execute終了]</t>
  </si>
  <si>
    <t>2017/09/25 16:28:24.530 D 21345 AUE31814 RegDiffIndustriesApplServlet :△△業務ロジック△△[60ミリ秒]</t>
  </si>
  <si>
    <t>2017/09/25 16:28:24.530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23&lt;/different-appl-mng-no&gt;&lt;introduction-no&gt;IG0000023&lt;/introduction-no&gt;&lt;/reg-info&gt;&lt;/api-prm&gt;&lt;/api-response&gt;</t>
  </si>
  <si>
    <t>2017/09/25 16:28:24.530 I 21345 AUE31814 RegDiffIndustriesApplServlet 00002I:Service End</t>
  </si>
  <si>
    <t>BSS1=# select * from D_APPL_DIFF_INDUSTRY_INFO where carrier_cd='17110' and shouhin_cd='171110';</t>
  </si>
  <si>
    <t>different_appl_mng_no | 23</t>
  </si>
  <si>
    <t>introduction_no       | IG0000023</t>
  </si>
  <si>
    <t>shouhin_cd            | 171110</t>
  </si>
  <si>
    <t>rec_entry_dtime       | 25-SEP-17 16:28:24.51</t>
  </si>
  <si>
    <t>rec_update_dtime      | 25-SEP-17 16:28:24.51</t>
  </si>
  <si>
    <t>remarks_10            | (null)</t>
  </si>
  <si>
    <t>2017/09/25 16:29:47.382 I 21347          RegDiffIndustriesApplServlet 00001I:Service Start</t>
  </si>
  <si>
    <t>2017/09/25 16:29:47.382 D 21347          RegDiffIndustriesApplServlet :▽▽parse▽▽</t>
  </si>
  <si>
    <t>2017/09/25 16:29:47.382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171111&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</si>
  <si>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16:29:47.382 D 21347          RegDiffIndustriesApplServlet :△△parse△△[0ミリ秒]</t>
  </si>
  <si>
    <t>2017/09/25 16:29:47.382 D 21347 AUE31814 DBCacheUtil 00104D:Trace:groupId=BASE_SERVICE_TIME;keyword=CHECK_FLG;value=0</t>
  </si>
  <si>
    <t>2017/09/25 16:29:47.382 D 21347 AUE31814 RegDiffIndustriesApplServlet :▽▽validate▽▽</t>
  </si>
  <si>
    <t>2017/09/25 16:29:47.382 I 21347 AUE31814 RegDiffIndustriesApplServlet 01001I:Parameter Error</t>
  </si>
  <si>
    <t>2017/09/25 16:29:47.382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</si>
  <si>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16:29:47.382 I 21347 AUE31814 RegDiffIndustriesApplServlet 00002I:Service End</t>
  </si>
  <si>
    <t>2017/09/25 16:32:04.035 I 21345          RegDiffIndustriesApplServlet 00001I:Service Start</t>
  </si>
  <si>
    <t>2017/09/25 16:32:04.035 D 21345          RegDiffIndustriesApplServlet :▽▽parse▽▽</t>
  </si>
  <si>
    <t>2017/09/25 16:32:04.035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171112&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0123456789012345678901234567890123456789012345678901234567890123456789012345678901234567890123456789012345678901234567890123456789012345678901234567890123456789012345678901234567890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</si>
  <si>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16:32:04.035 D 21345          RegDiffIndustriesApplServlet :△△parse△△[0ミリ秒]</t>
  </si>
  <si>
    <t>2017/09/25 16:32:04.035 D 21345 AUE31814 DBCacheUtil 00104D:Trace:groupId=BASE_SERVICE_TIME;keyword=CHECK_FLG;value=0</t>
  </si>
  <si>
    <t>2017/09/25 16:32:04.035 D 21345 AUE31814 RegDiffIndustriesApplServlet :▽▽validate▽▽</t>
  </si>
  <si>
    <t>2017/09/25 16:32:04.045 I 21345 AUE31814 RegDiffIndustriesApplServlet 01001I:Parameter Error</t>
  </si>
  <si>
    <t>2017/09/25 16:32:04.045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</si>
  <si>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16:32:04.045 I 21345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</si>
  <si>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24&lt;/different-appl-mng-no&gt;&lt;introduction-no&gt;IG0000024&lt;/introduction-no&gt;&lt;/reg-info&gt;&lt;/api-prm&gt;&lt;/api-response&gt;</t>
  </si>
  <si>
    <t>2017/09/25 16:33:18.036 I 21347          RegDiffIndustriesApplServlet 00001I:Service Start</t>
  </si>
  <si>
    <t>2017/09/25 16:33:18.036 D 21347          RegDiffIndustriesApplServlet :▽▽parse▽▽</t>
  </si>
  <si>
    <t>2017/09/25 16:33:18.036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171113&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</si>
  <si>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16:33:18.036 D 21347          RegDiffIndustriesApplServlet :△△parse△△[0ミリ秒]</t>
  </si>
  <si>
    <t>2017/09/25 16:33:18.036 D 21347 AUE31814 DBCacheUtil 00104D:Trace:groupId=BASE_SERVICE_TIME;keyword=CHECK_FLG;value=0</t>
  </si>
  <si>
    <t>2017/09/25 16:33:18.036 D 21347 AUE31814 RegDiffIndustriesApplServlet :▽▽validate▽▽</t>
  </si>
  <si>
    <t>2017/09/25 16:33:18.036 D 21347 AUE31814 RegDiffIndustriesApplServlet :△△validate△△[0ミリ秒]</t>
  </si>
  <si>
    <t>2017/09/25 16:33:18.036 D 21347 AUE31814 DBCacheUtil 00104D:Trace:groupId=API_VERSION;keyword=/fmc-on/bbc-appl-api/diffindustappl/reg_diff_industries_appl;value=10</t>
  </si>
  <si>
    <t>2017/09/25 16:33:18.036 D 21347 AUE31814 RegDiffIndustriesApplServlet :▽▽業務ロジック▽▽</t>
  </si>
  <si>
    <t>2017/09/25 16:33:18.036 D 21347 AUE31814 RegDiffIndustriesApplBL 00104D:Trace:[setSequenceDao開始]</t>
  </si>
  <si>
    <t>2017/09/25 16:33:18.036 D 21347 AUE31814 RegDiffIndustriesApplBL 00104D:Trace:[setSequenceDao終了]</t>
  </si>
  <si>
    <t>2017/09/25 16:33:18.036 D 21347 AUE31814 RegDiffIndustriesApplBL 00104D:Trace:[setdApplDiffIndustryInfoApplDao開始]</t>
  </si>
  <si>
    <t>2017/09/25 16:33:18.036 D 21347 AUE31814 RegDiffIndustriesApplBL 00104D:Trace:[setdApplDiffIndustryInfoApplDao終了]</t>
  </si>
  <si>
    <t>2017/09/25 16:33:18.036 D 21347 AUE31814 RegDiffIndustriesApplBL 00104D:Trace:[execute開始]</t>
  </si>
  <si>
    <t>2017/09/25 16:33:18.036 D 21347 AUE31814 RegDiffIndustriesApplBL 00104D:Trace:[traceRequest開始]</t>
  </si>
  <si>
    <t>2017/09/25 16:33:18.036 D 21347 AUE31814 RegDiffIndustriesApplBL 00104D:Trace:au代理店コード：E845001</t>
  </si>
  <si>
    <t>2017/09/25 16:33:18.036 D 21347 AUE31814 RegDiffIndustriesApplBL 00104D:Trace: 申込押下ボタン：8</t>
  </si>
  <si>
    <t>2017/09/25 16:33:18.036 D 21347 AUE31814 RegDiffIndustriesApplBL 00104D:Trace: 店名：Ｅ８４５００１</t>
  </si>
  <si>
    <t>2017/09/25 16:33:18.036 D 21347 AUE31814 RegDiffIndustriesApplBL 00104D:Trace: 担当者名：ＯＲＡＮＧＥ担当者</t>
  </si>
  <si>
    <t>2017/09/25 16:33:18.036 D 21347 AUE31814 RegDiffIndustriesApplBL 00104D:Trace: 担当者名(名)：null</t>
  </si>
  <si>
    <t>2017/09/25 16:33:18.036 D 21347 AUE31814 RegDiffIndustriesApplBL 00104D:Trace: 電話番号：null</t>
  </si>
  <si>
    <t>2017/09/25 16:33:18.036 D 21347 AUE31814 RegDiffIndustriesApplBL 00104D:Trace: 申込年月日：20170920</t>
  </si>
  <si>
    <t>2017/09/25 16:33:18.036 D 21347 AUE31814 RegDiffIndustriesApplBL 00104D:Trace: 申込時刻：123456</t>
  </si>
  <si>
    <t>2017/09/25 16:33:18.036 D 21347 AUE31814 RegDiffIndustriesApplBL 00104D:Trace: 事業者コード：17110</t>
  </si>
  <si>
    <t>2017/09/25 16:33:18.036 D 21347 AUE31814 RegDiffIndustriesApplBL 00104D:Trace: 商品コード：171113</t>
  </si>
  <si>
    <t>2017/09/25 16:33:18.036 D 21347 AUE31814 RegDiffIndustriesApplBL 00104D:Trace: 漢字：ＦＭＣ試験　太郎</t>
  </si>
  <si>
    <t>2017/09/25 16:33:18.036 D 21347 AUE31814 RegDiffIndustriesApplBL 00104D:Trace: カナ：ＦＭＣシケン　タロウ</t>
  </si>
  <si>
    <t>2017/09/25 16:33:18.036 D 21347 AUE31814 RegDiffIndustriesApplBL 00104D:Trace: 自宅・勤務先電話番号：0312345678</t>
  </si>
  <si>
    <t>2017/09/25 16:33:18.036 D 21347 AUE31814 RegDiffIndustriesApplBL 00104D:Trace: 携帯電話番号：null</t>
  </si>
  <si>
    <t>2017/09/25 16:33:18.036 D 21347 AUE31814 RegDiffIndustriesApplBL 00104D:Trace: 郵便番号：1080035</t>
  </si>
  <si>
    <t>2017/09/25 16:33:18.036 D 21347 AUE31814 RegDiffIndustriesApplBL 00104D:Trace: 住所：東京都港区白金１丁目</t>
  </si>
  <si>
    <t>2017/09/25 16:33:18.046 D 21347 AUE31814 RegDiffIndustriesApplBL 00104D:Trace: 住居区分：0</t>
  </si>
  <si>
    <t>2017/09/25 16:33:18.046 D 21347 AUE31814 RegDiffIndustriesApplBL 00104D:Trace: 所有区分：1</t>
  </si>
  <si>
    <t>2017/09/25 16:33:18.046 D 21347 AUE31814 RegDiffIndustriesApplBL 00104D:Trace: 連絡希望曜日：0</t>
  </si>
  <si>
    <t>2017/09/25 16:33:18.046 D 21347 AUE31814 RegDiffIndustriesApplBL 00104D:Trace: 連絡希望時間帯：1</t>
  </si>
  <si>
    <t>2017/09/25 16:33:18.046 D 21347 AUE31814 RegDiffIndustriesApplBL 00104D:Trace: お客様ID：null</t>
  </si>
  <si>
    <t>2017/09/25 16:33:18.046 D 21347 AUE31814 RegDiffIndustriesApplBL 00104D:Trace: 備考1：備考1</t>
  </si>
  <si>
    <t>2017/09/25 16:33:18.046 D 21347 AUE31814 RegDiffIndustriesApplBL 00104D:Trace: 備考2：備考2</t>
  </si>
  <si>
    <t>2017/09/25 16:33:18.046 D 21347 AUE31814 RegDiffIndustriesApplBL 00104D:Trace: 備考3：備考3</t>
  </si>
  <si>
    <t>2017/09/25 16:33:18.046 D 21347 AUE31814 RegDiffIndustriesApplBL 00104D:Trace: 備考4：備考4</t>
  </si>
  <si>
    <t>2017/09/25 16:33:18.046 D 21347 AUE31814 RegDiffIndustriesApplBL 00104D:Trace: 備考5：備考5</t>
  </si>
  <si>
    <t>2017/09/25 16:33:18.046 D 21347 AUE31814 RegDiffIndustriesApplBL 00104D:Trace: 備考6：備考6</t>
  </si>
  <si>
    <t>2017/09/25 16:33:18.046 D 21347 AUE31814 RegDiffIndustriesApplBL 00104D:Trace: 備考7：備考7</t>
  </si>
  <si>
    <t>2017/09/25 16:33:18.046 D 21347 AUE31814 RegDiffIndustriesApplBL 00104D:Trace: 備考8：備考8</t>
  </si>
  <si>
    <t>2017/09/25 16:33:18.046 D 21347 AUE31814 RegDiffIndustriesApplBL 00104D:Trace: 備考9：備考9</t>
  </si>
  <si>
    <t>2017/09/25 16:33:18.046 D 21347 AUE31814 RegDiffIndustriesApplBL 00104D:Trace: 備考10：備考10</t>
  </si>
  <si>
    <t>2017/09/25 16:33:18.046 D 21347 AUE31814 RegDiffIndustriesApplBL 00104D:Trace: 備考11：null</t>
  </si>
  <si>
    <t>2017/09/25 16:33:18.046 D 21347 AUE31814 RegDiffIndustriesApplBL 00104D:Trace: 備考12：備考12</t>
  </si>
  <si>
    <t>2017/09/25 16:33:18.046 D 21347 AUE31814 RegDiffIndustriesApplBL 00104D:Trace: 備考13：備考13</t>
  </si>
  <si>
    <t>2017/09/25 16:33:18.046 D 21347 AUE31814 RegDiffIndustriesApplBL 00104D:Trace: 備考14：備考14</t>
  </si>
  <si>
    <t>2017/09/25 16:33:18.046 D 21347 AUE31814 RegDiffIndustriesApplBL 00104D:Trace: 備考15：備考15</t>
  </si>
  <si>
    <t>2017/09/25 16:33:18.046 D 21347 AUE31814 RegDiffIndustriesApplBL 00104D:Trace: 備考16：備考16</t>
  </si>
  <si>
    <t>2017/09/25 16:33:18.046 D 21347 AUE31814 RegDiffIndustriesApplBL 00104D:Trace: 備考17：備考17</t>
  </si>
  <si>
    <t>2017/09/25 16:33:18.046 D 21347 AUE31814 RegDiffIndustriesApplBL 00104D:Trace: 備考18：備考18</t>
  </si>
  <si>
    <t>2017/09/25 16:33:18.046 D 21347 AUE31814 RegDiffIndustriesApplBL 00104D:Trace: 備考19：備考19</t>
  </si>
  <si>
    <t>2017/09/25 16:33:18.046 D 21347 AUE31814 RegDiffIndustriesApplBL 00104D:Trace: 備考20：備考20</t>
  </si>
  <si>
    <t>2017/09/25 16:33:18.046 D 21347 AUE31814 RegDiffIndustriesApplBL 00104D:Trace: 特記：特記欄００１</t>
  </si>
  <si>
    <t>2017/09/25 16:33:18.046 D 21347 AUE31814 RegDiffIndustriesApplBL 00104D:Trace: au加入者コード:A1701001</t>
  </si>
  <si>
    <t>2017/09/25 16:33:18.046 D 21347 AUE31814 RegDiffIndustriesApplBL 00104D:Trace: 基本契約番号:null</t>
  </si>
  <si>
    <t>2017/09/25 16:33:18.046 I 21347 AUE31814 RegDiffIndustriesApplBL 00105I:Trace:&lt;CI&gt; 顧客区分：1</t>
  </si>
  <si>
    <t>2017/09/25 16:33:18.046 D 21347 AUE31814 RegDiffIndustriesApplBL 00104D:Trace:[traceRequest終了]</t>
  </si>
  <si>
    <t>2017/09/25 16:33:18.046 D 21347 AUE31814 RegDiffIndustriesApplBL 00104D:Trace:[checkByte開始]</t>
  </si>
  <si>
    <t>2017/09/25 16:33:18.046 I 21347 AUE31814 RegDiffIndustriesApplBL 00105I:Trace:&lt;CI&gt;errByteMessage.size =「0」</t>
  </si>
  <si>
    <t>2017/09/25 16:33:18.046 D 21347 AUE31814 RegDiffIndustriesApplBL 00104D:Trace:[checkByte終了]</t>
  </si>
  <si>
    <t>2017/09/25 16:33:18.046 D 21347 AUE31814 RegDiffIndustriesApplBL 00104D:Trace:[getDiffIndustryApplMngNo開始]</t>
  </si>
  <si>
    <t>2017/09/25 16:33:18.056 I 21347 AUE31814 RegDiffIndustriesApplBL 00101I:SQL:&lt;CI&gt;SELECT SQ_DIFF_INDUSTRY_APPL_MNG_NO.NEXTVAL FROM DUAL</t>
  </si>
  <si>
    <t>2017/09/25 16:33:18.056 D 21347 AUE31814 RegDiffIndustriesApplBL 00104D:Trace:異業種商材申込管理番号：24</t>
  </si>
  <si>
    <t>2017/09/25 16:33:18.056 D 21347 AUE31814 RegDiffIndustriesApplBL 00104D:Trace:[getDiffIndustryApplMngNo終了]</t>
  </si>
  <si>
    <t>2017/09/25 16:33:18.056 D 21347 AUE31814 RegDiffIndustriesApplBL 00104D:Trace:[getDiffIndustryIntroductionNo開始]</t>
  </si>
  <si>
    <t>2017/09/25 16:33:18.056 D 21347 AUE31814 RegDiffIndustriesApplBL 00104D:Trace:++プロパティファイルより取得した紹介票管理番号取得リトライ回数：4</t>
  </si>
  <si>
    <t>2017/09/25 16:33:18.056 D 21347 AUE31814 RegDiffIndustriesApplBL 00104D:Trace:[getSqDiffIndustryIntroductionNo開始]</t>
  </si>
  <si>
    <t>2017/09/25 16:33:18.066 I 21347 AUE31814 RegDiffIndustriesApplBL 00101I:SQL:&lt;CI&gt;SELECT SQ_DIFF_INDUSTRY_INTRODUCTION_NO.NEXTVAL FROM DUAL</t>
  </si>
  <si>
    <t>2017/09/25 16:33:18.066 D 21347 AUE31814 RegDiffIndustriesApplBL 00104D:Trace:[getSqDiffIndustryIntroductionNo終了]</t>
  </si>
  <si>
    <t>2017/09/25 16:33:18.066 D 21347 AUE31814 RegDiffIndustriesApplBL 00104D:Trace:[chkDiffIndustryIntroductionNo開始]</t>
  </si>
  <si>
    <t>2017/09/25 16:33:18.086 I 21347 AUE31814 RegDiffIndustriesApplBL 00101I:SQL:&lt;CI&gt;SELECT     count(*) FROM     D_APPL_DIFF_INDUSTRY_INFO d WHERE     d.INTRODUCTION_NO = 'IG0000024'  AND     d.BATCH_FILE_IN_STS in ('0','1')</t>
  </si>
  <si>
    <t>2017/09/25 16:33:18.086 D 21347 AUE31814 RegDiffIndustriesApplBL 00104D:Trace:[chkDiffIndustryIntroductionNo終了]</t>
  </si>
  <si>
    <t>2017/09/25 16:33:18.086 D 21347 AUE31814 RegDiffIndustriesApplBL 00104D:Trace:++紹介票管理番号を取得して完了。</t>
  </si>
  <si>
    <t>2017/09/25 16:33:18.086 D 21347 AUE31814 RegDiffIndustriesApplBL 00104D:Trace:紹介票管理番号：IG0000024</t>
  </si>
  <si>
    <t>2017/09/25 16:33:18.086 D 21347 AUE31814 RegDiffIndustriesApplBL 00104D:Trace:[getDiffIndustryIntroductionNo終了]</t>
  </si>
  <si>
    <t>2017/09/25 16:33:18.086 D 21347 AUE31814 RegDiffIndustriesApplBL 00104D:Trace:[insertDiffIndustryInfo開始]</t>
  </si>
  <si>
    <t>2017/09/25 16:33:18.086 D 21347 AUE31814 RegDiffIndustriesApplBL 00104D:Trace:[insertDiffIndustryInfo終了]</t>
  </si>
  <si>
    <t>2017/09/25 16:33:18.106 I 21347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remarks_12, remarks_13, remarks_14, remarks_15, remarks_16, remarks_17, remarks_18, remarks_19, remarks_20) VALUES (24, 'ＯＲＡＮＧＥ担当者', 'A1701001', '0', '123456', '特記欄００１', '1', 'ＦＭＣ試験　太郎', 'ＦＭＣシケン　タロウ', '1080035', '東京都港区白金１丁目', 602, '20170920', 'AUE31814', '8', 'E845001', 'Ｅ８４５００１', '0', '2017-09-25', 'AUE31814', '2017-09-25', 'AUE31814', 'IG0000024', '0', '1', '0312345678', '備考1', '備考2', '備考3', '備考4', '備考5', '備考6', '1', '17110', '171113', '備考7', '備考8', '備考9', '備考10', '備考12', '備考13', '備考14', '備考15', '備考16', '備考17', '備考18', '備考19', '備考20')</t>
  </si>
  <si>
    <t>2017/09/25 16:33:18.106 D 21347 AUE31814 RegDiffIndustriesApplBL 00104D:Trace:[setResponseObjectChkPass開始]</t>
  </si>
  <si>
    <t>2017/09/25 16:33:18.106 D 21347 AUE31814 RegDiffIndustriesApplBL 00104D:Trace:[setResponseObjectChkPass終了]</t>
  </si>
  <si>
    <t>2017/09/25 16:33:18.106 D 21347 AUE31814 RegDiffIndustriesApplBL 00104D:Trace:[traceResponse開始]</t>
  </si>
  <si>
    <t>2017/09/25 16:33:18.106 D 21347 AUE31814 RegDiffIndustriesApplBL 00104D:Trace:個別結果コード0000</t>
  </si>
  <si>
    <t>2017/09/25 16:33:18.106 D 21347 AUE31814 RegDiffIndustriesApplBL 00104D:Trace:異業種申込管理番号24</t>
  </si>
  <si>
    <t>2017/09/25 16:33:18.106 D 21347 AUE31814 RegDiffIndustriesApplBL 00104D:Trace:紹介票管理番号IG0000024</t>
  </si>
  <si>
    <t>2017/09/25 16:33:18.106 D 21347 AUE31814 RegDiffIndustriesApplBL 00104D:Trace:[traceResponse終了]</t>
  </si>
  <si>
    <t>2017/09/25 16:33:18.106 D 21347 AUE31814 RegDiffIndustriesApplBL 00104D:Trace:[execute終了]</t>
  </si>
  <si>
    <t>2017/09/25 16:33:18.106 D 21347 AUE31814 RegDiffIndustriesApplServlet :△△業務ロジック△△[70ミリ秒]</t>
  </si>
  <si>
    <t>2017/09/25 16:33:18.106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24&lt;/different-appl-mng-no&gt;&lt;introduction-no&gt;IG0000024&lt;/introduction-no&gt;&lt;/reg-info&gt;&lt;/api-prm&gt;&lt;/api-response&gt;</t>
  </si>
  <si>
    <t>2017/09/25 16:33:18.106 I 21347 AUE31814 RegDiffIndustriesApplServlet 00002I:Service End</t>
  </si>
  <si>
    <t>BSS1=# select * from D_APPL_DIFF_INDUSTRY_INFO where carrier_cd='17110' and shouhin_cd='171113';</t>
  </si>
  <si>
    <t>different_appl_mng_no | 24</t>
  </si>
  <si>
    <t>introduction_no       | IG0000024</t>
  </si>
  <si>
    <t>shouhin_cd            | 171113</t>
  </si>
  <si>
    <t>rec_entry_dtime       | 25-SEP-17 16:33:18.086</t>
  </si>
  <si>
    <t>rec_update_dtime      | 25-SEP-17 16:33:18.086</t>
  </si>
  <si>
    <t>remarks_11            | (null)</t>
  </si>
  <si>
    <t>2017/09/25 16:34:59.740 I 21345          RegDiffIndustriesApplServlet 00001I:Service Start</t>
  </si>
  <si>
    <t>2017/09/25 16:34:59.740 D 21345          RegDiffIndustriesApplServlet :▽▽parse▽▽</t>
  </si>
  <si>
    <t>2017/09/25 16:34:59.740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171114&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</si>
  <si>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16:34:59.740 D 21345          RegDiffIndustriesApplServlet :△△parse△△[0ミリ秒]</t>
  </si>
  <si>
    <t>2017/09/25 16:34:59.740 D 21345 AUE31814 DBCacheUtil 00104D:Trace:groupId=BASE_SERVICE_TIME;keyword=CHECK_FLG;value=0</t>
  </si>
  <si>
    <t>2017/09/25 16:34:59.740 D 21345 AUE31814 RegDiffIndustriesApplServlet :▽▽validate▽▽</t>
  </si>
  <si>
    <t>2017/09/25 16:34:59.740 I 21345 AUE31814 RegDiffIndustriesApplServlet 01001I:Parameter Error</t>
  </si>
  <si>
    <t>2017/09/25 16:34:59.740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</si>
  <si>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16:34:59.740 I 21345 AUE31814 RegDiffIndustriesApplServlet 00002I:Service End</t>
  </si>
  <si>
    <t>2017/09/25 16:35:53.471 I 21347          RegDiffIndustriesApplServlet 00001I:Service Start</t>
  </si>
  <si>
    <t>2017/09/25 16:35:53.481 D 21347          RegDiffIndustriesApplServlet :▽▽parse▽▽</t>
  </si>
  <si>
    <t>2017/09/25 16:35:53.481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171115&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0123456789012345678901234567890123456789012345678901234567890123456789012345678901234567890123456789012345678901234567890123456789012345678901234567890123456789012345678901234567890&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</si>
  <si>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16:35:53.481 D 21347          RegDiffIndustriesApplServlet :△△parse△△[0ミリ秒]</t>
  </si>
  <si>
    <t>2017/09/25 16:35:53.481 D 21347 AUE31814 DBCacheUtil 00104D:Trace:groupId=BASE_SERVICE_TIME;keyword=CHECK_FLG;value=0</t>
  </si>
  <si>
    <t>2017/09/25 16:35:53.481 D 21347 AUE31814 RegDiffIndustriesApplServlet :▽▽validate▽▽</t>
  </si>
  <si>
    <t>2017/09/25 16:35:53.481 I 21347 AUE31814 RegDiffIndustriesApplServlet 01001I:Parameter Error</t>
  </si>
  <si>
    <t>2017/09/25 16:35:53.481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</si>
  <si>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16:35:53.481 I 21347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</si>
  <si>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25&lt;/different-appl-mng-no&gt;&lt;introduction-no&gt;IG0000025&lt;/introduction-no&gt;&lt;/reg-info&gt;&lt;/api-prm&gt;&lt;/api-response&gt;</t>
  </si>
  <si>
    <t>2017/09/25 16:36:43.492 I 21345          RegDiffIndustriesApplServlet 00001I:Service Start</t>
  </si>
  <si>
    <t>2017/09/25 16:36:43.492 D 21345          RegDiffIndustriesApplServlet :▽▽parse▽▽</t>
  </si>
  <si>
    <t>2017/09/25 16:36:43.492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171116&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</si>
  <si>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16:36:43.492 D 21345          RegDiffIndustriesApplServlet :△△parse△△[0ミリ秒]</t>
  </si>
  <si>
    <t>2017/09/25 16:36:43.492 D 21345 AUE31814 DBCacheUtil 00104D:Trace:groupId=BASE_SERVICE_TIME;keyword=CHECK_FLG;value=0</t>
  </si>
  <si>
    <t>2017/09/25 16:36:43.492 D 21345 AUE31814 RegDiffIndustriesApplServlet :▽▽validate▽▽</t>
  </si>
  <si>
    <t>2017/09/25 16:36:43.502 D 21345 AUE31814 RegDiffIndustriesApplServlet :△△validate△△[10ミリ秒]</t>
  </si>
  <si>
    <t>2017/09/25 16:36:43.502 D 21345 AUE31814 DBCacheUtil 00104D:Trace:groupId=API_VERSION;keyword=/fmc-on/bbc-appl-api/diffindustappl/reg_diff_industries_appl;value=10</t>
  </si>
  <si>
    <t>2017/09/25 16:36:43.502 D 21345 AUE31814 RegDiffIndustriesApplServlet :▽▽業務ロジック▽▽</t>
  </si>
  <si>
    <t>2017/09/25 16:36:43.502 D 21345 AUE31814 RegDiffIndustriesApplBL 00104D:Trace:[setSequenceDao開始]</t>
  </si>
  <si>
    <t>2017/09/25 16:36:43.502 D 21345 AUE31814 RegDiffIndustriesApplBL 00104D:Trace:[setSequenceDao終了]</t>
  </si>
  <si>
    <t>2017/09/25 16:36:43.502 D 21345 AUE31814 RegDiffIndustriesApplBL 00104D:Trace:[setdApplDiffIndustryInfoApplDao開始]</t>
  </si>
  <si>
    <t>2017/09/25 16:36:43.502 D 21345 AUE31814 RegDiffIndustriesApplBL 00104D:Trace:[setdApplDiffIndustryInfoApplDao終了]</t>
  </si>
  <si>
    <t>2017/09/25 16:36:43.502 D 21345 AUE31814 RegDiffIndustriesApplBL 00104D:Trace:[execute開始]</t>
  </si>
  <si>
    <t>2017/09/25 16:36:43.502 D 21345 AUE31814 RegDiffIndustriesApplBL 00104D:Trace:[traceRequest開始]</t>
  </si>
  <si>
    <t>2017/09/25 16:36:43.502 D 21345 AUE31814 RegDiffIndustriesApplBL 00104D:Trace:au代理店コード：E845001</t>
  </si>
  <si>
    <t>2017/09/25 16:36:43.502 D 21345 AUE31814 RegDiffIndustriesApplBL 00104D:Trace: 申込押下ボタン：8</t>
  </si>
  <si>
    <t>2017/09/25 16:36:43.502 D 21345 AUE31814 RegDiffIndustriesApplBL 00104D:Trace: 店名：Ｅ８４５００１</t>
  </si>
  <si>
    <t>2017/09/25 16:36:43.502 D 21345 AUE31814 RegDiffIndustriesApplBL 00104D:Trace: 担当者名：ＯＲＡＮＧＥ担当者</t>
  </si>
  <si>
    <t>2017/09/25 16:36:43.502 D 21345 AUE31814 RegDiffIndustriesApplBL 00104D:Trace: 担当者名(名)：null</t>
  </si>
  <si>
    <t>2017/09/25 16:36:43.502 D 21345 AUE31814 RegDiffIndustriesApplBL 00104D:Trace: 電話番号：null</t>
  </si>
  <si>
    <t>2017/09/25 16:36:43.502 D 21345 AUE31814 RegDiffIndustriesApplBL 00104D:Trace: 申込年月日：20170920</t>
  </si>
  <si>
    <t>2017/09/25 16:36:43.502 D 21345 AUE31814 RegDiffIndustriesApplBL 00104D:Trace: 申込時刻：123456</t>
  </si>
  <si>
    <t>2017/09/25 16:36:43.502 D 21345 AUE31814 RegDiffIndustriesApplBL 00104D:Trace: 事業者コード：17110</t>
  </si>
  <si>
    <t>2017/09/25 16:36:43.502 D 21345 AUE31814 RegDiffIndustriesApplBL 00104D:Trace: 商品コード：171116</t>
  </si>
  <si>
    <t>2017/09/25 16:36:43.502 D 21345 AUE31814 RegDiffIndustriesApplBL 00104D:Trace: 漢字：ＦＭＣ試験　太郎</t>
  </si>
  <si>
    <t>2017/09/25 16:36:43.502 D 21345 AUE31814 RegDiffIndustriesApplBL 00104D:Trace: カナ：ＦＭＣシケン　タロウ</t>
  </si>
  <si>
    <t>2017/09/25 16:36:43.502 D 21345 AUE31814 RegDiffIndustriesApplBL 00104D:Trace: 自宅・勤務先電話番号：0312345678</t>
  </si>
  <si>
    <t>2017/09/25 16:36:43.502 D 21345 AUE31814 RegDiffIndustriesApplBL 00104D:Trace: 携帯電話番号：null</t>
  </si>
  <si>
    <t>2017/09/25 16:36:43.502 D 21345 AUE31814 RegDiffIndustriesApplBL 00104D:Trace: 郵便番号：1080035</t>
  </si>
  <si>
    <t>2017/09/25 16:36:43.502 D 21345 AUE31814 RegDiffIndustriesApplBL 00104D:Trace: 住所：東京都港区白金１丁目</t>
  </si>
  <si>
    <t>2017/09/25 16:36:43.502 D 21345 AUE31814 RegDiffIndustriesApplBL 00104D:Trace: 住居区分：0</t>
  </si>
  <si>
    <t>2017/09/25 16:36:43.502 D 21345 AUE31814 RegDiffIndustriesApplBL 00104D:Trace: 所有区分：1</t>
  </si>
  <si>
    <t>2017/09/25 16:36:43.502 D 21345 AUE31814 RegDiffIndustriesApplBL 00104D:Trace: 連絡希望曜日：0</t>
  </si>
  <si>
    <t>2017/09/25 16:36:43.502 D 21345 AUE31814 RegDiffIndustriesApplBL 00104D:Trace: 連絡希望時間帯：1</t>
  </si>
  <si>
    <t>2017/09/25 16:36:43.502 D 21345 AUE31814 RegDiffIndustriesApplBL 00104D:Trace: お客様ID：null</t>
  </si>
  <si>
    <t>2017/09/25 16:36:43.502 D 21345 AUE31814 RegDiffIndustriesApplBL 00104D:Trace: 備考1：備考1</t>
  </si>
  <si>
    <t>2017/09/25 16:36:43.502 D 21345 AUE31814 RegDiffIndustriesApplBL 00104D:Trace: 備考2：備考2</t>
  </si>
  <si>
    <t>2017/09/25 16:36:43.502 D 21345 AUE31814 RegDiffIndustriesApplBL 00104D:Trace: 備考3：備考3</t>
  </si>
  <si>
    <t>2017/09/25 16:36:43.502 D 21345 AUE31814 RegDiffIndustriesApplBL 00104D:Trace: 備考4：備考4</t>
  </si>
  <si>
    <t>2017/09/25 16:36:43.502 D 21345 AUE31814 RegDiffIndustriesApplBL 00104D:Trace: 備考5：備考5</t>
  </si>
  <si>
    <t>2017/09/25 16:36:43.502 D 21345 AUE31814 RegDiffIndustriesApplBL 00104D:Trace: 備考6：備考6</t>
  </si>
  <si>
    <t>2017/09/25 16:36:43.502 D 21345 AUE31814 RegDiffIndustriesApplBL 00104D:Trace: 備考7：備考7</t>
  </si>
  <si>
    <t>2017/09/25 16:36:43.502 D 21345 AUE31814 RegDiffIndustriesApplBL 00104D:Trace: 備考8：備考8</t>
  </si>
  <si>
    <t>2017/09/25 16:36:43.502 D 21345 AUE31814 RegDiffIndustriesApplBL 00104D:Trace: 備考9：備考9</t>
  </si>
  <si>
    <t>2017/09/25 16:36:43.502 D 21345 AUE31814 RegDiffIndustriesApplBL 00104D:Trace: 備考10：備考10</t>
  </si>
  <si>
    <t>2017/09/25 16:36:43.502 D 21345 AUE31814 RegDiffIndustriesApplBL 00104D:Trace: 備考11：備考11</t>
  </si>
  <si>
    <t>2017/09/25 16:36:43.502 D 21345 AUE31814 RegDiffIndustriesApplBL 00104D:Trace: 備考12：null</t>
  </si>
  <si>
    <t>2017/09/25 16:36:43.502 D 21345 AUE31814 RegDiffIndustriesApplBL 00104D:Trace: 備考13：備考13</t>
  </si>
  <si>
    <t>2017/09/25 16:36:43.502 D 21345 AUE31814 RegDiffIndustriesApplBL 00104D:Trace: 備考14：備考14</t>
  </si>
  <si>
    <t>2017/09/25 16:36:43.502 D 21345 AUE31814 RegDiffIndustriesApplBL 00104D:Trace: 備考15：備考15</t>
  </si>
  <si>
    <t>2017/09/25 16:36:43.502 D 21345 AUE31814 RegDiffIndustriesApplBL 00104D:Trace: 備考16：備考16</t>
  </si>
  <si>
    <t>2017/09/25 16:36:43.502 D 21345 AUE31814 RegDiffIndustriesApplBL 00104D:Trace: 備考17：備考17</t>
  </si>
  <si>
    <t>2017/09/25 16:36:43.502 D 21345 AUE31814 RegDiffIndustriesApplBL 00104D:Trace: 備考18：備考18</t>
  </si>
  <si>
    <t>2017/09/25 16:36:43.502 D 21345 AUE31814 RegDiffIndustriesApplBL 00104D:Trace: 備考19：備考19</t>
  </si>
  <si>
    <t>2017/09/25 16:36:43.502 D 21345 AUE31814 RegDiffIndustriesApplBL 00104D:Trace: 備考20：備考20</t>
  </si>
  <si>
    <t>2017/09/25 16:36:43.502 D 21345 AUE31814 RegDiffIndustriesApplBL 00104D:Trace: 特記：特記欄００１</t>
  </si>
  <si>
    <t>2017/09/25 16:36:43.502 D 21345 AUE31814 RegDiffIndustriesApplBL 00104D:Trace: au加入者コード:A1701001</t>
  </si>
  <si>
    <t>2017/09/25 16:36:43.502 D 21345 AUE31814 RegDiffIndustriesApplBL 00104D:Trace: 基本契約番号:null</t>
  </si>
  <si>
    <t>2017/09/25 16:36:43.502 I 21345 AUE31814 RegDiffIndustriesApplBL 00105I:Trace:&lt;CI&gt; 顧客区分：1</t>
  </si>
  <si>
    <t>2017/09/25 16:36:43.502 D 21345 AUE31814 RegDiffIndustriesApplBL 00104D:Trace:[traceRequest終了]</t>
  </si>
  <si>
    <t>2017/09/25 16:36:43.502 D 21345 AUE31814 RegDiffIndustriesApplBL 00104D:Trace:[checkByte開始]</t>
  </si>
  <si>
    <t>2017/09/25 16:36:43.502 I 21345 AUE31814 RegDiffIndustriesApplBL 00105I:Trace:&lt;CI&gt;errByteMessage.size =「0」</t>
  </si>
  <si>
    <t>2017/09/25 16:36:43.502 D 21345 AUE31814 RegDiffIndustriesApplBL 00104D:Trace:[checkByte終了]</t>
  </si>
  <si>
    <t>2017/09/25 16:36:43.502 D 21345 AUE31814 RegDiffIndustriesApplBL 00104D:Trace:[getDiffIndustryApplMngNo開始]</t>
  </si>
  <si>
    <t>2017/09/25 16:36:43.512 I 21345 AUE31814 RegDiffIndustriesApplBL 00101I:SQL:&lt;CI&gt;SELECT SQ_DIFF_INDUSTRY_APPL_MNG_NO.NEXTVAL FROM DUAL</t>
  </si>
  <si>
    <t>2017/09/25 16:36:43.512 D 21345 AUE31814 RegDiffIndustriesApplBL 00104D:Trace:異業種商材申込管理番号：25</t>
  </si>
  <si>
    <t>2017/09/25 16:36:43.512 D 21345 AUE31814 RegDiffIndustriesApplBL 00104D:Trace:[getDiffIndustryApplMngNo終了]</t>
  </si>
  <si>
    <t>2017/09/25 16:36:43.512 D 21345 AUE31814 RegDiffIndustriesApplBL 00104D:Trace:[getDiffIndustryIntroductionNo開始]</t>
  </si>
  <si>
    <t>2017/09/25 16:36:43.522 D 21345 AUE31814 RegDiffIndustriesApplBL 00104D:Trace:++プロパティファイルより取得した紹介票管理番号取得リトライ回数：4</t>
  </si>
  <si>
    <t>2017/09/25 16:36:43.522 D 21345 AUE31814 RegDiffIndustriesApplBL 00104D:Trace:[getSqDiffIndustryIntroductionNo開始]</t>
  </si>
  <si>
    <t>2017/09/25 16:36:43.532 I 21345 AUE31814 RegDiffIndustriesApplBL 00101I:SQL:&lt;CI&gt;SELECT SQ_DIFF_INDUSTRY_INTRODUCTION_NO.NEXTVAL FROM DUAL</t>
  </si>
  <si>
    <t>2017/09/25 16:36:43.532 D 21345 AUE31814 RegDiffIndustriesApplBL 00104D:Trace:[getSqDiffIndustryIntroductionNo終了]</t>
  </si>
  <si>
    <t>2017/09/25 16:36:43.532 D 21345 AUE31814 RegDiffIndustriesApplBL 00104D:Trace:[chkDiffIndustryIntroductionNo開始]</t>
  </si>
  <si>
    <t>2017/09/25 16:36:43.542 I 21345 AUE31814 RegDiffIndustriesApplBL 00101I:SQL:&lt;CI&gt;SELECT     count(*) FROM     D_APPL_DIFF_INDUSTRY_INFO d WHERE     d.INTRODUCTION_NO = 'IG0000025'  AND     d.BATCH_FILE_IN_STS in ('0','1')</t>
  </si>
  <si>
    <t>2017/09/25 16:36:43.542 D 21345 AUE31814 RegDiffIndustriesApplBL 00104D:Trace:[chkDiffIndustryIntroductionNo終了]</t>
  </si>
  <si>
    <t>2017/09/25 16:36:43.542 D 21345 AUE31814 RegDiffIndustriesApplBL 00104D:Trace:++紹介票管理番号を取得して完了。</t>
  </si>
  <si>
    <t>2017/09/25 16:36:43.542 D 21345 AUE31814 RegDiffIndustriesApplBL 00104D:Trace:紹介票管理番号：IG0000025</t>
  </si>
  <si>
    <t>2017/09/25 16:36:43.542 D 21345 AUE31814 RegDiffIndustriesApplBL 00104D:Trace:[getDiffIndustryIntroductionNo終了]</t>
  </si>
  <si>
    <t>2017/09/25 16:36:43.542 D 21345 AUE31814 RegDiffIndustriesApplBL 00104D:Trace:[insertDiffIndustryInfo開始]</t>
  </si>
  <si>
    <t>2017/09/25 16:36:43.542 D 21345 AUE31814 RegDiffIndustriesApplBL 00104D:Trace:[insertDiffIndustryInfo終了]</t>
  </si>
  <si>
    <t>2017/09/25 16:36:43.562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remarks_13, remarks_14, remarks_15, remarks_16, remarks_17, remarks_18, remarks_19, remarks_20) VALUES (25, 'ＯＲＡＮＧＥ担当者', 'A1701001', '0', '123456', '特記欄００１', '1', 'ＦＭＣ試験　太郎', 'ＦＭＣシケン　タロウ', '1080035', '東京都港区白金１丁目', 602, '20170920', 'AUE31814', '8', 'E845001', 'Ｅ８４５００１', '0', '2017-09-25', 'AUE31814', '2017-09-25', 'AUE31814', 'IG0000025', '0', '1', '0312345678', '備考1', '備考2', '備考3', '備考4', '備考5', '備考6', '1', '17110', '171116', '備考7', '備考8', '備考9', '備考10', '備考11', '備考13', '備考14', '備考15', '備考16', '備考17', '備考18', '備考19', '備考20')</t>
  </si>
  <si>
    <t>2017/09/25 16:36:43.562 D 21345 AUE31814 RegDiffIndustriesApplBL 00104D:Trace:[setResponseObjectChkPass開始]</t>
  </si>
  <si>
    <t>2017/09/25 16:36:43.562 D 21345 AUE31814 RegDiffIndustriesApplBL 00104D:Trace:[setResponseObjectChkPass終了]</t>
  </si>
  <si>
    <t>2017/09/25 16:36:43.562 D 21345 AUE31814 RegDiffIndustriesApplBL 00104D:Trace:[traceResponse開始]</t>
  </si>
  <si>
    <t>2017/09/25 16:36:43.562 D 21345 AUE31814 RegDiffIndustriesApplBL 00104D:Trace:個別結果コード0000</t>
  </si>
  <si>
    <t>2017/09/25 16:36:43.562 D 21345 AUE31814 RegDiffIndustriesApplBL 00104D:Trace:異業種申込管理番号25</t>
  </si>
  <si>
    <t>2017/09/25 16:36:43.562 D 21345 AUE31814 RegDiffIndustriesApplBL 00104D:Trace:紹介票管理番号IG0000025</t>
  </si>
  <si>
    <t>2017/09/25 16:36:43.562 D 21345 AUE31814 RegDiffIndustriesApplBL 00104D:Trace:[traceResponse終了]</t>
  </si>
  <si>
    <t>2017/09/25 16:36:43.562 D 21345 AUE31814 RegDiffIndustriesApplBL 00104D:Trace:[execute終了]</t>
  </si>
  <si>
    <t>2017/09/25 16:36:43.562 D 21345 AUE31814 RegDiffIndustriesApplServlet :△△業務ロジック△△[60ミリ秒]</t>
  </si>
  <si>
    <t>2017/09/25 16:36:43.562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25&lt;/different-appl-mng-no&gt;&lt;introduction-no&gt;IG0000025&lt;/introduction-no&gt;&lt;/reg-info&gt;&lt;/api-prm&gt;&lt;/api-response&gt;</t>
  </si>
  <si>
    <t>2017/09/25 16:36:43.562 I 21345 AUE31814 RegDiffIndustriesApplServlet 00002I:Service End</t>
  </si>
  <si>
    <t>BSS1=# select * from D_APPL_DIFF_INDUSTRY_INFO where carrier_cd='17110' and shouhin_cd='171116';</t>
  </si>
  <si>
    <t>different_appl_mng_no | 25</t>
  </si>
  <si>
    <t>introduction_no       | IG0000025</t>
  </si>
  <si>
    <t>shouhin_cd            | 171116</t>
  </si>
  <si>
    <t>rec_entry_dtime       | 25-SEP-17 16:36:43.542</t>
  </si>
  <si>
    <t>rec_update_dtime      | 25-SEP-17 16:36:43.542</t>
  </si>
  <si>
    <t>remarks_12            | (null)</t>
  </si>
  <si>
    <t>2017/09/25 16:38:00.826 I 21347          RegDiffIndustriesApplServlet 00001I:Service Start</t>
  </si>
  <si>
    <t>2017/09/25 16:38:00.826 D 21347          RegDiffIndustriesApplServlet :▽▽parse▽▽</t>
  </si>
  <si>
    <t>2017/09/25 16:38:00.826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171117&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</si>
  <si>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16:38:00.826 D 21347          RegDiffIndustriesApplServlet :△△parse△△[0ミリ秒]</t>
  </si>
  <si>
    <t>2017/09/25 16:38:00.826 D 21347 AUE31814 DBCacheUtil 00104D:Trace:groupId=BASE_SERVICE_TIME;keyword=CHECK_FLG;value=0</t>
  </si>
  <si>
    <t>2017/09/25 16:38:00.826 D 21347 AUE31814 RegDiffIndustriesApplServlet :▽▽validate▽▽</t>
  </si>
  <si>
    <t>2017/09/25 16:38:00.826 I 21347 AUE31814 RegDiffIndustriesApplServlet 01001I:Parameter Error</t>
  </si>
  <si>
    <t>2017/09/25 16:38:00.826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</si>
  <si>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16:38:00.826 I 21347 AUE31814 RegDiffIndustriesApplServlet 00002I:Service End</t>
  </si>
  <si>
    <t>2017/09/25 16:38:56.597 I 21348          RegDiffIndustriesApplServlet 00001I:Service Start</t>
  </si>
  <si>
    <t>2017/09/25 16:38:56.597 D 21348          RegDiffIndustriesApplServlet :▽▽parse▽▽</t>
  </si>
  <si>
    <t>2017/09/25 16:38:56.597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171118&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0123456789012345678901234567890123456789012345678901234567890123456789012345678901234567890123456789012345678901234567890123456789012345678901234567890123456789012345678901234567890&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</si>
  <si>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16:38:56.597 D 21348          RegDiffIndustriesApplServlet :△△parse△△[0ミリ秒]</t>
  </si>
  <si>
    <t>2017/09/25 16:38:56.597 D 21348 AUE31814 DBCacheUtil 00104D:Trace:groupId=BASE_SERVICE_TIME;keyword=CHECK_FLG;value=0</t>
  </si>
  <si>
    <t>2017/09/25 16:38:56.607 D 21348 AUE31814 RegDiffIndustriesApplServlet :▽▽validate▽▽</t>
  </si>
  <si>
    <t>2017/09/25 16:38:56.607 I 21348 AUE31814 RegDiffIndustriesApplServlet 01001I:Parameter Error</t>
  </si>
  <si>
    <t>2017/09/25 16:38:56.607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</si>
  <si>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16:38:56.607 I 21348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</si>
  <si>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26&lt;/different-appl-mng-no&gt;&lt;introduction-no&gt;IG0000026&lt;/introduction-no&gt;&lt;/reg-info&gt;&lt;/api-prm&gt;&lt;/api-response&gt;</t>
  </si>
  <si>
    <t>2017/09/25 16:39:52.868 I 21347          RegDiffIndustriesApplServlet 00001I:Service Start</t>
  </si>
  <si>
    <t>2017/09/25 16:39:52.868 D 21347          RegDiffIndustriesApplServlet :▽▽parse▽▽</t>
  </si>
  <si>
    <t>2017/09/25 16:39:52.868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171119&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</si>
  <si>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16:39:52.878 D 21347          RegDiffIndustriesApplServlet :△△parse△△[10ミリ秒]</t>
  </si>
  <si>
    <t>2017/09/25 16:39:52.878 D 21347 AUE31814 DBCacheUtil 00104D:Trace:groupId=BASE_SERVICE_TIME;keyword=CHECK_FLG;value=0</t>
  </si>
  <si>
    <t>2017/09/25 16:39:52.878 D 21347 AUE31814 RegDiffIndustriesApplServlet :▽▽validate▽▽</t>
  </si>
  <si>
    <t>2017/09/25 16:39:52.878 D 21347 AUE31814 RegDiffIndustriesApplServlet :△△validate△△[0ミリ秒]</t>
  </si>
  <si>
    <t>2017/09/25 16:39:52.878 D 21347 AUE31814 DBCacheUtil 00104D:Trace:groupId=API_VERSION;keyword=/fmc-on/bbc-appl-api/diffindustappl/reg_diff_industries_appl;value=10</t>
  </si>
  <si>
    <t>2017/09/25 16:39:52.878 D 21347 AUE31814 RegDiffIndustriesApplServlet :▽▽業務ロジック▽▽</t>
  </si>
  <si>
    <t>2017/09/25 16:39:52.878 D 21347 AUE31814 RegDiffIndustriesApplBL 00104D:Trace:[setSequenceDao開始]</t>
  </si>
  <si>
    <t>2017/09/25 16:39:52.878 D 21347 AUE31814 RegDiffIndustriesApplBL 00104D:Trace:[setSequenceDao終了]</t>
  </si>
  <si>
    <t>2017/09/25 16:39:52.878 D 21347 AUE31814 RegDiffIndustriesApplBL 00104D:Trace:[setdApplDiffIndustryInfoApplDao開始]</t>
  </si>
  <si>
    <t>2017/09/25 16:39:52.878 D 21347 AUE31814 RegDiffIndustriesApplBL 00104D:Trace:[setdApplDiffIndustryInfoApplDao終了]</t>
  </si>
  <si>
    <t>2017/09/25 16:39:52.878 D 21347 AUE31814 RegDiffIndustriesApplBL 00104D:Trace:[execute開始]</t>
  </si>
  <si>
    <t>2017/09/25 16:39:52.878 D 21347 AUE31814 RegDiffIndustriesApplBL 00104D:Trace:[traceRequest開始]</t>
  </si>
  <si>
    <t>2017/09/25 16:39:52.878 D 21347 AUE31814 RegDiffIndustriesApplBL 00104D:Trace:au代理店コード：E845001</t>
  </si>
  <si>
    <t>2017/09/25 16:39:52.878 D 21347 AUE31814 RegDiffIndustriesApplBL 00104D:Trace: 申込押下ボタン：8</t>
  </si>
  <si>
    <t>2017/09/25 16:39:52.878 D 21347 AUE31814 RegDiffIndustriesApplBL 00104D:Trace: 店名：Ｅ８４５００１</t>
  </si>
  <si>
    <t>2017/09/25 16:39:52.878 D 21347 AUE31814 RegDiffIndustriesApplBL 00104D:Trace: 担当者名：ＯＲＡＮＧＥ担当者</t>
  </si>
  <si>
    <t>2017/09/25 16:39:52.878 D 21347 AUE31814 RegDiffIndustriesApplBL 00104D:Trace: 担当者名(名)：null</t>
  </si>
  <si>
    <t>2017/09/25 16:39:52.878 D 21347 AUE31814 RegDiffIndustriesApplBL 00104D:Trace: 電話番号：null</t>
  </si>
  <si>
    <t>2017/09/25 16:39:52.878 D 21347 AUE31814 RegDiffIndustriesApplBL 00104D:Trace: 申込年月日：20170920</t>
  </si>
  <si>
    <t>2017/09/25 16:39:52.878 D 21347 AUE31814 RegDiffIndustriesApplBL 00104D:Trace: 申込時刻：123456</t>
  </si>
  <si>
    <t>2017/09/25 16:39:52.878 D 21347 AUE31814 RegDiffIndustriesApplBL 00104D:Trace: 事業者コード：17110</t>
  </si>
  <si>
    <t>2017/09/25 16:39:52.878 D 21347 AUE31814 RegDiffIndustriesApplBL 00104D:Trace: 商品コード：171119</t>
  </si>
  <si>
    <t>2017/09/25 16:39:52.878 D 21347 AUE31814 RegDiffIndustriesApplBL 00104D:Trace: 漢字：ＦＭＣ試験　太郎</t>
  </si>
  <si>
    <t>2017/09/25 16:39:52.878 D 21347 AUE31814 RegDiffIndustriesApplBL 00104D:Trace: カナ：ＦＭＣシケン　タロウ</t>
  </si>
  <si>
    <t>2017/09/25 16:39:52.878 D 21347 AUE31814 RegDiffIndustriesApplBL 00104D:Trace: 自宅・勤務先電話番号：0312345678</t>
  </si>
  <si>
    <t>2017/09/25 16:39:52.878 D 21347 AUE31814 RegDiffIndustriesApplBL 00104D:Trace: 携帯電話番号：null</t>
  </si>
  <si>
    <t>2017/09/25 16:39:52.878 D 21347 AUE31814 RegDiffIndustriesApplBL 00104D:Trace: 郵便番号：1080035</t>
  </si>
  <si>
    <t>2017/09/25 16:39:52.878 D 21347 AUE31814 RegDiffIndustriesApplBL 00104D:Trace: 住所：東京都港区白金１丁目</t>
  </si>
  <si>
    <t>2017/09/25 16:39:52.878 D 21347 AUE31814 RegDiffIndustriesApplBL 00104D:Trace: 住居区分：0</t>
  </si>
  <si>
    <t>2017/09/25 16:39:52.878 D 21347 AUE31814 RegDiffIndustriesApplBL 00104D:Trace: 所有区分：1</t>
  </si>
  <si>
    <t>2017/09/25 16:39:52.878 D 21347 AUE31814 RegDiffIndustriesApplBL 00104D:Trace: 連絡希望曜日：0</t>
  </si>
  <si>
    <t>2017/09/25 16:39:52.878 D 21347 AUE31814 RegDiffIndustriesApplBL 00104D:Trace: 連絡希望時間帯：1</t>
  </si>
  <si>
    <t>2017/09/25 16:39:52.878 D 21347 AUE31814 RegDiffIndustriesApplBL 00104D:Trace: お客様ID：null</t>
  </si>
  <si>
    <t>2017/09/25 16:39:52.878 D 21347 AUE31814 RegDiffIndustriesApplBL 00104D:Trace: 備考1：備考1</t>
  </si>
  <si>
    <t>2017/09/25 16:39:52.878 D 21347 AUE31814 RegDiffIndustriesApplBL 00104D:Trace: 備考2：備考2</t>
  </si>
  <si>
    <t>2017/09/25 16:39:52.878 D 21347 AUE31814 RegDiffIndustriesApplBL 00104D:Trace: 備考3：備考3</t>
  </si>
  <si>
    <t>2017/09/25 16:39:52.878 D 21347 AUE31814 RegDiffIndustriesApplBL 00104D:Trace: 備考4：備考4</t>
  </si>
  <si>
    <t>2017/09/25 16:39:52.878 D 21347 AUE31814 RegDiffIndustriesApplBL 00104D:Trace: 備考5：備考5</t>
  </si>
  <si>
    <t>2017/09/25 16:39:52.878 D 21347 AUE31814 RegDiffIndustriesApplBL 00104D:Trace: 備考6：備考6</t>
  </si>
  <si>
    <t>2017/09/25 16:39:52.878 D 21347 AUE31814 RegDiffIndustriesApplBL 00104D:Trace: 備考7：備考7</t>
  </si>
  <si>
    <t>2017/09/25 16:39:52.878 D 21347 AUE31814 RegDiffIndustriesApplBL 00104D:Trace: 備考8：備考8</t>
  </si>
  <si>
    <t>2017/09/25 16:39:52.878 D 21347 AUE31814 RegDiffIndustriesApplBL 00104D:Trace: 備考9：備考9</t>
  </si>
  <si>
    <t>2017/09/25 16:39:52.878 D 21347 AUE31814 RegDiffIndustriesApplBL 00104D:Trace: 備考10：備考10</t>
  </si>
  <si>
    <t>2017/09/25 16:39:52.878 D 21347 AUE31814 RegDiffIndustriesApplBL 00104D:Trace: 備考11：備考11</t>
  </si>
  <si>
    <t>2017/09/25 16:39:52.878 D 21347 AUE31814 RegDiffIndustriesApplBL 00104D:Trace: 備考12：備考12</t>
  </si>
  <si>
    <t>2017/09/25 16:39:52.878 D 21347 AUE31814 RegDiffIndustriesApplBL 00104D:Trace: 備考13：null</t>
  </si>
  <si>
    <t>2017/09/25 16:39:52.878 D 21347 AUE31814 RegDiffIndustriesApplBL 00104D:Trace: 備考14：備考14</t>
  </si>
  <si>
    <t>2017/09/25 16:39:52.878 D 21347 AUE31814 RegDiffIndustriesApplBL 00104D:Trace: 備考15：備考15</t>
  </si>
  <si>
    <t>2017/09/25 16:39:52.878 D 21347 AUE31814 RegDiffIndustriesApplBL 00104D:Trace: 備考16：備考16</t>
  </si>
  <si>
    <t>2017/09/25 16:39:52.878 D 21347 AUE31814 RegDiffIndustriesApplBL 00104D:Trace: 備考17：備考17</t>
  </si>
  <si>
    <t>2017/09/25 16:39:52.878 D 21347 AUE31814 RegDiffIndustriesApplBL 00104D:Trace: 備考18：備考18</t>
  </si>
  <si>
    <t>2017/09/25 16:39:52.878 D 21347 AUE31814 RegDiffIndustriesApplBL 00104D:Trace: 備考19：備考19</t>
  </si>
  <si>
    <t>2017/09/25 16:39:52.878 D 21347 AUE31814 RegDiffIndustriesApplBL 00104D:Trace: 備考20：備考20</t>
  </si>
  <si>
    <t>2017/09/25 16:39:52.878 D 21347 AUE31814 RegDiffIndustriesApplBL 00104D:Trace: 特記：特記欄００１</t>
  </si>
  <si>
    <t>2017/09/25 16:39:52.878 D 21347 AUE31814 RegDiffIndustriesApplBL 00104D:Trace: au加入者コード:A1701001</t>
  </si>
  <si>
    <t>2017/09/25 16:39:52.878 D 21347 AUE31814 RegDiffIndustriesApplBL 00104D:Trace: 基本契約番号:null</t>
  </si>
  <si>
    <t>2017/09/25 16:39:52.878 I 21347 AUE31814 RegDiffIndustriesApplBL 00105I:Trace:&lt;CI&gt; 顧客区分：1</t>
  </si>
  <si>
    <t>2017/09/25 16:39:52.878 D 21347 AUE31814 RegDiffIndustriesApplBL 00104D:Trace:[traceRequest終了]</t>
  </si>
  <si>
    <t>2017/09/25 16:39:52.878 D 21347 AUE31814 RegDiffIndustriesApplBL 00104D:Trace:[checkByte開始]</t>
  </si>
  <si>
    <t>2017/09/25 16:39:52.878 I 21347 AUE31814 RegDiffIndustriesApplBL 00105I:Trace:&lt;CI&gt;errByteMessage.size =「0」</t>
  </si>
  <si>
    <t>2017/09/25 16:39:52.878 D 21347 AUE31814 RegDiffIndustriesApplBL 00104D:Trace:[checkByte終了]</t>
  </si>
  <si>
    <t>2017/09/25 16:39:52.878 D 21347 AUE31814 RegDiffIndustriesApplBL 00104D:Trace:[getDiffIndustryApplMngNo開始]</t>
  </si>
  <si>
    <t>2017/09/25 16:39:52.888 I 21347 AUE31814 RegDiffIndustriesApplBL 00101I:SQL:&lt;CI&gt;SELECT SQ_DIFF_INDUSTRY_APPL_MNG_NO.NEXTVAL FROM DUAL</t>
  </si>
  <si>
    <t>2017/09/25 16:39:52.888 D 21347 AUE31814 RegDiffIndustriesApplBL 00104D:Trace:異業種商材申込管理番号：26</t>
  </si>
  <si>
    <t>2017/09/25 16:39:52.888 D 21347 AUE31814 RegDiffIndustriesApplBL 00104D:Trace:[getDiffIndustryApplMngNo終了]</t>
  </si>
  <si>
    <t>2017/09/25 16:39:52.888 D 21347 AUE31814 RegDiffIndustriesApplBL 00104D:Trace:[getDiffIndustryIntroductionNo開始]</t>
  </si>
  <si>
    <t>2017/09/25 16:39:52.898 D 21347 AUE31814 RegDiffIndustriesApplBL 00104D:Trace:++プロパティファイルより取得した紹介票管理番号取得リトライ回数：4</t>
  </si>
  <si>
    <t>2017/09/25 16:39:52.898 D 21347 AUE31814 RegDiffIndustriesApplBL 00104D:Trace:[getSqDiffIndustryIntroductionNo開始]</t>
  </si>
  <si>
    <t>2017/09/25 16:39:52.908 I 21347 AUE31814 RegDiffIndustriesApplBL 00101I:SQL:&lt;CI&gt;SELECT SQ_DIFF_INDUSTRY_INTRODUCTION_NO.NEXTVAL FROM DUAL</t>
  </si>
  <si>
    <t>2017/09/25 16:39:52.908 D 21347 AUE31814 RegDiffIndustriesApplBL 00104D:Trace:[getSqDiffIndustryIntroductionNo終了]</t>
  </si>
  <si>
    <t>2017/09/25 16:39:52.908 D 21347 AUE31814 RegDiffIndustriesApplBL 00104D:Trace:[chkDiffIndustryIntroductionNo開始]</t>
  </si>
  <si>
    <t>2017/09/25 16:39:52.918 I 21347 AUE31814 RegDiffIndustriesApplBL 00101I:SQL:&lt;CI&gt;SELECT     count(*) FROM     D_APPL_DIFF_INDUSTRY_INFO d WHERE     d.INTRODUCTION_NO = 'IG0000026'  AND     d.BATCH_FILE_IN_STS in ('0','1')</t>
  </si>
  <si>
    <t>2017/09/25 16:39:52.918 D 21347 AUE31814 RegDiffIndustriesApplBL 00104D:Trace:[chkDiffIndustryIntroductionNo終了]</t>
  </si>
  <si>
    <t>2017/09/25 16:39:52.918 D 21347 AUE31814 RegDiffIndustriesApplBL 00104D:Trace:++紹介票管理番号を取得して完了。</t>
  </si>
  <si>
    <t>2017/09/25 16:39:52.918 D 21347 AUE31814 RegDiffIndustriesApplBL 00104D:Trace:紹介票管理番号：IG0000026</t>
  </si>
  <si>
    <t>2017/09/25 16:39:52.918 D 21347 AUE31814 RegDiffIndustriesApplBL 00104D:Trace:[getDiffIndustryIntroductionNo終了]</t>
  </si>
  <si>
    <t>2017/09/25 16:39:52.918 D 21347 AUE31814 RegDiffIndustriesApplBL 00104D:Trace:[insertDiffIndustryInfo開始]</t>
  </si>
  <si>
    <t>2017/09/25 16:39:52.918 D 21347 AUE31814 RegDiffIndustriesApplBL 00104D:Trace:[insertDiffIndustryInfo終了]</t>
  </si>
  <si>
    <t>2017/09/25 16:39:52.938 I 21347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remarks_14, remarks_15, remarks_16, remarks_17, remarks_18, remarks_19, remarks_20) VALUES (26, 'ＯＲＡＮＧＥ担当者', 'A1701001', '0', '123456', '特記欄００１', '1', 'ＦＭＣ試験　太郎', 'ＦＭＣシケン　タロウ', '1080035', '東京都港区白金１丁目', 602, '20170920', 'AUE31814', '8', 'E845001', 'Ｅ８４５００１', '0', '2017-09-25', 'AUE31814', '2017-09-25', 'AUE31814', 'IG0000026', '0', '1', '0312345678', '備考1', '備考2', '備考3', '備考4', '備考5', '備考6', '1', '17110', '171119', '備考7', '備考8', '備考9', '備考10', '備考11', '備考12', '備考14', '備考15', '備考16', '備考17', '備考18', '備考19', '備考20')</t>
  </si>
  <si>
    <t>2017/09/25 16:39:52.938 D 21347 AUE31814 RegDiffIndustriesApplBL 00104D:Trace:[setResponseObjectChkPass開始]</t>
  </si>
  <si>
    <t>2017/09/25 16:39:52.938 D 21347 AUE31814 RegDiffIndustriesApplBL 00104D:Trace:[setResponseObjectChkPass終了]</t>
  </si>
  <si>
    <t>2017/09/25 16:39:52.938 D 21347 AUE31814 RegDiffIndustriesApplBL 00104D:Trace:[traceResponse開始]</t>
  </si>
  <si>
    <t>2017/09/25 16:39:52.938 D 21347 AUE31814 RegDiffIndustriesApplBL 00104D:Trace:個別結果コード0000</t>
  </si>
  <si>
    <t>2017/09/25 16:39:52.938 D 21347 AUE31814 RegDiffIndustriesApplBL 00104D:Trace:異業種申込管理番号26</t>
  </si>
  <si>
    <t>2017/09/25 16:39:52.938 D 21347 AUE31814 RegDiffIndustriesApplBL 00104D:Trace:紹介票管理番号IG0000026</t>
  </si>
  <si>
    <t>2017/09/25 16:39:52.938 D 21347 AUE31814 RegDiffIndustriesApplBL 00104D:Trace:[traceResponse終了]</t>
  </si>
  <si>
    <t>2017/09/25 16:39:52.938 D 21347 AUE31814 RegDiffIndustriesApplBL 00104D:Trace:[execute終了]</t>
  </si>
  <si>
    <t>2017/09/25 16:39:52.938 D 21347 AUE31814 RegDiffIndustriesApplServlet :△△業務ロジック△△[60ミリ秒]</t>
  </si>
  <si>
    <t>2017/09/25 16:39:52.938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26&lt;/different-appl-mng-no&gt;&lt;introduction-no&gt;IG0000026&lt;/introduction-no&gt;&lt;/reg-info&gt;&lt;/api-prm&gt;&lt;/api-response&gt;</t>
  </si>
  <si>
    <t>2017/09/25 16:39:52.938 I 21347 AUE31814 RegDiffIndustriesApplServlet 00002I:Service End</t>
  </si>
  <si>
    <t>BSS1=# select * from D_APPL_DIFF_INDUSTRY_INFO where carrier_cd='17110' and shouhin_cd='171119';</t>
  </si>
  <si>
    <t>different_appl_mng_no | 26</t>
  </si>
  <si>
    <t>introduction_no       | IG0000026</t>
  </si>
  <si>
    <t>shouhin_cd            | 171119</t>
  </si>
  <si>
    <t>rec_entry_dtime       | 25-SEP-17 16:39:52.918</t>
  </si>
  <si>
    <t>rec_update_dtime      | 25-SEP-17 16:39:52.918</t>
  </si>
  <si>
    <t>remarks_13            | (null)</t>
  </si>
  <si>
    <t>2017/09/25 16:41:21.910 I 21345          RegDiffIndustriesApplServlet 00001I:Service Start</t>
  </si>
  <si>
    <t>2017/09/25 16:41:21.910 D 21345          RegDiffIndustriesApplServlet :▽▽parse▽▽</t>
  </si>
  <si>
    <t>2017/09/25 16:41:21.910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171120&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</si>
  <si>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16:41:21.920 D 21345          RegDiffIndustriesApplServlet :△△parse△△[10ミリ秒]</t>
  </si>
  <si>
    <t>2017/09/25 16:41:21.920 D 21345 AUE31814 DBCacheUtil 00104D:Trace:groupId=BASE_SERVICE_TIME;keyword=CHECK_FLG;value=0</t>
  </si>
  <si>
    <t>2017/09/25 16:41:21.920 D 21345 AUE31814 RegDiffIndustriesApplServlet :▽▽validate▽▽</t>
  </si>
  <si>
    <t>2017/09/25 16:41:21.920 I 21345 AUE31814 RegDiffIndustriesApplServlet 01001I:Parameter Error</t>
  </si>
  <si>
    <t>2017/09/25 16:41:21.920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</si>
  <si>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16:41:21.920 I 21345 AUE31814 RegDiffIndustriesApplServlet 00002I:Service End</t>
  </si>
  <si>
    <t>2017/09/25 16:42:15.561 I 21347          RegDiffIndustriesApplServlet 00001I:Service Start</t>
  </si>
  <si>
    <t>2017/09/25 16:42:15.561 D 21347          RegDiffIndustriesApplServlet :▽▽parse▽▽</t>
  </si>
  <si>
    <t>2017/09/25 16:42:15.561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171121&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0123456789012345678901234567890123456789012345678901234567890123456789012345678901234567890123456789012345678901234567890123456789012345678901234567890123456789012345678901234567890&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</si>
  <si>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16:42:15.561 D 21347          RegDiffIndustriesApplServlet :△△parse△△[0ミリ秒]</t>
  </si>
  <si>
    <t>2017/09/25 16:42:15.561 D 21347 AUE31814 DBCacheUtil 00104D:Trace:groupId=BASE_SERVICE_TIME;keyword=CHECK_FLG;value=0</t>
  </si>
  <si>
    <t>2017/09/25 16:42:15.561 D 21347 AUE31814 RegDiffIndustriesApplServlet :▽▽validate▽▽</t>
  </si>
  <si>
    <t>2017/09/25 16:42:15.561 I 21347 AUE31814 RegDiffIndustriesApplServlet 01001I:Parameter Error</t>
  </si>
  <si>
    <t>2017/09/25 16:42:15.561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</si>
  <si>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16:42:15.561 I 21347 AUE31814 RegDiffIndustriesApplServlet 00002I:Service End</t>
  </si>
  <si>
    <t>2017/09/25 16:44:00.413 I 21345          RegDiffIndustriesApplServlet 00001I:Service Start</t>
  </si>
  <si>
    <t>2017/09/25 16:44:00.413 D 21345          RegDiffIndustriesApplServlet :▽▽parse▽▽</t>
  </si>
  <si>
    <t>2017/09/25 16:44:00.413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171123&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</si>
  <si>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16:44:00.413 D 21345          RegDiffIndustriesApplServlet :△△parse△△[0ミリ秒]</t>
  </si>
  <si>
    <t>2017/09/25 16:44:00.413 D 21345 AUE31814 DBCacheUtil 00104D:Trace:groupId=BASE_SERVICE_TIME;keyword=CHECK_FLG;value=0</t>
  </si>
  <si>
    <t>2017/09/25 16:44:00.413 D 21345 AUE31814 RegDiffIndustriesApplServlet :▽▽validate▽▽</t>
  </si>
  <si>
    <t>2017/09/25 16:44:00.413 I 21345 AUE31814 RegDiffIndustriesApplServlet 01001I:Parameter Error</t>
  </si>
  <si>
    <t>2017/09/25 16:44:00.423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</si>
  <si>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16:44:00.423 I 21345 AUE31814 RegDiffIndustriesApplServlet 00002I:Service End</t>
  </si>
  <si>
    <t>2017/09/25 16:45:00.204 I 21348          RegDiffIndustriesApplServlet 00001I:Service Start</t>
  </si>
  <si>
    <t>2017/09/25 16:45:00.204 D 21348          RegDiffIndustriesApplServlet :▽▽parse▽▽</t>
  </si>
  <si>
    <t>2017/09/25 16:45:00.204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171124&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0123456789012345678901234567890123456789012345678901234567890123456789012345678901234567890123456789012345678901234567890123456789012345678901234567890123456789012345678901234567890&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</si>
  <si>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16:45:00.204 D 21348          RegDiffIndustriesApplServlet :△△parse△△[0ミリ秒]</t>
  </si>
  <si>
    <t>2017/09/25 16:45:00.204 D 21348 AUE31814 DBCacheUtil 00104D:Trace:groupId=BASE_SERVICE_TIME;keyword=CHECK_FLG;value=0</t>
  </si>
  <si>
    <t>2017/09/25 16:45:00.204 D 21348 AUE31814 RegDiffIndustriesApplServlet :▽▽validate▽▽</t>
  </si>
  <si>
    <t>2017/09/25 16:45:00.214 I 21348 AUE31814 RegDiffIndustriesApplServlet 01001I:Parameter Error</t>
  </si>
  <si>
    <t>2017/09/25 16:45:00.214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</si>
  <si>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16:45:00.214 I 21348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</si>
  <si>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27&lt;/different-appl-mng-no&gt;&lt;introduction-no&gt;IG0000027&lt;/introduction-no&gt;&lt;/reg-info&gt;&lt;/api-prm&gt;&lt;/api-response&gt;</t>
  </si>
  <si>
    <t>2017/09/25 16:46:22.376 I 21345          RegDiffIndustriesApplServlet 00001I:Service Start</t>
  </si>
  <si>
    <t>2017/09/25 16:46:22.376 D 21345          RegDiffIndustriesApplServlet :▽▽parse▽▽</t>
  </si>
  <si>
    <t>2017/09/25 16:46:22.376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171122&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</si>
  <si>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16:46:22.376 D 21345          RegDiffIndustriesApplServlet :△△parse△△[0ミリ秒]</t>
  </si>
  <si>
    <t>2017/09/25 16:46:22.376 D 21345 AUE31814 DBCacheUtil 00104D:Trace:groupId=BASE_SERVICE_TIME;keyword=CHECK_FLG;value=0</t>
  </si>
  <si>
    <t>2017/09/25 16:46:22.376 D 21345 AUE31814 RegDiffIndustriesApplServlet :▽▽validate▽▽</t>
  </si>
  <si>
    <t>2017/09/25 16:46:22.376 D 21345 AUE31814 RegDiffIndustriesApplServlet :△△validate△△[0ミリ秒]</t>
  </si>
  <si>
    <t>2017/09/25 16:46:22.376 D 21345 AUE31814 DBCacheUtil 00104D:Trace:groupId=API_VERSION;keyword=/fmc-on/bbc-appl-api/diffindustappl/reg_diff_industries_appl;value=10</t>
  </si>
  <si>
    <t>2017/09/25 16:46:22.376 D 21345 AUE31814 RegDiffIndustriesApplServlet :▽▽業務ロジック▽▽</t>
  </si>
  <si>
    <t>2017/09/25 16:46:22.376 D 21345 AUE31814 RegDiffIndustriesApplBL 00104D:Trace:[setSequenceDao開始]</t>
  </si>
  <si>
    <t>2017/09/25 16:46:22.376 D 21345 AUE31814 RegDiffIndustriesApplBL 00104D:Trace:[setSequenceDao終了]</t>
  </si>
  <si>
    <t>2017/09/25 16:46:22.376 D 21345 AUE31814 RegDiffIndustriesApplBL 00104D:Trace:[setdApplDiffIndustryInfoApplDao開始]</t>
  </si>
  <si>
    <t>2017/09/25 16:46:22.376 D 21345 AUE31814 RegDiffIndustriesApplBL 00104D:Trace:[setdApplDiffIndustryInfoApplDao終了]</t>
  </si>
  <si>
    <t>2017/09/25 16:46:22.376 D 21345 AUE31814 RegDiffIndustriesApplBL 00104D:Trace:[execute開始]</t>
  </si>
  <si>
    <t>2017/09/25 16:46:22.376 D 21345 AUE31814 RegDiffIndustriesApplBL 00104D:Trace:[traceRequest開始]</t>
  </si>
  <si>
    <t>2017/09/25 16:46:22.376 D 21345 AUE31814 RegDiffIndustriesApplBL 00104D:Trace:au代理店コード：E845001</t>
  </si>
  <si>
    <t>2017/09/25 16:46:22.376 D 21345 AUE31814 RegDiffIndustriesApplBL 00104D:Trace: 申込押下ボタン：8</t>
  </si>
  <si>
    <t>2017/09/25 16:46:22.376 D 21345 AUE31814 RegDiffIndustriesApplBL 00104D:Trace: 店名：Ｅ８４５００１</t>
  </si>
  <si>
    <t>2017/09/25 16:46:22.376 D 21345 AUE31814 RegDiffIndustriesApplBL 00104D:Trace: 担当者名：ＯＲＡＮＧＥ担当者</t>
  </si>
  <si>
    <t>2017/09/25 16:46:22.376 D 21345 AUE31814 RegDiffIndustriesApplBL 00104D:Trace: 担当者名(名)：null</t>
  </si>
  <si>
    <t>2017/09/25 16:46:22.376 D 21345 AUE31814 RegDiffIndustriesApplBL 00104D:Trace: 電話番号：null</t>
  </si>
  <si>
    <t>2017/09/25 16:46:22.376 D 21345 AUE31814 RegDiffIndustriesApplBL 00104D:Trace: 申込年月日：20170920</t>
  </si>
  <si>
    <t>2017/09/25 16:46:22.376 D 21345 AUE31814 RegDiffIndustriesApplBL 00104D:Trace: 申込時刻：123456</t>
  </si>
  <si>
    <t>2017/09/25 16:46:22.376 D 21345 AUE31814 RegDiffIndustriesApplBL 00104D:Trace: 事業者コード：17110</t>
  </si>
  <si>
    <t>2017/09/25 16:46:22.376 D 21345 AUE31814 RegDiffIndustriesApplBL 00104D:Trace: 商品コード：171122</t>
  </si>
  <si>
    <t>2017/09/25 16:46:22.376 D 21345 AUE31814 RegDiffIndustriesApplBL 00104D:Trace: 漢字：ＦＭＣ試験　太郎</t>
  </si>
  <si>
    <t>2017/09/25 16:46:22.376 D 21345 AUE31814 RegDiffIndustriesApplBL 00104D:Trace: カナ：ＦＭＣシケン　タロウ</t>
  </si>
  <si>
    <t>2017/09/25 16:46:22.376 D 21345 AUE31814 RegDiffIndustriesApplBL 00104D:Trace: 自宅・勤務先電話番号：0312345678</t>
  </si>
  <si>
    <t>2017/09/25 16:46:22.376 D 21345 AUE31814 RegDiffIndustriesApplBL 00104D:Trace: 携帯電話番号：null</t>
  </si>
  <si>
    <t>2017/09/25 16:46:22.376 D 21345 AUE31814 RegDiffIndustriesApplBL 00104D:Trace: 郵便番号：1080035</t>
  </si>
  <si>
    <t>2017/09/25 16:46:22.376 D 21345 AUE31814 RegDiffIndustriesApplBL 00104D:Trace: 住所：東京都港区白金１丁目</t>
  </si>
  <si>
    <t>2017/09/25 16:46:22.376 D 21345 AUE31814 RegDiffIndustriesApplBL 00104D:Trace: 住居区分：0</t>
  </si>
  <si>
    <t>2017/09/25 16:46:22.376 D 21345 AUE31814 RegDiffIndustriesApplBL 00104D:Trace: 所有区分：1</t>
  </si>
  <si>
    <t>2017/09/25 16:46:22.376 D 21345 AUE31814 RegDiffIndustriesApplBL 00104D:Trace: 連絡希望曜日：0</t>
  </si>
  <si>
    <t>2017/09/25 16:46:22.376 D 21345 AUE31814 RegDiffIndustriesApplBL 00104D:Trace: 連絡希望時間帯：1</t>
  </si>
  <si>
    <t>2017/09/25 16:46:22.376 D 21345 AUE31814 RegDiffIndustriesApplBL 00104D:Trace: お客様ID：null</t>
  </si>
  <si>
    <t>2017/09/25 16:46:22.376 D 21345 AUE31814 RegDiffIndustriesApplBL 00104D:Trace: 備考1：備考1</t>
  </si>
  <si>
    <t>2017/09/25 16:46:22.376 D 21345 AUE31814 RegDiffIndustriesApplBL 00104D:Trace: 備考2：備考2</t>
  </si>
  <si>
    <t>2017/09/25 16:46:22.376 D 21345 AUE31814 RegDiffIndustriesApplBL 00104D:Trace: 備考3：備考3</t>
  </si>
  <si>
    <t>2017/09/25 16:46:22.376 D 21345 AUE31814 RegDiffIndustriesApplBL 00104D:Trace: 備考4：備考4</t>
  </si>
  <si>
    <t>2017/09/25 16:46:22.376 D 21345 AUE31814 RegDiffIndustriesApplBL 00104D:Trace: 備考5：備考5</t>
  </si>
  <si>
    <t>2017/09/25 16:46:22.376 D 21345 AUE31814 RegDiffIndustriesApplBL 00104D:Trace: 備考6：備考6</t>
  </si>
  <si>
    <t>2017/09/25 16:46:22.376 D 21345 AUE31814 RegDiffIndustriesApplBL 00104D:Trace: 備考7：備考7</t>
  </si>
  <si>
    <t>2017/09/25 16:46:22.376 D 21345 AUE31814 RegDiffIndustriesApplBL 00104D:Trace: 備考8：備考8</t>
  </si>
  <si>
    <t>2017/09/25 16:46:22.376 D 21345 AUE31814 RegDiffIndustriesApplBL 00104D:Trace: 備考9：備考9</t>
  </si>
  <si>
    <t>2017/09/25 16:46:22.376 D 21345 AUE31814 RegDiffIndustriesApplBL 00104D:Trace: 備考10：備考10</t>
  </si>
  <si>
    <t>2017/09/25 16:46:22.376 D 21345 AUE31814 RegDiffIndustriesApplBL 00104D:Trace: 備考11：備考11</t>
  </si>
  <si>
    <t>2017/09/25 16:46:22.376 D 21345 AUE31814 RegDiffIndustriesApplBL 00104D:Trace: 備考12：備考12</t>
  </si>
  <si>
    <t>2017/09/25 16:46:22.376 D 21345 AUE31814 RegDiffIndustriesApplBL 00104D:Trace: 備考13：備考13</t>
  </si>
  <si>
    <t>2017/09/25 16:46:22.376 D 21345 AUE31814 RegDiffIndustriesApplBL 00104D:Trace: 備考14：null</t>
  </si>
  <si>
    <t>2017/09/25 16:46:22.376 D 21345 AUE31814 RegDiffIndustriesApplBL 00104D:Trace: 備考15：備考15</t>
  </si>
  <si>
    <t>2017/09/25 16:46:22.376 D 21345 AUE31814 RegDiffIndustriesApplBL 00104D:Trace: 備考16：備考16</t>
  </si>
  <si>
    <t>2017/09/25 16:46:22.376 D 21345 AUE31814 RegDiffIndustriesApplBL 00104D:Trace: 備考17：備考17</t>
  </si>
  <si>
    <t>2017/09/25 16:46:22.376 D 21345 AUE31814 RegDiffIndustriesApplBL 00104D:Trace: 備考18：備考18</t>
  </si>
  <si>
    <t>2017/09/25 16:46:22.376 D 21345 AUE31814 RegDiffIndustriesApplBL 00104D:Trace: 備考19：備考19</t>
  </si>
  <si>
    <t>2017/09/25 16:46:22.376 D 21345 AUE31814 RegDiffIndustriesApplBL 00104D:Trace: 備考20：備考20</t>
  </si>
  <si>
    <t>2017/09/25 16:46:22.376 D 21345 AUE31814 RegDiffIndustriesApplBL 00104D:Trace: 特記：特記欄００１</t>
  </si>
  <si>
    <t>2017/09/25 16:46:22.376 D 21345 AUE31814 RegDiffIndustriesApplBL 00104D:Trace: au加入者コード:A1701001</t>
  </si>
  <si>
    <t>2017/09/25 16:46:22.376 D 21345 AUE31814 RegDiffIndustriesApplBL 00104D:Trace: 基本契約番号:null</t>
  </si>
  <si>
    <t>2017/09/25 16:46:22.376 I 21345 AUE31814 RegDiffIndustriesApplBL 00105I:Trace:&lt;CI&gt; 顧客区分：1</t>
  </si>
  <si>
    <t>2017/09/25 16:46:22.386 D 21345 AUE31814 RegDiffIndustriesApplBL 00104D:Trace:[traceRequest終了]</t>
  </si>
  <si>
    <t>2017/09/25 16:46:22.386 D 21345 AUE31814 RegDiffIndustriesApplBL 00104D:Trace:[checkByte開始]</t>
  </si>
  <si>
    <t>2017/09/25 16:46:22.386 I 21345 AUE31814 RegDiffIndustriesApplBL 00105I:Trace:&lt;CI&gt;errByteMessage.size =「0」</t>
  </si>
  <si>
    <t>2017/09/25 16:46:22.386 D 21345 AUE31814 RegDiffIndustriesApplBL 00104D:Trace:[checkByte終了]</t>
  </si>
  <si>
    <t>2017/09/25 16:46:22.386 D 21345 AUE31814 RegDiffIndustriesApplBL 00104D:Trace:[getDiffIndustryApplMngNo開始]</t>
  </si>
  <si>
    <t>2017/09/25 16:46:22.396 I 21345 AUE31814 RegDiffIndustriesApplBL 00101I:SQL:&lt;CI&gt;SELECT SQ_DIFF_INDUSTRY_APPL_MNG_NO.NEXTVAL FROM DUAL</t>
  </si>
  <si>
    <t>2017/09/25 16:46:22.396 D 21345 AUE31814 RegDiffIndustriesApplBL 00104D:Trace:異業種商材申込管理番号：27</t>
  </si>
  <si>
    <t>2017/09/25 16:46:22.396 D 21345 AUE31814 RegDiffIndustriesApplBL 00104D:Trace:[getDiffIndustryApplMngNo終了]</t>
  </si>
  <si>
    <t>2017/09/25 16:46:22.396 D 21345 AUE31814 RegDiffIndustriesApplBL 00104D:Trace:[getDiffIndustryIntroductionNo開始]</t>
  </si>
  <si>
    <t>2017/09/25 16:46:22.396 D 21345 AUE31814 RegDiffIndustriesApplBL 00104D:Trace:++プロパティファイルより取得した紹介票管理番号取得リトライ回数：4</t>
  </si>
  <si>
    <t>2017/09/25 16:46:22.396 D 21345 AUE31814 RegDiffIndustriesApplBL 00104D:Trace:[getSqDiffIndustryIntroductionNo開始]</t>
  </si>
  <si>
    <t>2017/09/25 16:46:22.406 I 21345 AUE31814 RegDiffIndustriesApplBL 00101I:SQL:&lt;CI&gt;SELECT SQ_DIFF_INDUSTRY_INTRODUCTION_NO.NEXTVAL FROM DUAL</t>
  </si>
  <si>
    <t>2017/09/25 16:46:22.406 D 21345 AUE31814 RegDiffIndustriesApplBL 00104D:Trace:[getSqDiffIndustryIntroductionNo終了]</t>
  </si>
  <si>
    <t>2017/09/25 16:46:22.406 D 21345 AUE31814 RegDiffIndustriesApplBL 00104D:Trace:[chkDiffIndustryIntroductionNo開始]</t>
  </si>
  <si>
    <t>2017/09/25 16:46:22.426 I 21345 AUE31814 RegDiffIndustriesApplBL 00101I:SQL:&lt;CI&gt;SELECT     count(*) FROM     D_APPL_DIFF_INDUSTRY_INFO d WHERE     d.INTRODUCTION_NO = 'IG0000027'  AND     d.BATCH_FILE_IN_STS in ('0','1')</t>
  </si>
  <si>
    <t>2017/09/25 16:46:22.426 D 21345 AUE31814 RegDiffIndustriesApplBL 00104D:Trace:[chkDiffIndustryIntroductionNo終了]</t>
  </si>
  <si>
    <t>2017/09/25 16:46:22.426 D 21345 AUE31814 RegDiffIndustriesApplBL 00104D:Trace:++紹介票管理番号を取得して完了。</t>
  </si>
  <si>
    <t>2017/09/25 16:46:22.426 D 21345 AUE31814 RegDiffIndustriesApplBL 00104D:Trace:紹介票管理番号：IG0000027</t>
  </si>
  <si>
    <t>2017/09/25 16:46:22.426 D 21345 AUE31814 RegDiffIndustriesApplBL 00104D:Trace:[getDiffIndustryIntroductionNo終了]</t>
  </si>
  <si>
    <t>2017/09/25 16:46:22.426 D 21345 AUE31814 RegDiffIndustriesApplBL 00104D:Trace:[insertDiffIndustryInfo開始]</t>
  </si>
  <si>
    <t>2017/09/25 16:46:22.426 D 21345 AUE31814 RegDiffIndustriesApplBL 00104D:Trace:[insertDiffIndustryInfo終了]</t>
  </si>
  <si>
    <t>2017/09/25 16:46:22.436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remarks_15, remarks_16, remarks_17, remarks_18, remarks_19, remarks_20) VALUES (27, 'ＯＲＡＮＧＥ担当者', 'A1701001', '0', '123456', '特記欄００１', '1', 'ＦＭＣ試験　太郎', 'ＦＭＣシケン　タロウ', '1080035', '東京都港区白金１丁目', 602, '20170920', 'AUE31814', '8', 'E845001', 'Ｅ８４５００１', '0', '2017-09-25', 'AUE31814', '2017-09-25', 'AUE31814', 'IG0000027', '0', '1', '0312345678', '備考1', '備考2', '備考3', '備考4', '備考5', '備考6', '1', '17110', '171122', '備考7', '備考8', '備考9', '備考10', '備考11', '備考12', '備考13', '備考15', '備考16', '備考17', '備考18', '備考19', '備考20')</t>
  </si>
  <si>
    <t>2017/09/25 16:46:22.436 D 21345 AUE31814 RegDiffIndustriesApplBL 00104D:Trace:[setResponseObjectChkPass開始]</t>
  </si>
  <si>
    <t>2017/09/25 16:46:22.436 D 21345 AUE31814 RegDiffIndustriesApplBL 00104D:Trace:[setResponseObjectChkPass終了]</t>
  </si>
  <si>
    <t>2017/09/25 16:46:22.436 D 21345 AUE31814 RegDiffIndustriesApplBL 00104D:Trace:[traceResponse開始]</t>
  </si>
  <si>
    <t>2017/09/25 16:46:22.436 D 21345 AUE31814 RegDiffIndustriesApplBL 00104D:Trace:個別結果コード0000</t>
  </si>
  <si>
    <t>2017/09/25 16:46:22.436 D 21345 AUE31814 RegDiffIndustriesApplBL 00104D:Trace:異業種申込管理番号27</t>
  </si>
  <si>
    <t>2017/09/25 16:46:22.436 D 21345 AUE31814 RegDiffIndustriesApplBL 00104D:Trace:紹介票管理番号IG0000027</t>
  </si>
  <si>
    <t>2017/09/25 16:46:22.436 D 21345 AUE31814 RegDiffIndustriesApplBL 00104D:Trace:[traceResponse終了]</t>
  </si>
  <si>
    <t>2017/09/25 16:46:22.436 D 21345 AUE31814 RegDiffIndustriesApplBL 00104D:Trace:[execute終了]</t>
  </si>
  <si>
    <t>2017/09/25 16:46:22.436 D 21345 AUE31814 RegDiffIndustriesApplServlet :△△業務ロジック△△[60ミリ秒]</t>
  </si>
  <si>
    <t>2017/09/25 16:46:22.436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27&lt;/different-appl-mng-no&gt;&lt;introduction-no&gt;IG0000027&lt;/introduction-no&gt;&lt;/reg-info&gt;&lt;/api-prm&gt;&lt;/api-response&gt;</t>
  </si>
  <si>
    <t>2017/09/25 16:46:22.436 I 21345 AUE31814 RegDiffIndustriesApplServlet 00002I:Service End</t>
  </si>
  <si>
    <t>BSS1=# select * from D_APPL_DIFF_INDUSTRY_INFO where carrier_cd='17110' and shouhin_cd='171122';</t>
  </si>
  <si>
    <t>different_appl_mng_no | 27</t>
  </si>
  <si>
    <t>introduction_no       | IG0000027</t>
  </si>
  <si>
    <t>shouhin_cd            | 171122</t>
  </si>
  <si>
    <t>rec_entry_dtime       | 25-SEP-17 16:46:22.426</t>
  </si>
  <si>
    <t>rec_update_dtime      | 25-SEP-17 16:46:22.426</t>
  </si>
  <si>
    <t>remarks_14            | (null)</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</si>
  <si>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28&lt;/different-appl-mng-no&gt;&lt;introduction-no&gt;IG0000028&lt;/introduction-no&gt;&lt;/reg-info&gt;&lt;/api-prm&gt;&lt;/api-response&gt;</t>
  </si>
  <si>
    <t>2017/09/25 16:47:58.298 I 21348          RegDiffIndustriesApplServlet 00001I:Service Start</t>
  </si>
  <si>
    <t>2017/09/25 16:47:58.298 D 21348          RegDiffIndustriesApplServlet :▽▽parse▽▽</t>
  </si>
  <si>
    <t>2017/09/25 16:47:58.298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171125&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</si>
  <si>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16:47:58.298 D 21348          RegDiffIndustriesApplServlet :△△parse△△[0ミリ秒]</t>
  </si>
  <si>
    <t>2017/09/25 16:47:58.298 D 21348 AUE31814 DBCacheUtil 00104D:Trace:groupId=BASE_SERVICE_TIME;keyword=CHECK_FLG;value=0</t>
  </si>
  <si>
    <t>2017/09/25 16:47:58.298 D 21348 AUE31814 RegDiffIndustriesApplServlet :▽▽validate▽▽</t>
  </si>
  <si>
    <t>2017/09/25 16:47:58.298 D 21348 AUE31814 RegDiffIndustriesApplServlet :△△validate△△[0ミリ秒]</t>
  </si>
  <si>
    <t>2017/09/25 16:47:58.298 D 21348 AUE31814 DBCacheUtil 00104D:Trace:groupId=API_VERSION;keyword=/fmc-on/bbc-appl-api/diffindustappl/reg_diff_industries_appl;value=10</t>
  </si>
  <si>
    <t>2017/09/25 16:47:58.298 D 21348 AUE31814 RegDiffIndustriesApplServlet :▽▽業務ロジック▽▽</t>
  </si>
  <si>
    <t>2017/09/25 16:47:58.298 D 21348 AUE31814 RegDiffIndustriesApplBL 00104D:Trace:[setSequenceDao開始]</t>
  </si>
  <si>
    <t>2017/09/25 16:47:58.298 D 21348 AUE31814 RegDiffIndustriesApplBL 00104D:Trace:[setSequenceDao終了]</t>
  </si>
  <si>
    <t>2017/09/25 16:47:58.298 D 21348 AUE31814 RegDiffIndustriesApplBL 00104D:Trace:[setdApplDiffIndustryInfoApplDao開始]</t>
  </si>
  <si>
    <t>2017/09/25 16:47:58.298 D 21348 AUE31814 RegDiffIndustriesApplBL 00104D:Trace:[setdApplDiffIndustryInfoApplDao終了]</t>
  </si>
  <si>
    <t>2017/09/25 16:47:58.298 D 21348 AUE31814 RegDiffIndustriesApplBL 00104D:Trace:[execute開始]</t>
  </si>
  <si>
    <t>2017/09/25 16:47:58.298 D 21348 AUE31814 RegDiffIndustriesApplBL 00104D:Trace:[traceRequest開始]</t>
  </si>
  <si>
    <t>2017/09/25 16:47:58.298 D 21348 AUE31814 RegDiffIndustriesApplBL 00104D:Trace:au代理店コード：E845001</t>
  </si>
  <si>
    <t>2017/09/25 16:47:58.298 D 21348 AUE31814 RegDiffIndustriesApplBL 00104D:Trace: 申込押下ボタン：8</t>
  </si>
  <si>
    <t>2017/09/25 16:47:58.298 D 21348 AUE31814 RegDiffIndustriesApplBL 00104D:Trace: 店名：Ｅ８４５００１</t>
  </si>
  <si>
    <t>2017/09/25 16:47:58.298 D 21348 AUE31814 RegDiffIndustriesApplBL 00104D:Trace: 担当者名：ＯＲＡＮＧＥ担当者</t>
  </si>
  <si>
    <t>2017/09/25 16:47:58.298 D 21348 AUE31814 RegDiffIndustriesApplBL 00104D:Trace: 担当者名(名)：null</t>
  </si>
  <si>
    <t>2017/09/25 16:47:58.298 D 21348 AUE31814 RegDiffIndustriesApplBL 00104D:Trace: 電話番号：null</t>
  </si>
  <si>
    <t>2017/09/25 16:47:58.298 D 21348 AUE31814 RegDiffIndustriesApplBL 00104D:Trace: 申込年月日：20170920</t>
  </si>
  <si>
    <t>2017/09/25 16:47:58.298 D 21348 AUE31814 RegDiffIndustriesApplBL 00104D:Trace: 申込時刻：123456</t>
  </si>
  <si>
    <t>2017/09/25 16:47:58.298 D 21348 AUE31814 RegDiffIndustriesApplBL 00104D:Trace: 事業者コード：17110</t>
  </si>
  <si>
    <t>2017/09/25 16:47:58.298 D 21348 AUE31814 RegDiffIndustriesApplBL 00104D:Trace: 商品コード：171125</t>
  </si>
  <si>
    <t>2017/09/25 16:47:58.298 D 21348 AUE31814 RegDiffIndustriesApplBL 00104D:Trace: 漢字：ＦＭＣ試験　太郎</t>
  </si>
  <si>
    <t>2017/09/25 16:47:58.298 D 21348 AUE31814 RegDiffIndustriesApplBL 00104D:Trace: カナ：ＦＭＣシケン　タロウ</t>
  </si>
  <si>
    <t>2017/09/25 16:47:58.298 D 21348 AUE31814 RegDiffIndustriesApplBL 00104D:Trace: 自宅・勤務先電話番号：0312345678</t>
  </si>
  <si>
    <t>2017/09/25 16:47:58.298 D 21348 AUE31814 RegDiffIndustriesApplBL 00104D:Trace: 携帯電話番号：null</t>
  </si>
  <si>
    <t>2017/09/25 16:47:58.298 D 21348 AUE31814 RegDiffIndustriesApplBL 00104D:Trace: 郵便番号：1080035</t>
  </si>
  <si>
    <t>2017/09/25 16:47:58.298 D 21348 AUE31814 RegDiffIndustriesApplBL 00104D:Trace: 住所：東京都港区白金１丁目</t>
  </si>
  <si>
    <t>2017/09/25 16:47:58.298 D 21348 AUE31814 RegDiffIndustriesApplBL 00104D:Trace: 住居区分：0</t>
  </si>
  <si>
    <t>2017/09/25 16:47:58.298 D 21348 AUE31814 RegDiffIndustriesApplBL 00104D:Trace: 所有区分：1</t>
  </si>
  <si>
    <t>2017/09/25 16:47:58.298 D 21348 AUE31814 RegDiffIndustriesApplBL 00104D:Trace: 連絡希望曜日：0</t>
  </si>
  <si>
    <t>2017/09/25 16:47:58.298 D 21348 AUE31814 RegDiffIndustriesApplBL 00104D:Trace: 連絡希望時間帯：1</t>
  </si>
  <si>
    <t>2017/09/25 16:47:58.298 D 21348 AUE31814 RegDiffIndustriesApplBL 00104D:Trace: お客様ID：null</t>
  </si>
  <si>
    <t>2017/09/25 16:47:58.298 D 21348 AUE31814 RegDiffIndustriesApplBL 00104D:Trace: 備考1：備考1</t>
  </si>
  <si>
    <t>2017/09/25 16:47:58.298 D 21348 AUE31814 RegDiffIndustriesApplBL 00104D:Trace: 備考2：備考2</t>
  </si>
  <si>
    <t>2017/09/25 16:47:58.298 D 21348 AUE31814 RegDiffIndustriesApplBL 00104D:Trace: 備考3：備考3</t>
  </si>
  <si>
    <t>2017/09/25 16:47:58.298 D 21348 AUE31814 RegDiffIndustriesApplBL 00104D:Trace: 備考4：備考4</t>
  </si>
  <si>
    <t>2017/09/25 16:47:58.298 D 21348 AUE31814 RegDiffIndustriesApplBL 00104D:Trace: 備考5：備考5</t>
  </si>
  <si>
    <t>2017/09/25 16:47:58.298 D 21348 AUE31814 RegDiffIndustriesApplBL 00104D:Trace: 備考6：備考6</t>
  </si>
  <si>
    <t>2017/09/25 16:47:58.298 D 21348 AUE31814 RegDiffIndustriesApplBL 00104D:Trace: 備考7：備考7</t>
  </si>
  <si>
    <t>2017/09/25 16:47:58.298 D 21348 AUE31814 RegDiffIndustriesApplBL 00104D:Trace: 備考8：備考8</t>
  </si>
  <si>
    <t>2017/09/25 16:47:58.298 D 21348 AUE31814 RegDiffIndustriesApplBL 00104D:Trace: 備考9：備考9</t>
  </si>
  <si>
    <t>2017/09/25 16:47:58.298 D 21348 AUE31814 RegDiffIndustriesApplBL 00104D:Trace: 備考10：備考10</t>
  </si>
  <si>
    <t>2017/09/25 16:47:58.298 D 21348 AUE31814 RegDiffIndustriesApplBL 00104D:Trace: 備考11：備考11</t>
  </si>
  <si>
    <t>2017/09/25 16:47:58.298 D 21348 AUE31814 RegDiffIndustriesApplBL 00104D:Trace: 備考12：備考12</t>
  </si>
  <si>
    <t>2017/09/25 16:47:58.298 D 21348 AUE31814 RegDiffIndustriesApplBL 00104D:Trace: 備考13：備考13</t>
  </si>
  <si>
    <t>2017/09/25 16:47:58.298 D 21348 AUE31814 RegDiffIndustriesApplBL 00104D:Trace: 備考14：備考14</t>
  </si>
  <si>
    <t>2017/09/25 16:47:58.298 D 21348 AUE31814 RegDiffIndustriesApplBL 00104D:Trace: 備考15：null</t>
  </si>
  <si>
    <t>2017/09/25 16:47:58.298 D 21348 AUE31814 RegDiffIndustriesApplBL 00104D:Trace: 備考16：備考16</t>
  </si>
  <si>
    <t>2017/09/25 16:47:58.298 D 21348 AUE31814 RegDiffIndustriesApplBL 00104D:Trace: 備考17：備考17</t>
  </si>
  <si>
    <t>2017/09/25 16:47:58.298 D 21348 AUE31814 RegDiffIndustriesApplBL 00104D:Trace: 備考18：備考18</t>
  </si>
  <si>
    <t>2017/09/25 16:47:58.298 D 21348 AUE31814 RegDiffIndustriesApplBL 00104D:Trace: 備考19：備考19</t>
  </si>
  <si>
    <t>2017/09/25 16:47:58.298 D 21348 AUE31814 RegDiffIndustriesApplBL 00104D:Trace: 備考20：備考20</t>
  </si>
  <si>
    <t>2017/09/25 16:47:58.298 D 21348 AUE31814 RegDiffIndustriesApplBL 00104D:Trace: 特記：特記欄００１</t>
  </si>
  <si>
    <t>2017/09/25 16:47:58.298 D 21348 AUE31814 RegDiffIndustriesApplBL 00104D:Trace: au加入者コード:A1701001</t>
  </si>
  <si>
    <t>2017/09/25 16:47:58.298 D 21348 AUE31814 RegDiffIndustriesApplBL 00104D:Trace: 基本契約番号:null</t>
  </si>
  <si>
    <t>2017/09/25 16:47:58.298 I 21348 AUE31814 RegDiffIndustriesApplBL 00105I:Trace:&lt;CI&gt; 顧客区分：1</t>
  </si>
  <si>
    <t>2017/09/25 16:47:58.298 D 21348 AUE31814 RegDiffIndustriesApplBL 00104D:Trace:[traceRequest終了]</t>
  </si>
  <si>
    <t>2017/09/25 16:47:58.298 D 21348 AUE31814 RegDiffIndustriesApplBL 00104D:Trace:[checkByte開始]</t>
  </si>
  <si>
    <t>2017/09/25 16:47:58.298 I 21348 AUE31814 RegDiffIndustriesApplBL 00105I:Trace:&lt;CI&gt;errByteMessage.size =「0」</t>
  </si>
  <si>
    <t>2017/09/25 16:47:58.298 D 21348 AUE31814 RegDiffIndustriesApplBL 00104D:Trace:[checkByte終了]</t>
  </si>
  <si>
    <t>2017/09/25 16:47:58.298 D 21348 AUE31814 RegDiffIndustriesApplBL 00104D:Trace:[getDiffIndustryApplMngNo開始]</t>
  </si>
  <si>
    <t>2017/09/25 16:47:58.318 I 21348 AUE31814 RegDiffIndustriesApplBL 00101I:SQL:&lt;CI&gt;SELECT SQ_DIFF_INDUSTRY_APPL_MNG_NO.NEXTVAL FROM DUAL</t>
  </si>
  <si>
    <t>2017/09/25 16:47:58.318 D 21348 AUE31814 RegDiffIndustriesApplBL 00104D:Trace:異業種商材申込管理番号：28</t>
  </si>
  <si>
    <t>2017/09/25 16:47:58.318 D 21348 AUE31814 RegDiffIndustriesApplBL 00104D:Trace:[getDiffIndustryApplMngNo終了]</t>
  </si>
  <si>
    <t>2017/09/25 16:47:58.318 D 21348 AUE31814 RegDiffIndustriesApplBL 00104D:Trace:[getDiffIndustryIntroductionNo開始]</t>
  </si>
  <si>
    <t>2017/09/25 16:47:58.318 D 21348 AUE31814 RegDiffIndustriesApplBL 00104D:Trace:++プロパティファイルより取得した紹介票管理番号取得リトライ回数：4</t>
  </si>
  <si>
    <t>2017/09/25 16:47:58.318 D 21348 AUE31814 RegDiffIndustriesApplBL 00104D:Trace:[getSqDiffIndustryIntroductionNo開始]</t>
  </si>
  <si>
    <t>2017/09/25 16:47:58.328 I 21348 AUE31814 RegDiffIndustriesApplBL 00101I:SQL:&lt;CI&gt;SELECT SQ_DIFF_INDUSTRY_INTRODUCTION_NO.NEXTVAL FROM DUAL</t>
  </si>
  <si>
    <t>2017/09/25 16:47:58.328 D 21348 AUE31814 RegDiffIndustriesApplBL 00104D:Trace:[getSqDiffIndustryIntroductionNo終了]</t>
  </si>
  <si>
    <t>2017/09/25 16:47:58.328 D 21348 AUE31814 RegDiffIndustriesApplBL 00104D:Trace:[chkDiffIndustryIntroductionNo開始]</t>
  </si>
  <si>
    <t>2017/09/25 16:47:58.338 I 21348 AUE31814 RegDiffIndustriesApplBL 00101I:SQL:&lt;CI&gt;SELECT     count(*) FROM     D_APPL_DIFF_INDUSTRY_INFO d WHERE     d.INTRODUCTION_NO = 'IG0000028'  AND     d.BATCH_FILE_IN_STS in ('0','1')</t>
  </si>
  <si>
    <t>2017/09/25 16:47:58.338 D 21348 AUE31814 RegDiffIndustriesApplBL 00104D:Trace:[chkDiffIndustryIntroductionNo終了]</t>
  </si>
  <si>
    <t>2017/09/25 16:47:58.338 D 21348 AUE31814 RegDiffIndustriesApplBL 00104D:Trace:++紹介票管理番号を取得して完了。</t>
  </si>
  <si>
    <t>2017/09/25 16:47:58.338 D 21348 AUE31814 RegDiffIndustriesApplBL 00104D:Trace:紹介票管理番号：IG0000028</t>
  </si>
  <si>
    <t>2017/09/25 16:47:58.338 D 21348 AUE31814 RegDiffIndustriesApplBL 00104D:Trace:[getDiffIndustryIntroductionNo終了]</t>
  </si>
  <si>
    <t>2017/09/25 16:47:58.338 D 21348 AUE31814 RegDiffIndustriesApplBL 00104D:Trace:[insertDiffIndustryInfo開始]</t>
  </si>
  <si>
    <t>2017/09/25 16:47:58.338 D 21348 AUE31814 RegDiffIndustriesApplBL 00104D:Trace:[insertDiffIndustryInfo終了]</t>
  </si>
  <si>
    <t>2017/09/25 16:47:58.358 I 21348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remarks_16, remarks_17, remarks_18, remarks_19, remarks_20) VALUES (28, 'ＯＲＡＮＧＥ担当者', 'A1701001', '0', '123456', '特記欄００１', '1', 'ＦＭＣ試験　太郎', 'ＦＭＣシケン　タロウ', '1080035', '東京都港区白金１丁目', 602, '20170920', 'AUE31814', '8', 'E845001', 'Ｅ８４５００１', '0', '2017-09-25', 'AUE31814', '2017-09-25', 'AUE31814', 'IG0000028', '0', '1', '0312345678', '備考1', '備考2', '備考3', '備考4', '備考5', '備考6', '1', '17110', '171125', '備考7', '備考8', '備考9', '備考10', '備考11', '備考12', '備考13', '備考14', '備考16', '備考17', '備考18', '備考19', '備考20')</t>
  </si>
  <si>
    <t>2017/09/25 16:47:58.358 D 21348 AUE31814 RegDiffIndustriesApplBL 00104D:Trace:[setResponseObjectChkPass開始]</t>
  </si>
  <si>
    <t>2017/09/25 16:47:58.358 D 21348 AUE31814 RegDiffIndustriesApplBL 00104D:Trace:[setResponseObjectChkPass終了]</t>
  </si>
  <si>
    <t>2017/09/25 16:47:58.358 D 21348 AUE31814 RegDiffIndustriesApplBL 00104D:Trace:[traceResponse開始]</t>
  </si>
  <si>
    <t>2017/09/25 16:47:58.358 D 21348 AUE31814 RegDiffIndustriesApplBL 00104D:Trace:個別結果コード0000</t>
  </si>
  <si>
    <t>2017/09/25 16:47:58.358 D 21348 AUE31814 RegDiffIndustriesApplBL 00104D:Trace:異業種申込管理番号28</t>
  </si>
  <si>
    <t>2017/09/25 16:47:58.358 D 21348 AUE31814 RegDiffIndustriesApplBL 00104D:Trace:紹介票管理番号IG0000028</t>
  </si>
  <si>
    <t>2017/09/25 16:47:58.358 D 21348 AUE31814 RegDiffIndustriesApplBL 00104D:Trace:[traceResponse終了]</t>
  </si>
  <si>
    <t>2017/09/25 16:47:58.358 D 21348 AUE31814 RegDiffIndustriesApplBL 00104D:Trace:[execute終了]</t>
  </si>
  <si>
    <t>2017/09/25 16:47:58.358 D 21348 AUE31814 RegDiffIndustriesApplServlet :△△業務ロジック△△[60ミリ秒]</t>
  </si>
  <si>
    <t>2017/09/25 16:47:58.358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28&lt;/different-appl-mng-no&gt;&lt;introduction-no&gt;IG0000028&lt;/introduction-no&gt;&lt;/reg-info&gt;&lt;/api-prm&gt;&lt;/api-response&gt;</t>
  </si>
  <si>
    <t>2017/09/25 16:47:58.358 I 21348 AUE31814 RegDiffIndustriesApplServlet 00002I:Service End</t>
  </si>
  <si>
    <t>BSS1=# select * from D_APPL_DIFF_INDUSTRY_INFO where carrier_cd='17110' and shouhin_cd='171125';</t>
  </si>
  <si>
    <t>different_appl_mng_no | 28</t>
  </si>
  <si>
    <t>introduction_no       | IG0000028</t>
  </si>
  <si>
    <t>shouhin_cd            | 171125</t>
  </si>
  <si>
    <t>rec_entry_dtime       | 25-SEP-17 16:47:58.338</t>
  </si>
  <si>
    <t>rec_update_dtime      | 25-SEP-17 16:47:58.338</t>
  </si>
  <si>
    <t>remarks_15            | (null)</t>
  </si>
  <si>
    <t>2017/09/25 16:49:18.809 I 21347          RegDiffIndustriesApplServlet 00001I:Service Start</t>
  </si>
  <si>
    <t>2017/09/25 16:49:18.809 D 21347          RegDiffIndustriesApplServlet :▽▽parse▽▽</t>
  </si>
  <si>
    <t>2017/09/25 16:49:18.809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171126&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</si>
  <si>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16:49:18.809 D 21347          RegDiffIndustriesApplServlet :△△parse△△[0ミリ秒]</t>
  </si>
  <si>
    <t>2017/09/25 16:49:18.809 D 21347 AUE31814 DBCacheUtil 00104D:Trace:groupId=BASE_SERVICE_TIME;keyword=CHECK_FLG;value=0</t>
  </si>
  <si>
    <t>2017/09/25 16:49:18.809 D 21347 AUE31814 RegDiffIndustriesApplServlet :▽▽validate▽▽</t>
  </si>
  <si>
    <t>2017/09/25 16:49:18.809 I 21347 AUE31814 RegDiffIndustriesApplServlet 01001I:Parameter Error</t>
  </si>
  <si>
    <t>2017/09/25 16:49:18.819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</si>
  <si>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16:49:18.819 I 21347 AUE31814 RegDiffIndustriesApplServlet 00002I:Service End</t>
  </si>
  <si>
    <t>2017/09/25 16:50:14.761 I 21345          RegDiffIndustriesApplServlet 00001I:Service Start</t>
  </si>
  <si>
    <t>2017/09/25 16:50:14.761 D 21345          RegDiffIndustriesApplServlet :▽▽parse▽▽</t>
  </si>
  <si>
    <t>2017/09/25 16:50:14.771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171127&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0123456789012345678901234567890123456789012345678901234567890123456789012345678901234567890123456789012345678901234567890123456789012345678901234567890123456789012345678901234567890&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</si>
  <si>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16:50:14.771 D 21345          RegDiffIndustriesApplServlet :△△parse△△[10ミリ秒]</t>
  </si>
  <si>
    <t>2017/09/25 16:50:14.771 D 21345 AUE31814 DBCacheUtil 00104D:Trace:groupId=BASE_SERVICE_TIME;keyword=CHECK_FLG;value=0</t>
  </si>
  <si>
    <t>2017/09/25 16:50:14.771 D 21345 AUE31814 RegDiffIndustriesApplServlet :▽▽validate▽▽</t>
  </si>
  <si>
    <t>2017/09/25 16:50:14.771 I 21345 AUE31814 RegDiffIndustriesApplServlet 01001I:Parameter Error</t>
  </si>
  <si>
    <t>2017/09/25 16:50:14.771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</si>
  <si>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16:50:14.771 I 21345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</si>
  <si>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29&lt;/different-appl-mng-no&gt;&lt;introduction-no&gt;IG0000029&lt;/introduction-no&gt;&lt;/reg-info&gt;&lt;/api-prm&gt;&lt;/api-response&gt;</t>
  </si>
  <si>
    <t>2017/09/25 16:51:04.012 I 21348          RegDiffIndustriesApplServlet 00001I:Service Start</t>
  </si>
  <si>
    <t>2017/09/25 16:51:04.012 D 21348          RegDiffIndustriesApplServlet :▽▽parse▽▽</t>
  </si>
  <si>
    <t>2017/09/25 16:51:04.012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171128&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</si>
  <si>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16:51:04.012 D 21348          RegDiffIndustriesApplServlet :△△parse△△[0ミリ秒]</t>
  </si>
  <si>
    <t>2017/09/25 16:51:04.012 D 21348 AUE31814 DBCacheUtil 00104D:Trace:groupId=BASE_SERVICE_TIME;keyword=CHECK_FLG;value=0</t>
  </si>
  <si>
    <t>2017/09/25 16:51:04.012 D 21348 AUE31814 RegDiffIndustriesApplServlet :▽▽validate▽▽</t>
  </si>
  <si>
    <t>2017/09/25 16:51:04.012 D 21348 AUE31814 RegDiffIndustriesApplServlet :△△validate△△[0ミリ秒]</t>
  </si>
  <si>
    <t>2017/09/25 16:51:04.012 D 21348 AUE31814 DBCacheUtil 00104D:Trace:groupId=API_VERSION;keyword=/fmc-on/bbc-appl-api/diffindustappl/reg_diff_industries_appl;value=10</t>
  </si>
  <si>
    <t>2017/09/25 16:51:04.012 D 21348 AUE31814 RegDiffIndustriesApplServlet :▽▽業務ロジック▽▽</t>
  </si>
  <si>
    <t>2017/09/25 16:51:04.012 D 21348 AUE31814 RegDiffIndustriesApplBL 00104D:Trace:[setSequenceDao開始]</t>
  </si>
  <si>
    <t>2017/09/25 16:51:04.012 D 21348 AUE31814 RegDiffIndustriesApplBL 00104D:Trace:[setSequenceDao終了]</t>
  </si>
  <si>
    <t>2017/09/25 16:51:04.012 D 21348 AUE31814 RegDiffIndustriesApplBL 00104D:Trace:[setdApplDiffIndustryInfoApplDao開始]</t>
  </si>
  <si>
    <t>2017/09/25 16:51:04.012 D 21348 AUE31814 RegDiffIndustriesApplBL 00104D:Trace:[setdApplDiffIndustryInfoApplDao終了]</t>
  </si>
  <si>
    <t>2017/09/25 16:51:04.012 D 21348 AUE31814 RegDiffIndustriesApplBL 00104D:Trace:[execute開始]</t>
  </si>
  <si>
    <t>2017/09/25 16:51:04.012 D 21348 AUE31814 RegDiffIndustriesApplBL 00104D:Trace:[traceRequest開始]</t>
  </si>
  <si>
    <t>2017/09/25 16:51:04.012 D 21348 AUE31814 RegDiffIndustriesApplBL 00104D:Trace:au代理店コード：E845001</t>
  </si>
  <si>
    <t>2017/09/25 16:51:04.012 D 21348 AUE31814 RegDiffIndustriesApplBL 00104D:Trace: 申込押下ボタン：8</t>
  </si>
  <si>
    <t>2017/09/25 16:51:04.012 D 21348 AUE31814 RegDiffIndustriesApplBL 00104D:Trace: 店名：Ｅ８４５００１</t>
  </si>
  <si>
    <t>2017/09/25 16:51:04.012 D 21348 AUE31814 RegDiffIndustriesApplBL 00104D:Trace: 担当者名：ＯＲＡＮＧＥ担当者</t>
  </si>
  <si>
    <t>2017/09/25 16:51:04.012 D 21348 AUE31814 RegDiffIndustriesApplBL 00104D:Trace: 担当者名(名)：null</t>
  </si>
  <si>
    <t>2017/09/25 16:51:04.012 D 21348 AUE31814 RegDiffIndustriesApplBL 00104D:Trace: 電話番号：null</t>
  </si>
  <si>
    <t>2017/09/25 16:51:04.012 D 21348 AUE31814 RegDiffIndustriesApplBL 00104D:Trace: 申込年月日：20170920</t>
  </si>
  <si>
    <t>2017/09/25 16:51:04.012 D 21348 AUE31814 RegDiffIndustriesApplBL 00104D:Trace: 申込時刻：123456</t>
  </si>
  <si>
    <t>2017/09/25 16:51:04.012 D 21348 AUE31814 RegDiffIndustriesApplBL 00104D:Trace: 事業者コード：17110</t>
  </si>
  <si>
    <t>2017/09/25 16:51:04.012 D 21348 AUE31814 RegDiffIndustriesApplBL 00104D:Trace: 商品コード：171128</t>
  </si>
  <si>
    <t>2017/09/25 16:51:04.012 D 21348 AUE31814 RegDiffIndustriesApplBL 00104D:Trace: 漢字：ＦＭＣ試験　太郎</t>
  </si>
  <si>
    <t>2017/09/25 16:51:04.012 D 21348 AUE31814 RegDiffIndustriesApplBL 00104D:Trace: カナ：ＦＭＣシケン　タロウ</t>
  </si>
  <si>
    <t>2017/09/25 16:51:04.012 D 21348 AUE31814 RegDiffIndustriesApplBL 00104D:Trace: 自宅・勤務先電話番号：0312345678</t>
  </si>
  <si>
    <t>2017/09/25 16:51:04.012 D 21348 AUE31814 RegDiffIndustriesApplBL 00104D:Trace: 携帯電話番号：null</t>
  </si>
  <si>
    <t>2017/09/25 16:51:04.012 D 21348 AUE31814 RegDiffIndustriesApplBL 00104D:Trace: 郵便番号：1080035</t>
  </si>
  <si>
    <t>2017/09/25 16:51:04.012 D 21348 AUE31814 RegDiffIndustriesApplBL 00104D:Trace: 住所：東京都港区白金１丁目</t>
  </si>
  <si>
    <t>2017/09/25 16:51:04.012 D 21348 AUE31814 RegDiffIndustriesApplBL 00104D:Trace: 住居区分：0</t>
  </si>
  <si>
    <t>2017/09/25 16:51:04.012 D 21348 AUE31814 RegDiffIndustriesApplBL 00104D:Trace: 所有区分：1</t>
  </si>
  <si>
    <t>2017/09/25 16:51:04.012 D 21348 AUE31814 RegDiffIndustriesApplBL 00104D:Trace: 連絡希望曜日：0</t>
  </si>
  <si>
    <t>2017/09/25 16:51:04.012 D 21348 AUE31814 RegDiffIndustriesApplBL 00104D:Trace: 連絡希望時間帯：1</t>
  </si>
  <si>
    <t>2017/09/25 16:51:04.012 D 21348 AUE31814 RegDiffIndustriesApplBL 00104D:Trace: お客様ID：null</t>
  </si>
  <si>
    <t>2017/09/25 16:51:04.012 D 21348 AUE31814 RegDiffIndustriesApplBL 00104D:Trace: 備考1：備考1</t>
  </si>
  <si>
    <t>2017/09/25 16:51:04.012 D 21348 AUE31814 RegDiffIndustriesApplBL 00104D:Trace: 備考2：備考2</t>
  </si>
  <si>
    <t>2017/09/25 16:51:04.012 D 21348 AUE31814 RegDiffIndustriesApplBL 00104D:Trace: 備考3：備考3</t>
  </si>
  <si>
    <t>2017/09/25 16:51:04.012 D 21348 AUE31814 RegDiffIndustriesApplBL 00104D:Trace: 備考4：備考4</t>
  </si>
  <si>
    <t>2017/09/25 16:51:04.012 D 21348 AUE31814 RegDiffIndustriesApplBL 00104D:Trace: 備考5：備考5</t>
  </si>
  <si>
    <t>2017/09/25 16:51:04.012 D 21348 AUE31814 RegDiffIndustriesApplBL 00104D:Trace: 備考6：備考6</t>
  </si>
  <si>
    <t>2017/09/25 16:51:04.012 D 21348 AUE31814 RegDiffIndustriesApplBL 00104D:Trace: 備考7：備考7</t>
  </si>
  <si>
    <t>2017/09/25 16:51:04.012 D 21348 AUE31814 RegDiffIndustriesApplBL 00104D:Trace: 備考8：備考8</t>
  </si>
  <si>
    <t>2017/09/25 16:51:04.012 D 21348 AUE31814 RegDiffIndustriesApplBL 00104D:Trace: 備考9：備考9</t>
  </si>
  <si>
    <t>2017/09/25 16:51:04.012 D 21348 AUE31814 RegDiffIndustriesApplBL 00104D:Trace: 備考10：備考10</t>
  </si>
  <si>
    <t>2017/09/25 16:51:04.012 D 21348 AUE31814 RegDiffIndustriesApplBL 00104D:Trace: 備考11：備考11</t>
  </si>
  <si>
    <t>2017/09/25 16:51:04.012 D 21348 AUE31814 RegDiffIndustriesApplBL 00104D:Trace: 備考12：備考12</t>
  </si>
  <si>
    <t>2017/09/25 16:51:04.012 D 21348 AUE31814 RegDiffIndustriesApplBL 00104D:Trace: 備考13：備考13</t>
  </si>
  <si>
    <t>2017/09/25 16:51:04.012 D 21348 AUE31814 RegDiffIndustriesApplBL 00104D:Trace: 備考14：備考14</t>
  </si>
  <si>
    <t>2017/09/25 16:51:04.012 D 21348 AUE31814 RegDiffIndustriesApplBL 00104D:Trace: 備考15：備考15</t>
  </si>
  <si>
    <t>2017/09/25 16:51:04.012 D 21348 AUE31814 RegDiffIndustriesApplBL 00104D:Trace: 備考16：null</t>
  </si>
  <si>
    <t>2017/09/25 16:51:04.012 D 21348 AUE31814 RegDiffIndustriesApplBL 00104D:Trace: 備考17：備考17</t>
  </si>
  <si>
    <t>2017/09/25 16:51:04.012 D 21348 AUE31814 RegDiffIndustriesApplBL 00104D:Trace: 備考18：備考18</t>
  </si>
  <si>
    <t>2017/09/25 16:51:04.012 D 21348 AUE31814 RegDiffIndustriesApplBL 00104D:Trace: 備考19：備考19</t>
  </si>
  <si>
    <t>2017/09/25 16:51:04.012 D 21348 AUE31814 RegDiffIndustriesApplBL 00104D:Trace: 備考20：備考20</t>
  </si>
  <si>
    <t>2017/09/25 16:51:04.012 D 21348 AUE31814 RegDiffIndustriesApplBL 00104D:Trace: 特記：特記欄００１</t>
  </si>
  <si>
    <t>2017/09/25 16:51:04.012 D 21348 AUE31814 RegDiffIndustriesApplBL 00104D:Trace: au加入者コード:A1701001</t>
  </si>
  <si>
    <t>2017/09/25 16:51:04.012 D 21348 AUE31814 RegDiffIndustriesApplBL 00104D:Trace: 基本契約番号:null</t>
  </si>
  <si>
    <t>2017/09/25 16:51:04.012 I 21348 AUE31814 RegDiffIndustriesApplBL 00105I:Trace:&lt;CI&gt; 顧客区分：1</t>
  </si>
  <si>
    <t>2017/09/25 16:51:04.012 D 21348 AUE31814 RegDiffIndustriesApplBL 00104D:Trace:[traceRequest終了]</t>
  </si>
  <si>
    <t>2017/09/25 16:51:04.012 D 21348 AUE31814 RegDiffIndustriesApplBL 00104D:Trace:[checkByte開始]</t>
  </si>
  <si>
    <t>2017/09/25 16:51:04.012 I 21348 AUE31814 RegDiffIndustriesApplBL 00105I:Trace:&lt;CI&gt;errByteMessage.size =「0」</t>
  </si>
  <si>
    <t>2017/09/25 16:51:04.012 D 21348 AUE31814 RegDiffIndustriesApplBL 00104D:Trace:[checkByte終了]</t>
  </si>
  <si>
    <t>2017/09/25 16:51:04.012 D 21348 AUE31814 RegDiffIndustriesApplBL 00104D:Trace:[getDiffIndustryApplMngNo開始]</t>
  </si>
  <si>
    <t>2017/09/25 16:51:04.052 I 21348 AUE31814 RegDiffIndustriesApplBL 00101I:SQL:&lt;CI&gt;SELECT SQ_DIFF_INDUSTRY_APPL_MNG_NO.NEXTVAL FROM DUAL</t>
  </si>
  <si>
    <t>2017/09/25 16:51:04.052 D 21348 AUE31814 RegDiffIndustriesApplBL 00104D:Trace:異業種商材申込管理番号：29</t>
  </si>
  <si>
    <t>2017/09/25 16:51:04.052 D 21348 AUE31814 RegDiffIndustriesApplBL 00104D:Trace:[getDiffIndustryApplMngNo終了]</t>
  </si>
  <si>
    <t>2017/09/25 16:51:04.052 D 21348 AUE31814 RegDiffIndustriesApplBL 00104D:Trace:[getDiffIndustryIntroductionNo開始]</t>
  </si>
  <si>
    <t>2017/09/25 16:51:04.052 D 21348 AUE31814 RegDiffIndustriesApplBL 00104D:Trace:++プロパティファイルより取得した紹介票管理番号取得リトライ回数：4</t>
  </si>
  <si>
    <t>2017/09/25 16:51:04.052 D 21348 AUE31814 RegDiffIndustriesApplBL 00104D:Trace:[getSqDiffIndustryIntroductionNo開始]</t>
  </si>
  <si>
    <t>2017/09/25 16:51:04.062 I 21348 AUE31814 RegDiffIndustriesApplBL 00101I:SQL:&lt;CI&gt;SELECT SQ_DIFF_INDUSTRY_INTRODUCTION_NO.NEXTVAL FROM DUAL</t>
  </si>
  <si>
    <t>2017/09/25 16:51:04.072 D 21348 AUE31814 RegDiffIndustriesApplBL 00104D:Trace:[getSqDiffIndustryIntroductionNo終了]</t>
  </si>
  <si>
    <t>2017/09/25 16:51:04.072 D 21348 AUE31814 RegDiffIndustriesApplBL 00104D:Trace:[chkDiffIndustryIntroductionNo開始]</t>
  </si>
  <si>
    <t>2017/09/25 16:51:04.082 I 21348 AUE31814 RegDiffIndustriesApplBL 00101I:SQL:&lt;CI&gt;SELECT     count(*) FROM     D_APPL_DIFF_INDUSTRY_INFO d WHERE     d.INTRODUCTION_NO = 'IG0000029'  AND     d.BATCH_FILE_IN_STS in ('0','1')</t>
  </si>
  <si>
    <t>2017/09/25 16:51:04.082 D 21348 AUE31814 RegDiffIndustriesApplBL 00104D:Trace:[chkDiffIndustryIntroductionNo終了]</t>
  </si>
  <si>
    <t>2017/09/25 16:51:04.082 D 21348 AUE31814 RegDiffIndustriesApplBL 00104D:Trace:++紹介票管理番号を取得して完了。</t>
  </si>
  <si>
    <t>2017/09/25 16:51:04.082 D 21348 AUE31814 RegDiffIndustriesApplBL 00104D:Trace:紹介票管理番号：IG0000029</t>
  </si>
  <si>
    <t>2017/09/25 16:51:04.082 D 21348 AUE31814 RegDiffIndustriesApplBL 00104D:Trace:[getDiffIndustryIntroductionNo終了]</t>
  </si>
  <si>
    <t>2017/09/25 16:51:04.082 D 21348 AUE31814 RegDiffIndustriesApplBL 00104D:Trace:[insertDiffIndustryInfo開始]</t>
  </si>
  <si>
    <t>2017/09/25 16:51:04.082 D 21348 AUE31814 RegDiffIndustriesApplBL 00104D:Trace:[insertDiffIndustryInfo終了]</t>
  </si>
  <si>
    <t>2017/09/25 16:51:04.092 I 21348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remarks_15, remarks_17, remarks_18, remarks_19, remarks_20) VALUES (29, 'ＯＲＡＮＧＥ担当者', 'A1701001', '0', '123456', '特記欄００１', '1', 'ＦＭＣ試験　太郎', 'ＦＭＣシケン　タロウ', '1080035', '東京都港区白金１丁目', 602, '20170920', 'AUE31814', '8', 'E845001', 'Ｅ８４５００１', '0', '2017-09-25', 'AUE31814', '2017-09-25', 'AUE31814', 'IG0000029', '0', '1', '0312345678', '備考1', '備考2', '備考3', '備考4', '備考5', '備考6', '1', '17110', '171128', '備考7', '備考8', '備考9', '備考10', '備考11', '備考12', '備考13', '備考14', '備考15', '備考17', '備考18', '備考19', '備考20')</t>
  </si>
  <si>
    <t>2017/09/25 16:51:04.092 D 21348 AUE31814 RegDiffIndustriesApplBL 00104D:Trace:[setResponseObjectChkPass開始]</t>
  </si>
  <si>
    <t>2017/09/25 16:51:04.102 D 21348 AUE31814 RegDiffIndustriesApplBL 00104D:Trace:[setResponseObjectChkPass終了]</t>
  </si>
  <si>
    <t>2017/09/25 16:51:04.102 D 21348 AUE31814 RegDiffIndustriesApplBL 00104D:Trace:[traceResponse開始]</t>
  </si>
  <si>
    <t>2017/09/25 16:51:04.102 D 21348 AUE31814 RegDiffIndustriesApplBL 00104D:Trace:個別結果コード0000</t>
  </si>
  <si>
    <t>2017/09/25 16:51:04.102 D 21348 AUE31814 RegDiffIndustriesApplBL 00104D:Trace:異業種申込管理番号29</t>
  </si>
  <si>
    <t>2017/09/25 16:51:04.102 D 21348 AUE31814 RegDiffIndustriesApplBL 00104D:Trace:紹介票管理番号IG0000029</t>
  </si>
  <si>
    <t>2017/09/25 16:51:04.102 D 21348 AUE31814 RegDiffIndustriesApplBL 00104D:Trace:[traceResponse終了]</t>
  </si>
  <si>
    <t>2017/09/25 16:51:04.102 D 21348 AUE31814 RegDiffIndustriesApplBL 00104D:Trace:[execute終了]</t>
  </si>
  <si>
    <t>2017/09/25 16:51:04.102 D 21348 AUE31814 RegDiffIndustriesApplServlet :△△業務ロジック△△[90ミリ秒]</t>
  </si>
  <si>
    <t>2017/09/25 16:51:04.102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29&lt;/different-appl-mng-no&gt;&lt;introduction-no&gt;IG0000029&lt;/introduction-no&gt;&lt;/reg-info&gt;&lt;/api-prm&gt;&lt;/api-response&gt;</t>
  </si>
  <si>
    <t>2017/09/25 16:51:04.102 I 21348 AUE31814 RegDiffIndustriesApplServlet 00002I:Service End</t>
  </si>
  <si>
    <t>BSS1=# select * from D_APPL_DIFF_INDUSTRY_INFO where carrier_cd='17110' and shouhin_cd='171128';</t>
  </si>
  <si>
    <t>different_appl_mng_no | 29</t>
  </si>
  <si>
    <t>introduction_no       | IG0000029</t>
  </si>
  <si>
    <t>shouhin_cd            | 171128</t>
  </si>
  <si>
    <t>rec_entry_dtime       | 25-SEP-17 16:51:04.082</t>
  </si>
  <si>
    <t>rec_update_dtime      | 25-SEP-17 16:51:04.082</t>
  </si>
  <si>
    <t>remarks_16            | (null)</t>
  </si>
  <si>
    <t>2017/09/25 16:52:23.483 I 21347          RegDiffIndustriesApplServlet 00001I:Service Start</t>
  </si>
  <si>
    <t>2017/09/25 16:52:23.483 D 21347          RegDiffIndustriesApplServlet :▽▽parse▽▽</t>
  </si>
  <si>
    <t>2017/09/25 16:52:23.483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171129&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</si>
  <si>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16:52:23.483 D 21347          RegDiffIndustriesApplServlet :△△parse△△[0ミリ秒]</t>
  </si>
  <si>
    <t>2017/09/25 16:52:23.483 D 21347 AUE31814 DBCacheUtil 00104D:Trace:groupId=BASE_SERVICE_TIME;keyword=CHECK_FLG;value=0</t>
  </si>
  <si>
    <t>2017/09/25 16:52:23.483 D 21347 AUE31814 RegDiffIndustriesApplServlet :▽▽validate▽▽</t>
  </si>
  <si>
    <t>2017/09/25 16:52:23.483 I 21347 AUE31814 RegDiffIndustriesApplServlet 01001I:Parameter Error</t>
  </si>
  <si>
    <t>2017/09/25 16:52:23.483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</si>
  <si>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16:52:23.483 I 21347 AUE31814 RegDiffIndustriesApplServlet 00002I:Service End</t>
  </si>
  <si>
    <t>2017/09/25 16:53:20.346 I 21345          RegDiffIndustriesApplServlet 00001I:Service Start</t>
  </si>
  <si>
    <t>2017/09/25 16:53:20.356 D 21345          RegDiffIndustriesApplServlet :▽▽parse▽▽</t>
  </si>
  <si>
    <t>2017/09/25 16:53:20.356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171130&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0123456789012345678901234567890123456789012345678901234567890123456789012345678901234567890123456789012345678901234567890123456789012345678901234567890123456789012345678901234567890&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</si>
  <si>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16:53:20.356 D 21345          RegDiffIndustriesApplServlet :△△parse△△[0ミリ秒]</t>
  </si>
  <si>
    <t>2017/09/25 16:53:20.356 D 21345 AUE31814 DBCacheUtil 00104D:Trace:groupId=BASE_SERVICE_TIME;keyword=CHECK_FLG;value=0</t>
  </si>
  <si>
    <t>2017/09/25 16:53:20.356 D 21345 AUE31814 RegDiffIndustriesApplServlet :▽▽validate▽▽</t>
  </si>
  <si>
    <t>2017/09/25 16:53:20.356 I 21345 AUE31814 RegDiffIndustriesApplServlet 01001I:Parameter Error</t>
  </si>
  <si>
    <t>Message    :&lt;CI&gt;String length (181) is greater than max length facet (180) for type of remarks-16 element in type of more-agency-info element in type of agency-info element in type of api-prm element in type of element api-request in namespace http://kddi.com/smc/fmconline/bbcappl/schema/reg_diff_industries_appl_request</t>
  </si>
  <si>
    <t>2017/09/25 16:53:20.356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</si>
  <si>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16:53:20.356 I 21345 AUE31814 RegDiffIndustriesApplServlet 00002I:Service End</t>
  </si>
  <si>
    <t>2017/09/25 16:54:09.097 I 21347 AUE31814 RegDiffIndustriesApplServlet 00002I:Service End</t>
  </si>
  <si>
    <t>2017/09/25 16:55:25.429 I 21345          RegDiffIndustriesApplServlet 00001I:Service Start</t>
  </si>
  <si>
    <t>2017/09/25 16:55:25.429 D 21345          RegDiffIndustriesApplServlet :▽▽parse▽▽</t>
  </si>
  <si>
    <t>2017/09/25 16:55:25.429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171132&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</si>
  <si>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16:55:25.439 D 21345          RegDiffIndustriesApplServlet :△△parse△△[10ミリ秒]</t>
  </si>
  <si>
    <t>2017/09/25 16:55:25.439 D 21345 AUE31814 DBCacheUtil 00104D:Trace:groupId=BASE_SERVICE_TIME;keyword=CHECK_FLG;value=0</t>
  </si>
  <si>
    <t>2017/09/25 16:55:25.439 D 21345 AUE31814 RegDiffIndustriesApplServlet :▽▽validate▽▽</t>
  </si>
  <si>
    <t>2017/09/25 16:55:25.439 I 21345 AUE31814 RegDiffIndustriesApplServlet 01001I:Parameter Error</t>
  </si>
  <si>
    <t>2017/09/25 16:55:25.439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</si>
  <si>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16:55:25.439 I 21345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</si>
  <si>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31&lt;/different-appl-mng-no&gt;&lt;introduction-no&gt;IG0000031&lt;/introduction-no&gt;&lt;/reg-info&gt;&lt;/api-prm&gt;&lt;/api-response&gt;</t>
  </si>
  <si>
    <t>2017/09/25 16:56:28.152 I 21347 AUE31814 RegDiffIndustriesApplServlet 00002I:Service End</t>
  </si>
  <si>
    <t>2017/09/25 16:58:08.686 I 21345          RegDiffIndustriesApplServlet 00001I:Service Start</t>
  </si>
  <si>
    <t>2017/09/25 16:58:08.686 D 21345          RegDiffIndustriesApplServlet :▽▽parse▽▽</t>
  </si>
  <si>
    <t>2017/09/25 16:58:08.686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171131&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</si>
  <si>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16:58:08.686 D 21345          RegDiffIndustriesApplServlet :△△parse△△[0ミリ秒]</t>
  </si>
  <si>
    <t>2017/09/25 16:58:08.686 D 21345 AUE31814 DBCacheUtil 00104D:Trace:groupId=BASE_SERVICE_TIME;keyword=CHECK_FLG;value=0</t>
  </si>
  <si>
    <t>2017/09/25 16:58:08.686 D 21345 AUE31814 RegDiffIndustriesApplServlet :▽▽validate▽▽</t>
  </si>
  <si>
    <t>2017/09/25 16:58:08.686 D 21345 AUE31814 RegDiffIndustriesApplServlet :△△validate△△[0ミリ秒]</t>
  </si>
  <si>
    <t>2017/09/25 16:58:08.686 D 21345 AUE31814 DBCacheUtil 00104D:Trace:groupId=API_VERSION;keyword=/fmc-on/bbc-appl-api/diffindustappl/reg_diff_industries_appl;value=10</t>
  </si>
  <si>
    <t>2017/09/25 16:58:08.686 D 21345 AUE31814 RegDiffIndustriesApplServlet :▽▽業務ロジック▽▽</t>
  </si>
  <si>
    <t>2017/09/25 16:58:08.686 D 21345 AUE31814 RegDiffIndustriesApplBL 00104D:Trace:[setSequenceDao開始]</t>
  </si>
  <si>
    <t>2017/09/25 16:58:08.686 D 21345 AUE31814 RegDiffIndustriesApplBL 00104D:Trace:[setSequenceDao終了]</t>
  </si>
  <si>
    <t>2017/09/25 16:58:08.686 D 21345 AUE31814 RegDiffIndustriesApplBL 00104D:Trace:[setdApplDiffIndustryInfoApplDao開始]</t>
  </si>
  <si>
    <t>2017/09/25 16:58:08.686 D 21345 AUE31814 RegDiffIndustriesApplBL 00104D:Trace:[setdApplDiffIndustryInfoApplDao終了]</t>
  </si>
  <si>
    <t>2017/09/25 16:58:08.686 D 21345 AUE31814 RegDiffIndustriesApplBL 00104D:Trace:[execute開始]</t>
  </si>
  <si>
    <t>2017/09/25 16:58:08.686 D 21345 AUE31814 RegDiffIndustriesApplBL 00104D:Trace:[traceRequest開始]</t>
  </si>
  <si>
    <t>2017/09/25 16:58:08.686 D 21345 AUE31814 RegDiffIndustriesApplBL 00104D:Trace:au代理店コード：E845001</t>
  </si>
  <si>
    <t>2017/09/25 16:58:08.686 D 21345 AUE31814 RegDiffIndustriesApplBL 00104D:Trace: 申込押下ボタン：8</t>
  </si>
  <si>
    <t>2017/09/25 16:58:08.686 D 21345 AUE31814 RegDiffIndustriesApplBL 00104D:Trace: 店名：Ｅ８４５００１</t>
  </si>
  <si>
    <t>2017/09/25 16:58:08.686 D 21345 AUE31814 RegDiffIndustriesApplBL 00104D:Trace: 担当者名：ＯＲＡＮＧＥ担当者</t>
  </si>
  <si>
    <t>2017/09/25 16:58:08.686 D 21345 AUE31814 RegDiffIndustriesApplBL 00104D:Trace: 担当者名(名)：null</t>
  </si>
  <si>
    <t>2017/09/25 16:58:08.686 D 21345 AUE31814 RegDiffIndustriesApplBL 00104D:Trace: 電話番号：null</t>
  </si>
  <si>
    <t>2017/09/25 16:58:08.696 D 21345 AUE31814 RegDiffIndustriesApplBL 00104D:Trace: 申込年月日：20170920</t>
  </si>
  <si>
    <t>2017/09/25 16:58:08.696 D 21345 AUE31814 RegDiffIndustriesApplBL 00104D:Trace: 申込時刻：123456</t>
  </si>
  <si>
    <t>2017/09/25 16:58:08.696 D 21345 AUE31814 RegDiffIndustriesApplBL 00104D:Trace: 事業者コード：17110</t>
  </si>
  <si>
    <t>2017/09/25 16:58:08.696 D 21345 AUE31814 RegDiffIndustriesApplBL 00104D:Trace: 商品コード：171131</t>
  </si>
  <si>
    <t>2017/09/25 16:58:08.696 D 21345 AUE31814 RegDiffIndustriesApplBL 00104D:Trace: 漢字：ＦＭＣ試験　太郎</t>
  </si>
  <si>
    <t>2017/09/25 16:58:08.696 D 21345 AUE31814 RegDiffIndustriesApplBL 00104D:Trace: カナ：ＦＭＣシケン　タロウ</t>
  </si>
  <si>
    <t>2017/09/25 16:58:08.696 D 21345 AUE31814 RegDiffIndustriesApplBL 00104D:Trace: 自宅・勤務先電話番号：0312345678</t>
  </si>
  <si>
    <t>2017/09/25 16:58:08.696 D 21345 AUE31814 RegDiffIndustriesApplBL 00104D:Trace: 携帯電話番号：null</t>
  </si>
  <si>
    <t>2017/09/25 16:58:08.696 D 21345 AUE31814 RegDiffIndustriesApplBL 00104D:Trace: 郵便番号：1080035</t>
  </si>
  <si>
    <t>2017/09/25 16:58:08.696 D 21345 AUE31814 RegDiffIndustriesApplBL 00104D:Trace: 住所：東京都港区白金１丁目</t>
  </si>
  <si>
    <t>2017/09/25 16:58:08.696 D 21345 AUE31814 RegDiffIndustriesApplBL 00104D:Trace: 住居区分：0</t>
  </si>
  <si>
    <t>2017/09/25 16:58:08.696 D 21345 AUE31814 RegDiffIndustriesApplBL 00104D:Trace: 所有区分：1</t>
  </si>
  <si>
    <t>2017/09/25 16:58:08.696 D 21345 AUE31814 RegDiffIndustriesApplBL 00104D:Trace: 連絡希望曜日：0</t>
  </si>
  <si>
    <t>2017/09/25 16:58:08.696 D 21345 AUE31814 RegDiffIndustriesApplBL 00104D:Trace: 連絡希望時間帯：1</t>
  </si>
  <si>
    <t>2017/09/25 16:58:08.696 D 21345 AUE31814 RegDiffIndustriesApplBL 00104D:Trace: お客様ID：null</t>
  </si>
  <si>
    <t>2017/09/25 16:58:08.696 D 21345 AUE31814 RegDiffIndustriesApplBL 00104D:Trace: 備考1：備考1</t>
  </si>
  <si>
    <t>2017/09/25 16:58:08.696 D 21345 AUE31814 RegDiffIndustriesApplBL 00104D:Trace: 備考2：備考2</t>
  </si>
  <si>
    <t>2017/09/25 16:58:08.696 D 21345 AUE31814 RegDiffIndustriesApplBL 00104D:Trace: 備考3：備考3</t>
  </si>
  <si>
    <t>2017/09/25 16:58:08.696 D 21345 AUE31814 RegDiffIndustriesApplBL 00104D:Trace: 備考4：備考4</t>
  </si>
  <si>
    <t>2017/09/25 16:58:08.696 D 21345 AUE31814 RegDiffIndustriesApplBL 00104D:Trace: 備考5：備考5</t>
  </si>
  <si>
    <t>2017/09/25 16:58:08.696 D 21345 AUE31814 RegDiffIndustriesApplBL 00104D:Trace: 備考6：備考6</t>
  </si>
  <si>
    <t>2017/09/25 16:58:08.696 D 21345 AUE31814 RegDiffIndustriesApplBL 00104D:Trace: 備考7：備考7</t>
  </si>
  <si>
    <t>2017/09/25 16:58:08.696 D 21345 AUE31814 RegDiffIndustriesApplBL 00104D:Trace: 備考8：備考8</t>
  </si>
  <si>
    <t>2017/09/25 16:58:08.696 D 21345 AUE31814 RegDiffIndustriesApplBL 00104D:Trace: 備考9：備考9</t>
  </si>
  <si>
    <t>2017/09/25 16:58:08.696 D 21345 AUE31814 RegDiffIndustriesApplBL 00104D:Trace: 備考10：備考10</t>
  </si>
  <si>
    <t>2017/09/25 16:58:08.696 D 21345 AUE31814 RegDiffIndustriesApplBL 00104D:Trace: 備考11：備考11</t>
  </si>
  <si>
    <t>2017/09/25 16:58:08.696 D 21345 AUE31814 RegDiffIndustriesApplBL 00104D:Trace: 備考12：備考12</t>
  </si>
  <si>
    <t>2017/09/25 16:58:08.696 D 21345 AUE31814 RegDiffIndustriesApplBL 00104D:Trace: 備考13：備考13</t>
  </si>
  <si>
    <t>2017/09/25 16:58:08.696 D 21345 AUE31814 RegDiffIndustriesApplBL 00104D:Trace: 備考14：備考14</t>
  </si>
  <si>
    <t>2017/09/25 16:58:08.696 D 21345 AUE31814 RegDiffIndustriesApplBL 00104D:Trace: 備考15：備考15</t>
  </si>
  <si>
    <t>2017/09/25 16:58:08.696 D 21345 AUE31814 RegDiffIndustriesApplBL 00104D:Trace: 備考16：備考16</t>
  </si>
  <si>
    <t>2017/09/25 16:58:08.696 D 21345 AUE31814 RegDiffIndustriesApplBL 00104D:Trace: 備考17：null</t>
  </si>
  <si>
    <t>2017/09/25 16:58:08.696 D 21345 AUE31814 RegDiffIndustriesApplBL 00104D:Trace: 備考18：備考18</t>
  </si>
  <si>
    <t>2017/09/25 16:58:08.696 D 21345 AUE31814 RegDiffIndustriesApplBL 00104D:Trace: 備考19：備考19</t>
  </si>
  <si>
    <t>2017/09/25 16:58:08.696 D 21345 AUE31814 RegDiffIndustriesApplBL 00104D:Trace: 備考20：備考20</t>
  </si>
  <si>
    <t>2017/09/25 16:58:08.696 D 21345 AUE31814 RegDiffIndustriesApplBL 00104D:Trace: 特記：特記欄００１</t>
  </si>
  <si>
    <t>2017/09/25 16:58:08.696 D 21345 AUE31814 RegDiffIndustriesApplBL 00104D:Trace: au加入者コード:A1701001</t>
  </si>
  <si>
    <t>2017/09/25 16:58:08.696 D 21345 AUE31814 RegDiffIndustriesApplBL 00104D:Trace: 基本契約番号:null</t>
  </si>
  <si>
    <t>2017/09/25 16:58:08.696 I 21345 AUE31814 RegDiffIndustriesApplBL 00105I:Trace:&lt;CI&gt; 顧客区分：1</t>
  </si>
  <si>
    <t>2017/09/25 16:58:08.696 D 21345 AUE31814 RegDiffIndustriesApplBL 00104D:Trace:[traceRequest終了]</t>
  </si>
  <si>
    <t>2017/09/25 16:58:08.696 D 21345 AUE31814 RegDiffIndustriesApplBL 00104D:Trace:[checkByte開始]</t>
  </si>
  <si>
    <t>2017/09/25 16:58:08.696 I 21345 AUE31814 RegDiffIndustriesApplBL 00105I:Trace:&lt;CI&gt;errByteMessage.size =「0」</t>
  </si>
  <si>
    <t>2017/09/25 16:58:08.696 D 21345 AUE31814 RegDiffIndustriesApplBL 00104D:Trace:[checkByte終了]</t>
  </si>
  <si>
    <t>2017/09/25 16:58:08.696 D 21345 AUE31814 RegDiffIndustriesApplBL 00104D:Trace:[getDiffIndustryApplMngNo開始]</t>
  </si>
  <si>
    <t>2017/09/25 16:58:08.716 I 21345 AUE31814 RegDiffIndustriesApplBL 00101I:SQL:&lt;CI&gt;SELECT SQ_DIFF_INDUSTRY_APPL_MNG_NO.NEXTVAL FROM DUAL</t>
  </si>
  <si>
    <t>2017/09/25 16:58:08.716 D 21345 AUE31814 RegDiffIndustriesApplBL 00104D:Trace:異業種商材申込管理番号：31</t>
  </si>
  <si>
    <t>2017/09/25 16:58:08.716 D 21345 AUE31814 RegDiffIndustriesApplBL 00104D:Trace:[getDiffIndustryApplMngNo終了]</t>
  </si>
  <si>
    <t>2017/09/25 16:58:08.716 D 21345 AUE31814 RegDiffIndustriesApplBL 00104D:Trace:[getDiffIndustryIntroductionNo開始]</t>
  </si>
  <si>
    <t>2017/09/25 16:58:08.716 D 21345 AUE31814 RegDiffIndustriesApplBL 00104D:Trace:++プロパティファイルより取得した紹介票管理番号取得リトライ回数：4</t>
  </si>
  <si>
    <t>2017/09/25 16:58:08.716 D 21345 AUE31814 RegDiffIndustriesApplBL 00104D:Trace:[getSqDiffIndustryIntroductionNo開始]</t>
  </si>
  <si>
    <t>2017/09/25 16:58:08.726 I 21345 AUE31814 RegDiffIndustriesApplBL 00101I:SQL:&lt;CI&gt;SELECT SQ_DIFF_INDUSTRY_INTRODUCTION_NO.NEXTVAL FROM DUAL</t>
  </si>
  <si>
    <t>2017/09/25 16:58:08.726 D 21345 AUE31814 RegDiffIndustriesApplBL 00104D:Trace:[getSqDiffIndustryIntroductionNo終了]</t>
  </si>
  <si>
    <t>2017/09/25 16:58:08.726 D 21345 AUE31814 RegDiffIndustriesApplBL 00104D:Trace:[chkDiffIndustryIntroductionNo開始]</t>
  </si>
  <si>
    <t>2017/09/25 16:58:08.736 I 21345 AUE31814 RegDiffIndustriesApplBL 00101I:SQL:&lt;CI&gt;SELECT     count(*) FROM     D_APPL_DIFF_INDUSTRY_INFO d WHERE     d.INTRODUCTION_NO = 'IG0000031'  AND     d.BATCH_FILE_IN_STS in ('0','1')</t>
  </si>
  <si>
    <t>2017/09/25 16:58:08.736 D 21345 AUE31814 RegDiffIndustriesApplBL 00104D:Trace:[chkDiffIndustryIntroductionNo終了]</t>
  </si>
  <si>
    <t>2017/09/25 16:58:08.736 D 21345 AUE31814 RegDiffIndustriesApplBL 00104D:Trace:++紹介票管理番号を取得して完了。</t>
  </si>
  <si>
    <t>2017/09/25 16:58:08.736 D 21345 AUE31814 RegDiffIndustriesApplBL 00104D:Trace:紹介票管理番号：IG0000031</t>
  </si>
  <si>
    <t>2017/09/25 16:58:08.736 D 21345 AUE31814 RegDiffIndustriesApplBL 00104D:Trace:[getDiffIndustryIntroductionNo終了]</t>
  </si>
  <si>
    <t>2017/09/25 16:58:08.736 D 21345 AUE31814 RegDiffIndustriesApplBL 00104D:Trace:[insertDiffIndustryInfo開始]</t>
  </si>
  <si>
    <t>2017/09/25 16:58:08.736 D 21345 AUE31814 RegDiffIndustriesApplBL 00104D:Trace:[insertDiffIndustryInfo終了]</t>
  </si>
  <si>
    <t>2017/09/25 16:58:08.756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remarks_15, remarks_16, remarks_18, remarks_19, remarks_20) VALUES (31, 'ＯＲＡＮＧＥ担当者', 'A1701001', '0', '123456', '特記欄００１', '1', 'ＦＭＣ試験　太郎', 'ＦＭＣシケン　タロウ', '1080035', '東京都港区白金１丁目', 602, '20170920', 'AUE31814', '8', 'E845001', 'Ｅ８４５００１', '0', '2017-09-25', 'AUE31814', '2017-09-25', 'AUE31814', 'IG0000031', '0', '1', '0312345678', '備考1', '備考2', '備考3', '備考4', '備考5', '備考6', '1', '17110', '171131', '備考7', '備考8', '備考9', '備考10', '備考11', '備考12', '備考13', '備考14', '備考15', '備考16', '備考18', '備考19', '備考20')</t>
  </si>
  <si>
    <t>2017/09/25 16:58:08.756 D 21345 AUE31814 RegDiffIndustriesApplBL 00104D:Trace:[setResponseObjectChkPass開始]</t>
  </si>
  <si>
    <t>2017/09/25 16:58:08.756 D 21345 AUE31814 RegDiffIndustriesApplBL 00104D:Trace:[setResponseObjectChkPass終了]</t>
  </si>
  <si>
    <t>2017/09/25 16:58:08.756 D 21345 AUE31814 RegDiffIndustriesApplBL 00104D:Trace:[traceResponse開始]</t>
  </si>
  <si>
    <t>2017/09/25 16:58:08.756 D 21345 AUE31814 RegDiffIndustriesApplBL 00104D:Trace:個別結果コード0000</t>
  </si>
  <si>
    <t>2017/09/25 16:58:08.756 D 21345 AUE31814 RegDiffIndustriesApplBL 00104D:Trace:異業種申込管理番号31</t>
  </si>
  <si>
    <t>2017/09/25 16:58:08.756 D 21345 AUE31814 RegDiffIndustriesApplBL 00104D:Trace:紹介票管理番号IG0000031</t>
  </si>
  <si>
    <t>2017/09/25 16:58:08.756 D 21345 AUE31814 RegDiffIndustriesApplBL 00104D:Trace:[traceResponse終了]</t>
  </si>
  <si>
    <t>2017/09/25 16:58:08.756 D 21345 AUE31814 RegDiffIndustriesApplBL 00104D:Trace:[execute終了]</t>
  </si>
  <si>
    <t>2017/09/25 16:58:08.756 D 21345 AUE31814 RegDiffIndustriesApplServlet :△△業務ロジック△△[70ミリ秒]</t>
  </si>
  <si>
    <t>2017/09/25 16:58:08.756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31&lt;/different-appl-mng-no&gt;&lt;introduction-no&gt;IG0000031&lt;/introduction-no&gt;&lt;/reg-info&gt;&lt;/api-prm&gt;&lt;/api-response&gt;</t>
  </si>
  <si>
    <t>2017/09/25 16:58:08.756 I 21345 AUE31814 RegDiffIndustriesApplServlet 00002I:Service End</t>
  </si>
  <si>
    <t>-[ RECORD 2 ]---------+-----------------------</t>
  </si>
  <si>
    <t>different_appl_mng_no | 31</t>
  </si>
  <si>
    <t>introduction_no       | IG0000031</t>
  </si>
  <si>
    <t>shouhin_cd            | 171131</t>
  </si>
  <si>
    <t>rec_entry_dtime       | 25-SEP-17 16:58:08.736</t>
  </si>
  <si>
    <t>rec_update_dtime      | 25-SEP-17 16:58:08.736</t>
  </si>
  <si>
    <t>remarks_17            | (null)</t>
  </si>
  <si>
    <t>2017/09/25 17:01:28.022 I 21348          RegDiffIndustriesApplServlet 00001I:Service Start</t>
  </si>
  <si>
    <t>2017/09/25 17:01:28.022 D 21348          RegDiffIndustriesApplServlet :▽▽parse▽▽</t>
  </si>
  <si>
    <t>2017/09/25 17:01:28.022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171133&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0123456789012345678901234567890123456789012345678901234567890123456789012345678901234567890123456789012345678901234567890123456789012345678901234567890123456789012345678901234567890&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</si>
  <si>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17:01:28.022 D 21348          RegDiffIndustriesApplServlet :△△parse△△[0ミリ秒]</t>
  </si>
  <si>
    <t>2017/09/25 17:01:28.022 D 21348 AUE31814 DBCacheUtil 00104D:Trace:groupId=BASE_SERVICE_TIME;keyword=CHECK_FLG;value=0</t>
  </si>
  <si>
    <t>2017/09/25 17:01:28.022 D 21348 AUE31814 RegDiffIndustriesApplServlet :▽▽validate▽▽</t>
  </si>
  <si>
    <t>2017/09/25 17:01:28.022 I 21348 AUE31814 RegDiffIndustriesApplServlet 01001I:Parameter Error</t>
  </si>
  <si>
    <t>2017/09/25 17:01:28.022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</si>
  <si>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17:01:28.022 I 21348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</si>
  <si>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32&lt;/different-appl-mng-no&gt;&lt;introduction-no&gt;IG0000032&lt;/introduction-no&gt;&lt;/reg-info&gt;&lt;/api-prm&gt;&lt;/api-response&gt;</t>
  </si>
  <si>
    <t>2017/09/25 17:02:20.263 I 21345          RegDiffIndustriesApplServlet 00001I:Service Start</t>
  </si>
  <si>
    <t>2017/09/25 17:02:20.263 D 21345          RegDiffIndustriesApplServlet :▽▽parse▽▽</t>
  </si>
  <si>
    <t>2017/09/25 17:02:20.263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171134&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</si>
  <si>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17:02:20.263 D 21345          RegDiffIndustriesApplServlet :△△parse△△[0ミリ秒]</t>
  </si>
  <si>
    <t>2017/09/25 17:02:20.263 D 21345 AUE31814 DBCacheUtil 00104D:Trace:groupId=BASE_SERVICE_TIME;keyword=CHECK_FLG;value=0</t>
  </si>
  <si>
    <t>2017/09/25 17:02:20.263 D 21345 AUE31814 RegDiffIndustriesApplServlet :▽▽validate▽▽</t>
  </si>
  <si>
    <t>2017/09/25 17:02:20.263 D 21345 AUE31814 RegDiffIndustriesApplServlet :△△validate△△[0ミリ秒]</t>
  </si>
  <si>
    <t>2017/09/25 17:02:20.263 D 21345 AUE31814 DBCacheUtil 00104D:Trace:groupId=API_VERSION;keyword=/fmc-on/bbc-appl-api/diffindustappl/reg_diff_industries_appl;value=10</t>
  </si>
  <si>
    <t>2017/09/25 17:02:20.263 D 21345 AUE31814 RegDiffIndustriesApplServlet :▽▽業務ロジック▽▽</t>
  </si>
  <si>
    <t>2017/09/25 17:02:20.263 D 21345 AUE31814 RegDiffIndustriesApplBL 00104D:Trace:[setSequenceDao開始]</t>
  </si>
  <si>
    <t>2017/09/25 17:02:20.263 D 21345 AUE31814 RegDiffIndustriesApplBL 00104D:Trace:[setSequenceDao終了]</t>
  </si>
  <si>
    <t>2017/09/25 17:02:20.263 D 21345 AUE31814 RegDiffIndustriesApplBL 00104D:Trace:[setdApplDiffIndustryInfoApplDao開始]</t>
  </si>
  <si>
    <t>2017/09/25 17:02:20.263 D 21345 AUE31814 RegDiffIndustriesApplBL 00104D:Trace:[setdApplDiffIndustryInfoApplDao終了]</t>
  </si>
  <si>
    <t>2017/09/25 17:02:20.263 D 21345 AUE31814 RegDiffIndustriesApplBL 00104D:Trace:[execute開始]</t>
  </si>
  <si>
    <t>2017/09/25 17:02:20.263 D 21345 AUE31814 RegDiffIndustriesApplBL 00104D:Trace:[traceRequest開始]</t>
  </si>
  <si>
    <t>2017/09/25 17:02:20.263 D 21345 AUE31814 RegDiffIndustriesApplBL 00104D:Trace:au代理店コード：E845001</t>
  </si>
  <si>
    <t>2017/09/25 17:02:20.263 D 21345 AUE31814 RegDiffIndustriesApplBL 00104D:Trace: 申込押下ボタン：8</t>
  </si>
  <si>
    <t>2017/09/25 17:02:20.263 D 21345 AUE31814 RegDiffIndustriesApplBL 00104D:Trace: 店名：Ｅ８４５００１</t>
  </si>
  <si>
    <t>2017/09/25 17:02:20.263 D 21345 AUE31814 RegDiffIndustriesApplBL 00104D:Trace: 担当者名：ＯＲＡＮＧＥ担当者</t>
  </si>
  <si>
    <t>2017/09/25 17:02:20.263 D 21345 AUE31814 RegDiffIndustriesApplBL 00104D:Trace: 担当者名(名)：null</t>
  </si>
  <si>
    <t>2017/09/25 17:02:20.263 D 21345 AUE31814 RegDiffIndustriesApplBL 00104D:Trace: 電話番号：null</t>
  </si>
  <si>
    <t>2017/09/25 17:02:20.263 D 21345 AUE31814 RegDiffIndustriesApplBL 00104D:Trace: 申込年月日：20170920</t>
  </si>
  <si>
    <t>2017/09/25 17:02:20.273 D 21345 AUE31814 RegDiffIndustriesApplBL 00104D:Trace: 申込時刻：123456</t>
  </si>
  <si>
    <t>2017/09/25 17:02:20.273 D 21345 AUE31814 RegDiffIndustriesApplBL 00104D:Trace: 事業者コード：17110</t>
  </si>
  <si>
    <t>2017/09/25 17:02:20.273 D 21345 AUE31814 RegDiffIndustriesApplBL 00104D:Trace: 商品コード：171134</t>
  </si>
  <si>
    <t>2017/09/25 17:02:20.273 D 21345 AUE31814 RegDiffIndustriesApplBL 00104D:Trace: 漢字：ＦＭＣ試験　太郎</t>
  </si>
  <si>
    <t>2017/09/25 17:02:20.273 D 21345 AUE31814 RegDiffIndustriesApplBL 00104D:Trace: カナ：ＦＭＣシケン　タロウ</t>
  </si>
  <si>
    <t>2017/09/25 17:02:20.273 D 21345 AUE31814 RegDiffIndustriesApplBL 00104D:Trace: 自宅・勤務先電話番号：0312345678</t>
  </si>
  <si>
    <t>2017/09/25 17:02:20.273 D 21345 AUE31814 RegDiffIndustriesApplBL 00104D:Trace: 携帯電話番号：null</t>
  </si>
  <si>
    <t>2017/09/25 17:02:20.273 D 21345 AUE31814 RegDiffIndustriesApplBL 00104D:Trace: 郵便番号：1080035</t>
  </si>
  <si>
    <t>2017/09/25 17:02:20.273 D 21345 AUE31814 RegDiffIndustriesApplBL 00104D:Trace: 住所：東京都港区白金１丁目</t>
  </si>
  <si>
    <t>2017/09/25 17:02:20.273 D 21345 AUE31814 RegDiffIndustriesApplBL 00104D:Trace: 住居区分：0</t>
  </si>
  <si>
    <t>2017/09/25 17:02:20.273 D 21345 AUE31814 RegDiffIndustriesApplBL 00104D:Trace: 所有区分：1</t>
  </si>
  <si>
    <t>2017/09/25 17:02:20.273 D 21345 AUE31814 RegDiffIndustriesApplBL 00104D:Trace: 連絡希望曜日：0</t>
  </si>
  <si>
    <t>2017/09/25 17:02:20.273 D 21345 AUE31814 RegDiffIndustriesApplBL 00104D:Trace: 連絡希望時間帯：1</t>
  </si>
  <si>
    <t>2017/09/25 17:02:20.273 D 21345 AUE31814 RegDiffIndustriesApplBL 00104D:Trace: お客様ID：null</t>
  </si>
  <si>
    <t>2017/09/25 17:02:20.273 D 21345 AUE31814 RegDiffIndustriesApplBL 00104D:Trace: 備考1：備考1</t>
  </si>
  <si>
    <t>2017/09/25 17:02:20.273 D 21345 AUE31814 RegDiffIndustriesApplBL 00104D:Trace: 備考2：備考2</t>
  </si>
  <si>
    <t>2017/09/25 17:02:20.273 D 21345 AUE31814 RegDiffIndustriesApplBL 00104D:Trace: 備考3：備考3</t>
  </si>
  <si>
    <t>2017/09/25 17:02:20.273 D 21345 AUE31814 RegDiffIndustriesApplBL 00104D:Trace: 備考4：備考4</t>
  </si>
  <si>
    <t>2017/09/25 17:02:20.273 D 21345 AUE31814 RegDiffIndustriesApplBL 00104D:Trace: 備考5：備考5</t>
  </si>
  <si>
    <t>2017/09/25 17:02:20.273 D 21345 AUE31814 RegDiffIndustriesApplBL 00104D:Trace: 備考6：備考6</t>
  </si>
  <si>
    <t>2017/09/25 17:02:20.273 D 21345 AUE31814 RegDiffIndustriesApplBL 00104D:Trace: 備考7：備考7</t>
  </si>
  <si>
    <t>2017/09/25 17:02:20.273 D 21345 AUE31814 RegDiffIndustriesApplBL 00104D:Trace: 備考8：備考8</t>
  </si>
  <si>
    <t>2017/09/25 17:02:20.273 D 21345 AUE31814 RegDiffIndustriesApplBL 00104D:Trace: 備考9：備考9</t>
  </si>
  <si>
    <t>2017/09/25 17:02:20.273 D 21345 AUE31814 RegDiffIndustriesApplBL 00104D:Trace: 備考10：備考10</t>
  </si>
  <si>
    <t>2017/09/25 17:02:20.273 D 21345 AUE31814 RegDiffIndustriesApplBL 00104D:Trace: 備考11：備考11</t>
  </si>
  <si>
    <t>2017/09/25 17:02:20.273 D 21345 AUE31814 RegDiffIndustriesApplBL 00104D:Trace: 備考12：備考12</t>
  </si>
  <si>
    <t>2017/09/25 17:02:20.273 D 21345 AUE31814 RegDiffIndustriesApplBL 00104D:Trace: 備考13：備考13</t>
  </si>
  <si>
    <t>2017/09/25 17:02:20.273 D 21345 AUE31814 RegDiffIndustriesApplBL 00104D:Trace: 備考14：備考14</t>
  </si>
  <si>
    <t>2017/09/25 17:02:20.273 D 21345 AUE31814 RegDiffIndustriesApplBL 00104D:Trace: 備考15：備考15</t>
  </si>
  <si>
    <t>2017/09/25 17:02:20.273 D 21345 AUE31814 RegDiffIndustriesApplBL 00104D:Trace: 備考16：備考16</t>
  </si>
  <si>
    <t>2017/09/25 17:02:20.273 D 21345 AUE31814 RegDiffIndustriesApplBL 00104D:Trace: 備考17：備考17</t>
  </si>
  <si>
    <t>2017/09/25 17:02:20.273 D 21345 AUE31814 RegDiffIndustriesApplBL 00104D:Trace: 備考18：null</t>
  </si>
  <si>
    <t>2017/09/25 17:02:20.273 D 21345 AUE31814 RegDiffIndustriesApplBL 00104D:Trace: 備考19：備考19</t>
  </si>
  <si>
    <t>2017/09/25 17:02:20.273 D 21345 AUE31814 RegDiffIndustriesApplBL 00104D:Trace: 備考20：備考20</t>
  </si>
  <si>
    <t>2017/09/25 17:02:20.273 D 21345 AUE31814 RegDiffIndustriesApplBL 00104D:Trace: 特記：特記欄００１</t>
  </si>
  <si>
    <t>2017/09/25 17:02:20.273 D 21345 AUE31814 RegDiffIndustriesApplBL 00104D:Trace: au加入者コード:A1701001</t>
  </si>
  <si>
    <t>2017/09/25 17:02:20.273 D 21345 AUE31814 RegDiffIndustriesApplBL 00104D:Trace: 基本契約番号:null</t>
  </si>
  <si>
    <t>2017/09/25 17:02:20.273 I 21345 AUE31814 RegDiffIndustriesApplBL 00105I:Trace:&lt;CI&gt; 顧客区分：1</t>
  </si>
  <si>
    <t>2017/09/25 17:02:20.273 D 21345 AUE31814 RegDiffIndustriesApplBL 00104D:Trace:[traceRequest終了]</t>
  </si>
  <si>
    <t>2017/09/25 17:02:20.273 D 21345 AUE31814 RegDiffIndustriesApplBL 00104D:Trace:[checkByte開始]</t>
  </si>
  <si>
    <t>2017/09/25 17:02:20.273 I 21345 AUE31814 RegDiffIndustriesApplBL 00105I:Trace:&lt;CI&gt;errByteMessage.size =「0」</t>
  </si>
  <si>
    <t>2017/09/25 17:02:20.273 D 21345 AUE31814 RegDiffIndustriesApplBL 00104D:Trace:[checkByte終了]</t>
  </si>
  <si>
    <t>2017/09/25 17:02:20.273 D 21345 AUE31814 RegDiffIndustriesApplBL 00104D:Trace:[getDiffIndustryApplMngNo開始]</t>
  </si>
  <si>
    <t>2017/09/25 17:02:20.283 I 21345 AUE31814 RegDiffIndustriesApplBL 00101I:SQL:&lt;CI&gt;SELECT SQ_DIFF_INDUSTRY_APPL_MNG_NO.NEXTVAL FROM DUAL</t>
  </si>
  <si>
    <t>2017/09/25 17:02:20.283 D 21345 AUE31814 RegDiffIndustriesApplBL 00104D:Trace:異業種商材申込管理番号：32</t>
  </si>
  <si>
    <t>2017/09/25 17:02:20.283 D 21345 AUE31814 RegDiffIndustriesApplBL 00104D:Trace:[getDiffIndustryApplMngNo終了]</t>
  </si>
  <si>
    <t>2017/09/25 17:02:20.283 D 21345 AUE31814 RegDiffIndustriesApplBL 00104D:Trace:[getDiffIndustryIntroductionNo開始]</t>
  </si>
  <si>
    <t>2017/09/25 17:02:20.293 D 21345 AUE31814 RegDiffIndustriesApplBL 00104D:Trace:++プロパティファイルより取得した紹介票管理番号取得リトライ回数：4</t>
  </si>
  <si>
    <t>2017/09/25 17:02:20.293 D 21345 AUE31814 RegDiffIndustriesApplBL 00104D:Trace:[getSqDiffIndustryIntroductionNo開始]</t>
  </si>
  <si>
    <t>2017/09/25 17:02:20.303 I 21345 AUE31814 RegDiffIndustriesApplBL 00101I:SQL:&lt;CI&gt;SELECT SQ_DIFF_INDUSTRY_INTRODUCTION_NO.NEXTVAL FROM DUAL</t>
  </si>
  <si>
    <t>2017/09/25 17:02:20.303 D 21345 AUE31814 RegDiffIndustriesApplBL 00104D:Trace:[getSqDiffIndustryIntroductionNo終了]</t>
  </si>
  <si>
    <t>2017/09/25 17:02:20.303 D 21345 AUE31814 RegDiffIndustriesApplBL 00104D:Trace:[chkDiffIndustryIntroductionNo開始]</t>
  </si>
  <si>
    <t>2017/09/25 17:02:20.313 I 21345 AUE31814 RegDiffIndustriesApplBL 00101I:SQL:&lt;CI&gt;SELECT     count(*) FROM     D_APPL_DIFF_INDUSTRY_INFO d WHERE     d.INTRODUCTION_NO = 'IG0000032'  AND     d.BATCH_FILE_IN_STS in ('0','1')</t>
  </si>
  <si>
    <t>2017/09/25 17:02:20.313 D 21345 AUE31814 RegDiffIndustriesApplBL 00104D:Trace:[chkDiffIndustryIntroductionNo終了]</t>
  </si>
  <si>
    <t>2017/09/25 17:02:20.313 D 21345 AUE31814 RegDiffIndustriesApplBL 00104D:Trace:++紹介票管理番号を取得して完了。</t>
  </si>
  <si>
    <t>2017/09/25 17:02:20.313 D 21345 AUE31814 RegDiffIndustriesApplBL 00104D:Trace:紹介票管理番号：IG0000032</t>
  </si>
  <si>
    <t>2017/09/25 17:02:20.313 D 21345 AUE31814 RegDiffIndustriesApplBL 00104D:Trace:[getDiffIndustryIntroductionNo終了]</t>
  </si>
  <si>
    <t>2017/09/25 17:02:20.313 D 21345 AUE31814 RegDiffIndustriesApplBL 00104D:Trace:[insertDiffIndustryInfo開始]</t>
  </si>
  <si>
    <t>2017/09/25 17:02:20.313 D 21345 AUE31814 RegDiffIndustriesApplBL 00104D:Trace:[insertDiffIndustryInfo終了]</t>
  </si>
  <si>
    <t>2017/09/25 17:02:20.333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remarks_15, remarks_16, remarks_17, remarks_19, remarks_20) VALUES (32, 'ＯＲＡＮＧＥ担当者', 'A1701001', '0', '123456', '特記欄００１', '1', 'ＦＭＣ試験　太郎', 'ＦＭＣシケン　タロウ', '1080035', '東京都港区白金１丁目', 602, '20170920', 'AUE31814', '8', 'E845001', 'Ｅ８４５００１', '0', '2017-09-25', 'AUE31814', '2017-09-25', 'AUE31814', 'IG0000032', '0', '1', '0312345678', '備考1', '備考2', '備考3', '備考4', '備考5', '備考6', '1', '17110', '171134', '備考7', '備考8', '備考9', '備考10', '備考11', '備考12', '備考13', '備考14', '備考15', '備考16', '備考17', '備考19', '備考20')</t>
  </si>
  <si>
    <t>2017/09/25 17:02:20.333 D 21345 AUE31814 RegDiffIndustriesApplBL 00104D:Trace:[setResponseObjectChkPass開始]</t>
  </si>
  <si>
    <t>2017/09/25 17:02:20.333 D 21345 AUE31814 RegDiffIndustriesApplBL 00104D:Trace:[setResponseObjectChkPass終了]</t>
  </si>
  <si>
    <t>2017/09/25 17:02:20.333 D 21345 AUE31814 RegDiffIndustriesApplBL 00104D:Trace:[traceResponse開始]</t>
  </si>
  <si>
    <t>2017/09/25 17:02:20.333 D 21345 AUE31814 RegDiffIndustriesApplBL 00104D:Trace:個別結果コード0000</t>
  </si>
  <si>
    <t>2017/09/25 17:02:20.333 D 21345 AUE31814 RegDiffIndustriesApplBL 00104D:Trace:異業種申込管理番号32</t>
  </si>
  <si>
    <t>2017/09/25 17:02:20.333 D 21345 AUE31814 RegDiffIndustriesApplBL 00104D:Trace:紹介票管理番号IG0000032</t>
  </si>
  <si>
    <t>2017/09/25 17:02:20.333 D 21345 AUE31814 RegDiffIndustriesApplBL 00104D:Trace:[traceResponse終了]</t>
  </si>
  <si>
    <t>2017/09/25 17:02:20.333 D 21345 AUE31814 RegDiffIndustriesApplBL 00104D:Trace:[execute終了]</t>
  </si>
  <si>
    <t>2017/09/25 17:02:20.333 D 21345 AUE31814 RegDiffIndustriesApplServlet :△△業務ロジック△△[70ミリ秒]</t>
  </si>
  <si>
    <t>2017/09/25 17:02:20.333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32&lt;/different-appl-mng-no&gt;&lt;introduction-no&gt;IG0000032&lt;/introduction-no&gt;&lt;/reg-info&gt;&lt;/api-prm&gt;&lt;/api-response&gt;</t>
  </si>
  <si>
    <t>2017/09/25 17:02:20.333 I 21345 AUE31814 RegDiffIndustriesApplServlet 00002I:Service End</t>
  </si>
  <si>
    <t>BSS1=# select * from D_APPL_DIFF_INDUSTRY_INFO where carrier_cd='17110' and shouhin_cd='171134';</t>
  </si>
  <si>
    <t>different_appl_mng_no | 32</t>
  </si>
  <si>
    <t>introduction_no       | IG0000032</t>
  </si>
  <si>
    <t>shouhin_cd            | 171134</t>
  </si>
  <si>
    <t>rec_entry_dtime       | 25-SEP-17 17:02:20.313</t>
  </si>
  <si>
    <t>rec_update_dtime      | 25-SEP-17 17:02:20.313</t>
  </si>
  <si>
    <t>remarks_18            | (null)</t>
  </si>
  <si>
    <t>2017/09/25 17:04:39.116 I 21348          RegDiffIndustriesApplServlet 00001I:Service Start</t>
  </si>
  <si>
    <t>2017/09/25 17:04:39.116 D 21348          RegDiffIndustriesApplServlet :▽▽parse▽▽</t>
  </si>
  <si>
    <t>2017/09/25 17:04:39.116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171135&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</si>
  <si>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17:04:39.116 D 21348          RegDiffIndustriesApplServlet :△△parse△△[0ミリ秒]</t>
  </si>
  <si>
    <t>2017/09/25 17:04:39.116 D 21348 AUE31814 DBCacheUtil 00104D:Trace:groupId=BASE_SERVICE_TIME;keyword=CHECK_FLG;value=0</t>
  </si>
  <si>
    <t>2017/09/25 17:04:39.116 D 21348 AUE31814 RegDiffIndustriesApplServlet :▽▽validate▽▽</t>
  </si>
  <si>
    <t>2017/09/25 17:04:39.116 I 21348 AUE31814 RegDiffIndustriesApplServlet 01001I:Parameter Error</t>
  </si>
  <si>
    <t>2017/09/25 17:04:39.116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</si>
  <si>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17:04:39.116 I 21348 AUE31814 RegDiffIndustriesApplServlet 00002I:Service End</t>
  </si>
  <si>
    <t>2017/09/25 17:05:31.889 I 21347          RegDiffIndustriesApplServlet 00001I:Service Start</t>
  </si>
  <si>
    <t>2017/09/25 17:05:31.889 D 21347          RegDiffIndustriesApplServlet :▽▽parse▽▽</t>
  </si>
  <si>
    <t>2017/09/25 17:05:31.889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171136&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0123456789012345678901234567890123456789012345678901234567890123456789012345678901234567890123456789012345678901234567890123456789012345678901234567890123456789012345678901234567890&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</si>
  <si>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17:05:31.889 D 21347          RegDiffIndustriesApplServlet :△△parse△△[0ミリ秒]</t>
  </si>
  <si>
    <t>2017/09/25 17:05:31.889 D 21347 AUE31814 DBCacheUtil 00104D:Trace:groupId=BASE_SERVICE_TIME;keyword=CHECK_FLG;value=0</t>
  </si>
  <si>
    <t>2017/09/25 17:05:31.889 D 21347 AUE31814 RegDiffIndustriesApplServlet :▽▽validate▽▽</t>
  </si>
  <si>
    <t>2017/09/25 17:05:31.899 I 21347 AUE31814 RegDiffIndustriesApplServlet 01001I:Parameter Error</t>
  </si>
  <si>
    <t>2017/09/25 17:05:31.899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</si>
  <si>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17:05:31.899 I 21347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</si>
  <si>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33&lt;/different-appl-mng-no&gt;&lt;introduction-no&gt;IG0000033&lt;/introduction-no&gt;&lt;/reg-info&gt;&lt;/api-prm&gt;&lt;/api-response&gt;</t>
  </si>
  <si>
    <t>2017/09/25 17:06:31.490 I 21345          RegDiffIndustriesApplServlet 00001I:Service Start</t>
  </si>
  <si>
    <t>2017/09/25 17:06:31.490 D 21345          RegDiffIndustriesApplServlet :▽▽parse▽▽</t>
  </si>
  <si>
    <t>2017/09/25 17:06:31.490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171137&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-20&gt;備考20&lt;/remarks-20&gt;&lt;/more-agency-info&gt;&lt;other-info&gt;&lt;special&gt;特記欄００１&lt;/special&gt;&lt;/other-info&gt;&lt;/agency-info&gt;&lt;proof-info&gt;&lt;member-cd&gt;A1701001&lt;/member-cd&gt;&lt;cust-kbn&gt;1&lt;/cust-kbn&gt;&lt;/proof-info&gt;&lt;/api-prm&gt;&lt;/api-request&gt;</t>
  </si>
  <si>
    <t>2017/09/25 17:06:31.500 D 21345          RegDiffIndustriesApplServlet :△△parse△△[10ミリ秒]</t>
  </si>
  <si>
    <t>2017/09/25 17:06:31.500 D 21345 AUE31814 DBCacheUtil 00104D:Trace:groupId=BASE_SERVICE_TIME;keyword=CHECK_FLG;value=0</t>
  </si>
  <si>
    <t>2017/09/25 17:06:31.500 D 21345 AUE31814 RegDiffIndustriesApplServlet :▽▽validate▽▽</t>
  </si>
  <si>
    <t>2017/09/25 17:06:31.500 D 21345 AUE31814 RegDiffIndustriesApplServlet :△△validate△△[0ミリ秒]</t>
  </si>
  <si>
    <t>2017/09/25 17:06:31.500 D 21345 AUE31814 DBCacheUtil 00104D:Trace:groupId=API_VERSION;keyword=/fmc-on/bbc-appl-api/diffindustappl/reg_diff_industries_appl;value=10</t>
  </si>
  <si>
    <t>2017/09/25 17:06:31.500 D 21345 AUE31814 RegDiffIndustriesApplServlet :▽▽業務ロジック▽▽</t>
  </si>
  <si>
    <t>2017/09/25 17:06:31.500 D 21345 AUE31814 RegDiffIndustriesApplBL 00104D:Trace:[setSequenceDao開始]</t>
  </si>
  <si>
    <t>2017/09/25 17:06:31.500 D 21345 AUE31814 RegDiffIndustriesApplBL 00104D:Trace:[setSequenceDao終了]</t>
  </si>
  <si>
    <t>2017/09/25 17:06:31.500 D 21345 AUE31814 RegDiffIndustriesApplBL 00104D:Trace:[setdApplDiffIndustryInfoApplDao開始]</t>
  </si>
  <si>
    <t>2017/09/25 17:06:31.500 D 21345 AUE31814 RegDiffIndustriesApplBL 00104D:Trace:[setdApplDiffIndustryInfoApplDao終了]</t>
  </si>
  <si>
    <t>2017/09/25 17:06:31.500 D 21345 AUE31814 RegDiffIndustriesApplBL 00104D:Trace:[execute開始]</t>
  </si>
  <si>
    <t>2017/09/25 17:06:31.500 D 21345 AUE31814 RegDiffIndustriesApplBL 00104D:Trace:[traceRequest開始]</t>
  </si>
  <si>
    <t>2017/09/25 17:06:31.500 D 21345 AUE31814 RegDiffIndustriesApplBL 00104D:Trace:au代理店コード：E845001</t>
  </si>
  <si>
    <t>2017/09/25 17:06:31.500 D 21345 AUE31814 RegDiffIndustriesApplBL 00104D:Trace: 申込押下ボタン：8</t>
  </si>
  <si>
    <t>2017/09/25 17:06:31.500 D 21345 AUE31814 RegDiffIndustriesApplBL 00104D:Trace: 店名：Ｅ８４５００１</t>
  </si>
  <si>
    <t>2017/09/25 17:06:31.500 D 21345 AUE31814 RegDiffIndustriesApplBL 00104D:Trace: 担当者名：ＯＲＡＮＧＥ担当者</t>
  </si>
  <si>
    <t>2017/09/25 17:06:31.500 D 21345 AUE31814 RegDiffIndustriesApplBL 00104D:Trace: 担当者名(名)：null</t>
  </si>
  <si>
    <t>2017/09/25 17:06:31.500 D 21345 AUE31814 RegDiffIndustriesApplBL 00104D:Trace: 電話番号：null</t>
  </si>
  <si>
    <t>2017/09/25 17:06:31.500 D 21345 AUE31814 RegDiffIndustriesApplBL 00104D:Trace: 申込年月日：20170920</t>
  </si>
  <si>
    <t>2017/09/25 17:06:31.500 D 21345 AUE31814 RegDiffIndustriesApplBL 00104D:Trace: 申込時刻：123456</t>
  </si>
  <si>
    <t>2017/09/25 17:06:31.500 D 21345 AUE31814 RegDiffIndustriesApplBL 00104D:Trace: 事業者コード：17110</t>
  </si>
  <si>
    <t>2017/09/25 17:06:31.500 D 21345 AUE31814 RegDiffIndustriesApplBL 00104D:Trace: 商品コード：171137</t>
  </si>
  <si>
    <t>2017/09/25 17:06:31.500 D 21345 AUE31814 RegDiffIndustriesApplBL 00104D:Trace: 漢字：ＦＭＣ試験　太郎</t>
  </si>
  <si>
    <t>2017/09/25 17:06:31.500 D 21345 AUE31814 RegDiffIndustriesApplBL 00104D:Trace: カナ：ＦＭＣシケン　タロウ</t>
  </si>
  <si>
    <t>2017/09/25 17:06:31.500 D 21345 AUE31814 RegDiffIndustriesApplBL 00104D:Trace: 自宅・勤務先電話番号：0312345678</t>
  </si>
  <si>
    <t>2017/09/25 17:06:31.500 D 21345 AUE31814 RegDiffIndustriesApplBL 00104D:Trace: 携帯電話番号：null</t>
  </si>
  <si>
    <t>2017/09/25 17:06:31.500 D 21345 AUE31814 RegDiffIndustriesApplBL 00104D:Trace: 郵便番号：1080035</t>
  </si>
  <si>
    <t>2017/09/25 17:06:31.500 D 21345 AUE31814 RegDiffIndustriesApplBL 00104D:Trace: 住所：東京都港区白金１丁目</t>
  </si>
  <si>
    <t>2017/09/25 17:06:31.500 D 21345 AUE31814 RegDiffIndustriesApplBL 00104D:Trace: 住居区分：0</t>
  </si>
  <si>
    <t>2017/09/25 17:06:31.500 D 21345 AUE31814 RegDiffIndustriesApplBL 00104D:Trace: 所有区分：1</t>
  </si>
  <si>
    <t>2017/09/25 17:06:31.500 D 21345 AUE31814 RegDiffIndustriesApplBL 00104D:Trace: 連絡希望曜日：0</t>
  </si>
  <si>
    <t>2017/09/25 17:06:31.500 D 21345 AUE31814 RegDiffIndustriesApplBL 00104D:Trace: 連絡希望時間帯：1</t>
  </si>
  <si>
    <t>2017/09/25 17:06:31.500 D 21345 AUE31814 RegDiffIndustriesApplBL 00104D:Trace: お客様ID：null</t>
  </si>
  <si>
    <t>2017/09/25 17:06:31.500 D 21345 AUE31814 RegDiffIndustriesApplBL 00104D:Trace: 備考1：備考1</t>
  </si>
  <si>
    <t>2017/09/25 17:06:31.500 D 21345 AUE31814 RegDiffIndustriesApplBL 00104D:Trace: 備考2：備考2</t>
  </si>
  <si>
    <t>2017/09/25 17:06:31.500 D 21345 AUE31814 RegDiffIndustriesApplBL 00104D:Trace: 備考3：備考3</t>
  </si>
  <si>
    <t>2017/09/25 17:06:31.500 D 21345 AUE31814 RegDiffIndustriesApplBL 00104D:Trace: 備考4：備考4</t>
  </si>
  <si>
    <t>2017/09/25 17:06:31.500 D 21345 AUE31814 RegDiffIndustriesApplBL 00104D:Trace: 備考5：備考5</t>
  </si>
  <si>
    <t>2017/09/25 17:06:31.500 D 21345 AUE31814 RegDiffIndustriesApplBL 00104D:Trace: 備考6：備考6</t>
  </si>
  <si>
    <t>2017/09/25 17:06:31.500 D 21345 AUE31814 RegDiffIndustriesApplBL 00104D:Trace: 備考7：備考7</t>
  </si>
  <si>
    <t>2017/09/25 17:06:31.500 D 21345 AUE31814 RegDiffIndustriesApplBL 00104D:Trace: 備考8：備考8</t>
  </si>
  <si>
    <t>2017/09/25 17:06:31.500 D 21345 AUE31814 RegDiffIndustriesApplBL 00104D:Trace: 備考9：備考9</t>
  </si>
  <si>
    <t>2017/09/25 17:06:31.500 D 21345 AUE31814 RegDiffIndustriesApplBL 00104D:Trace: 備考10：備考10</t>
  </si>
  <si>
    <t>2017/09/25 17:06:31.500 D 21345 AUE31814 RegDiffIndustriesApplBL 00104D:Trace: 備考11：備考11</t>
  </si>
  <si>
    <t>2017/09/25 17:06:31.500 D 21345 AUE31814 RegDiffIndustriesApplBL 00104D:Trace: 備考12：備考12</t>
  </si>
  <si>
    <t>2017/09/25 17:06:31.500 D 21345 AUE31814 RegDiffIndustriesApplBL 00104D:Trace: 備考13：備考13</t>
  </si>
  <si>
    <t>2017/09/25 17:06:31.500 D 21345 AUE31814 RegDiffIndustriesApplBL 00104D:Trace: 備考14：備考14</t>
  </si>
  <si>
    <t>2017/09/25 17:06:31.500 D 21345 AUE31814 RegDiffIndustriesApplBL 00104D:Trace: 備考15：備考15</t>
  </si>
  <si>
    <t>2017/09/25 17:06:31.500 D 21345 AUE31814 RegDiffIndustriesApplBL 00104D:Trace: 備考16：備考16</t>
  </si>
  <si>
    <t>2017/09/25 17:06:31.500 D 21345 AUE31814 RegDiffIndustriesApplBL 00104D:Trace: 備考17：備考17</t>
  </si>
  <si>
    <t>2017/09/25 17:06:31.500 D 21345 AUE31814 RegDiffIndustriesApplBL 00104D:Trace: 備考18：備考18</t>
  </si>
  <si>
    <t>2017/09/25 17:06:31.500 D 21345 AUE31814 RegDiffIndustriesApplBL 00104D:Trace: 備考19：null</t>
  </si>
  <si>
    <t>2017/09/25 17:06:31.500 D 21345 AUE31814 RegDiffIndustriesApplBL 00104D:Trace: 備考20：備考20</t>
  </si>
  <si>
    <t>2017/09/25 17:06:31.500 D 21345 AUE31814 RegDiffIndustriesApplBL 00104D:Trace: 特記：特記欄００１</t>
  </si>
  <si>
    <t>2017/09/25 17:06:31.500 D 21345 AUE31814 RegDiffIndustriesApplBL 00104D:Trace: au加入者コード:A1701001</t>
  </si>
  <si>
    <t>2017/09/25 17:06:31.500 D 21345 AUE31814 RegDiffIndustriesApplBL 00104D:Trace: 基本契約番号:null</t>
  </si>
  <si>
    <t>2017/09/25 17:06:31.500 I 21345 AUE31814 RegDiffIndustriesApplBL 00105I:Trace:&lt;CI&gt; 顧客区分：1</t>
  </si>
  <si>
    <t>2017/09/25 17:06:31.500 D 21345 AUE31814 RegDiffIndustriesApplBL 00104D:Trace:[traceRequest終了]</t>
  </si>
  <si>
    <t>2017/09/25 17:06:31.500 D 21345 AUE31814 RegDiffIndustriesApplBL 00104D:Trace:[checkByte開始]</t>
  </si>
  <si>
    <t>2017/09/25 17:06:31.500 I 21345 AUE31814 RegDiffIndustriesApplBL 00105I:Trace:&lt;CI&gt;errByteMessage.size =「0」</t>
  </si>
  <si>
    <t>2017/09/25 17:06:31.500 D 21345 AUE31814 RegDiffIndustriesApplBL 00104D:Trace:[checkByte終了]</t>
  </si>
  <si>
    <t>2017/09/25 17:06:31.500 D 21345 AUE31814 RegDiffIndustriesApplBL 00104D:Trace:[getDiffIndustryApplMngNo開始]</t>
  </si>
  <si>
    <t>2017/09/25 17:06:31.530 I 21345 AUE31814 RegDiffIndustriesApplBL 00101I:SQL:&lt;CI&gt;SELECT SQ_DIFF_INDUSTRY_APPL_MNG_NO.NEXTVAL FROM DUAL</t>
  </si>
  <si>
    <t>2017/09/25 17:06:31.530 D 21345 AUE31814 RegDiffIndustriesApplBL 00104D:Trace:異業種商材申込管理番号：33</t>
  </si>
  <si>
    <t>2017/09/25 17:06:31.530 D 21345 AUE31814 RegDiffIndustriesApplBL 00104D:Trace:[getDiffIndustryApplMngNo終了]</t>
  </si>
  <si>
    <t>2017/09/25 17:06:31.530 D 21345 AUE31814 RegDiffIndustriesApplBL 00104D:Trace:[getDiffIndustryIntroductionNo開始]</t>
  </si>
  <si>
    <t>2017/09/25 17:06:31.530 D 21345 AUE31814 RegDiffIndustriesApplBL 00104D:Trace:++プロパティファイルより取得した紹介票管理番号取得リトライ回数：4</t>
  </si>
  <si>
    <t>2017/09/25 17:06:31.530 D 21345 AUE31814 RegDiffIndustriesApplBL 00104D:Trace:[getSqDiffIndustryIntroductionNo開始]</t>
  </si>
  <si>
    <t>2017/09/25 17:06:31.560 I 21345 AUE31814 RegDiffIndustriesApplBL 00101I:SQL:&lt;CI&gt;SELECT SQ_DIFF_INDUSTRY_INTRODUCTION_NO.NEXTVAL FROM DUAL</t>
  </si>
  <si>
    <t>2017/09/25 17:06:31.560 D 21345 AUE31814 RegDiffIndustriesApplBL 00104D:Trace:[getSqDiffIndustryIntroductionNo終了]</t>
  </si>
  <si>
    <t>2017/09/25 17:06:31.560 D 21345 AUE31814 RegDiffIndustriesApplBL 00104D:Trace:[chkDiffIndustryIntroductionNo開始]</t>
  </si>
  <si>
    <t>2017/09/25 17:06:31.590 I 21345 AUE31814 RegDiffIndustriesApplBL 00101I:SQL:&lt;CI&gt;SELECT     count(*) FROM     D_APPL_DIFF_INDUSTRY_INFO d WHERE     d.INTRODUCTION_NO = 'IG0000033'  AND     d.BATCH_FILE_IN_STS in ('0','1')</t>
  </si>
  <si>
    <t>2017/09/25 17:06:31.590 D 21345 AUE31814 RegDiffIndustriesApplBL 00104D:Trace:[chkDiffIndustryIntroductionNo終了]</t>
  </si>
  <si>
    <t>2017/09/25 17:06:31.590 D 21345 AUE31814 RegDiffIndustriesApplBL 00104D:Trace:++紹介票管理番号を取得して完了。</t>
  </si>
  <si>
    <t>2017/09/25 17:06:31.590 D 21345 AUE31814 RegDiffIndustriesApplBL 00104D:Trace:紹介票管理番号：IG0000033</t>
  </si>
  <si>
    <t>2017/09/25 17:06:31.590 D 21345 AUE31814 RegDiffIndustriesApplBL 00104D:Trace:[getDiffIndustryIntroductionNo終了]</t>
  </si>
  <si>
    <t>2017/09/25 17:06:31.590 D 21345 AUE31814 RegDiffIndustriesApplBL 00104D:Trace:[insertDiffIndustryInfo開始]</t>
  </si>
  <si>
    <t>2017/09/25 17:06:31.590 D 21345 AUE31814 RegDiffIndustriesApplBL 00104D:Trace:[insertDiffIndustryInfo終了]</t>
  </si>
  <si>
    <t>2017/09/25 17:06:31.620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remarks_15, remarks_16, remarks_17, remarks_18, remarks_20) VALUES (33, 'ＯＲＡＮＧＥ担当者', 'A1701001', '0', '123456', '特記欄００１', '1', 'ＦＭＣ試験　太郎', 'ＦＭＣシケン　タロウ', '1080035', '東京都港区白金１丁目', 602, '20170920', 'AUE31814', '8', 'E845001', 'Ｅ８４５００１', '0', '2017-09-25', 'AUE31814', '2017-09-25', 'AUE31814', 'IG0000033', '0', '1', '0312345678', '備考1', '備考2', '備考3', '備考4', '備考5', '備考6', '1', '17110', '171137', '備考7', '備考8', '備考9', '備考10', '備考11', '備考12', '備考13', '備考14', '備考15', '備考16', '備考17', '備考18', '備考20')</t>
  </si>
  <si>
    <t>2017/09/25 17:06:31.620 D 21345 AUE31814 RegDiffIndustriesApplBL 00104D:Trace:[setResponseObjectChkPass開始]</t>
  </si>
  <si>
    <t>2017/09/25 17:06:31.620 D 21345 AUE31814 RegDiffIndustriesApplBL 00104D:Trace:[setResponseObjectChkPass終了]</t>
  </si>
  <si>
    <t>2017/09/25 17:06:31.620 D 21345 AUE31814 RegDiffIndustriesApplBL 00104D:Trace:[traceResponse開始]</t>
  </si>
  <si>
    <t>2017/09/25 17:06:31.620 D 21345 AUE31814 RegDiffIndustriesApplBL 00104D:Trace:個別結果コード0000</t>
  </si>
  <si>
    <t>2017/09/25 17:06:31.620 D 21345 AUE31814 RegDiffIndustriesApplBL 00104D:Trace:異業種申込管理番号33</t>
  </si>
  <si>
    <t>2017/09/25 17:06:31.620 D 21345 AUE31814 RegDiffIndustriesApplBL 00104D:Trace:紹介票管理番号IG0000033</t>
  </si>
  <si>
    <t>2017/09/25 17:06:31.620 D 21345 AUE31814 RegDiffIndustriesApplBL 00104D:Trace:[traceResponse終了]</t>
  </si>
  <si>
    <t>2017/09/25 17:06:31.620 D 21345 AUE31814 RegDiffIndustriesApplBL 00104D:Trace:[execute終了]</t>
  </si>
  <si>
    <t>2017/09/25 17:06:31.620 D 21345 AUE31814 RegDiffIndustriesApplServlet :△△業務ロジック△△[120ミリ秒]</t>
  </si>
  <si>
    <t>2017/09/25 17:06:31.620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33&lt;/different-appl-mng-no&gt;&lt;introduction-no&gt;IG0000033&lt;/introduction-no&gt;&lt;/reg-info&gt;&lt;/api-prm&gt;&lt;/api-response&gt;</t>
  </si>
  <si>
    <t>2017/09/25 17:06:31.620 I 21345 AUE31814 RegDiffIndustriesApplServlet 00002I:Service End</t>
  </si>
  <si>
    <t>BSS1=# select * from D_APPL_DIFF_INDUSTRY_INFO where carrier_cd='17110' and shouhin_cd='171137';</t>
  </si>
  <si>
    <t>different_appl_mng_no | 33</t>
  </si>
  <si>
    <t>introduction_no       | IG0000033</t>
  </si>
  <si>
    <t>shouhin_cd            | 171137</t>
  </si>
  <si>
    <t>rec_entry_dtime       | 25-SEP-17 17:06:31.59</t>
  </si>
  <si>
    <t>rec_update_dtime      | 25-SEP-17 17:06:31.59</t>
  </si>
  <si>
    <t>remarks_19            | (null)</t>
  </si>
  <si>
    <t>2017/09/25 17:07:38.361 I 21347          RegDiffIndustriesApplServlet 00001I:Service Start</t>
  </si>
  <si>
    <t>2017/09/25 17:07:38.361 D 21347          RegDiffIndustriesApplServlet :▽▽parse▽▽</t>
  </si>
  <si>
    <t>2017/09/25 17:07:38.361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171138&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lt;/remarks-19&gt;&lt;remarks-20&gt;備考20&lt;/remarks-20&gt;&lt;/more-agency-info&gt;&lt;other-info&gt;&lt;special&gt;特記欄００１&lt;/special&gt;&lt;/other-info&gt;&lt;/agency-info&gt;&lt;proof-info&gt;&lt;member-cd&gt;A1701001&lt;/member-cd&gt;&lt;cust-kbn&gt;1&lt;/cust-kbn&gt;&lt;/proof-info&gt;&lt;/api-prm&gt;&lt;/api-request&gt;</t>
  </si>
  <si>
    <t>2017/09/25 17:07:38.371 D 21347          RegDiffIndustriesApplServlet :△△parse△△[10ミリ秒]</t>
  </si>
  <si>
    <t>2017/09/25 17:07:38.371 D 21347 AUE31814 DBCacheUtil 00104D:Trace:groupId=BASE_SERVICE_TIME;keyword=CHECK_FLG;value=0</t>
  </si>
  <si>
    <t>2017/09/25 17:07:38.371 D 21347 AUE31814 RegDiffIndustriesApplServlet :▽▽validate▽▽</t>
  </si>
  <si>
    <t>2017/09/25 17:07:38.371 I 21347 AUE31814 RegDiffIndustriesApplServlet 01001I:Parameter Error</t>
  </si>
  <si>
    <t>Message    :&lt;CI&gt;String: ',' does not match pattern for type of remarks-19 element in type of more-agency-info element in type of agency-info element in type of api-prm element in type of element api-request in namespace http://kddi.com/smc/fmconline/bbcappl/schema/reg_diff_industries_appl_request</t>
  </si>
  <si>
    <t>2017/09/25 17:07:38.371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</si>
  <si>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17:07:38.371 I 21347 AUE31814 RegDiffIndustriesApplServlet 00002I:Service End</t>
  </si>
  <si>
    <t>2017/09/25 17:08:42.933 I 21345          RegDiffIndustriesApplServlet 00001I:Service Start</t>
  </si>
  <si>
    <t>2017/09/25 17:08:42.943 D 21345          RegDiffIndustriesApplServlet :▽▽parse▽▽</t>
  </si>
  <si>
    <t>2017/09/25 17:08:42.943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171139&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012345678901234567890123456789012345678901234567890123456789012345678901234567890123456789012345678901234567890123456789012345678901234567890123456789012345678901234567890123456789°&lt;/remarks-19&gt;&lt;remarks-20&gt;備考20&lt;/remarks-20&gt;&lt;/more-agency-info&gt;&lt;other-info&gt;&lt;special&gt;特記欄００１&lt;/special&gt;&lt;/other-info&gt;&lt;/agency-info&gt;&lt;proof-info&gt;&lt;member-cd&gt;A1701001&lt;/member-cd&gt;&lt;cust-kbn&gt;1&lt;/cust-kbn&gt;&lt;/proof-info&gt;&lt;/api-prm&gt;&lt;/api-request&gt;</t>
  </si>
  <si>
    <t>2017/09/25 17:08:42.943 D 21345          RegDiffIndustriesApplServlet :△△parse△△[0ミリ秒]</t>
  </si>
  <si>
    <t>2017/09/25 17:08:42.943 D 21345 AUE31814 DBCacheUtil 00104D:Trace:groupId=BASE_SERVICE_TIME;keyword=CHECK_FLG;value=0</t>
  </si>
  <si>
    <t>2017/09/25 17:08:42.943 D 21345 AUE31814 RegDiffIndustriesApplServlet :▽▽validate▽▽</t>
  </si>
  <si>
    <t>2017/09/25 17:08:42.943 I 21345 AUE31814 RegDiffIndustriesApplServlet 01001I:Parameter Error</t>
  </si>
  <si>
    <t>2017/09/25 17:08:42.943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</si>
  <si>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17:08:42.943 I 21345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</si>
  <si>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34&lt;/different-appl-mng-no&gt;&lt;introduction-no&gt;IG0000034&lt;/introduction-no&gt;&lt;/reg-info&gt;&lt;/api-prm&gt;&lt;/api-response&gt;</t>
  </si>
  <si>
    <t>2017/09/25 17:09:34.464 I 21347          RegDiffIndustriesApplServlet 00001I:Service Start</t>
  </si>
  <si>
    <t>2017/09/25 17:09:34.464 D 21347          RegDiffIndustriesApplServlet :▽▽parse▽▽</t>
  </si>
  <si>
    <t>2017/09/25 17:09:34.464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171140&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more-agency-info&gt;&lt;other-info&gt;&lt;special&gt;特記欄００１&lt;/special&gt;&lt;/other-info&gt;&lt;/agency-info&gt;&lt;proof-info&gt;&lt;member-cd&gt;A1701001&lt;/member-cd&gt;&lt;cust-kbn&gt;1&lt;/cust-kbn&gt;&lt;/proof-info&gt;&lt;/api-prm&gt;&lt;/api-request&gt;</t>
  </si>
  <si>
    <t>2017/09/25 17:09:34.464 D 21347          RegDiffIndustriesApplServlet :△△parse△△[0ミリ秒]</t>
  </si>
  <si>
    <t>2017/09/25 17:09:34.464 D 21347 AUE31814 DBCacheUtil 00104D:Trace:groupId=BASE_SERVICE_TIME;keyword=CHECK_FLG;value=0</t>
  </si>
  <si>
    <t>2017/09/25 17:09:34.464 D 21347 AUE31814 RegDiffIndustriesApplServlet :▽▽validate▽▽</t>
  </si>
  <si>
    <t>2017/09/25 17:09:34.464 D 21347 AUE31814 RegDiffIndustriesApplServlet :△△validate△△[0ミリ秒]</t>
  </si>
  <si>
    <t>2017/09/25 17:09:34.464 D 21347 AUE31814 DBCacheUtil 00104D:Trace:groupId=API_VERSION;keyword=/fmc-on/bbc-appl-api/diffindustappl/reg_diff_industries_appl;value=10</t>
  </si>
  <si>
    <t>2017/09/25 17:09:34.464 D 21347 AUE31814 RegDiffIndustriesApplServlet :▽▽業務ロジック▽▽</t>
  </si>
  <si>
    <t>2017/09/25 17:09:34.464 D 21347 AUE31814 RegDiffIndustriesApplBL 00104D:Trace:[setSequenceDao開始]</t>
  </si>
  <si>
    <t>2017/09/25 17:09:34.464 D 21347 AUE31814 RegDiffIndustriesApplBL 00104D:Trace:[setSequenceDao終了]</t>
  </si>
  <si>
    <t>2017/09/25 17:09:34.464 D 21347 AUE31814 RegDiffIndustriesApplBL 00104D:Trace:[setdApplDiffIndustryInfoApplDao開始]</t>
  </si>
  <si>
    <t>2017/09/25 17:09:34.464 D 21347 AUE31814 RegDiffIndustriesApplBL 00104D:Trace:[setdApplDiffIndustryInfoApplDao終了]</t>
  </si>
  <si>
    <t>2017/09/25 17:09:34.464 D 21347 AUE31814 RegDiffIndustriesApplBL 00104D:Trace:[execute開始]</t>
  </si>
  <si>
    <t>2017/09/25 17:09:34.464 D 21347 AUE31814 RegDiffIndustriesApplBL 00104D:Trace:[traceRequest開始]</t>
  </si>
  <si>
    <t>2017/09/25 17:09:34.464 D 21347 AUE31814 RegDiffIndustriesApplBL 00104D:Trace:au代理店コード：E845001</t>
  </si>
  <si>
    <t>2017/09/25 17:09:34.464 D 21347 AUE31814 RegDiffIndustriesApplBL 00104D:Trace: 申込押下ボタン：8</t>
  </si>
  <si>
    <t>2017/09/25 17:09:34.464 D 21347 AUE31814 RegDiffIndustriesApplBL 00104D:Trace: 店名：Ｅ８４５００１</t>
  </si>
  <si>
    <t>2017/09/25 17:09:34.464 D 21347 AUE31814 RegDiffIndustriesApplBL 00104D:Trace: 担当者名：ＯＲＡＮＧＥ担当者</t>
  </si>
  <si>
    <t>2017/09/25 17:09:34.464 D 21347 AUE31814 RegDiffIndustriesApplBL 00104D:Trace: 担当者名(名)：null</t>
  </si>
  <si>
    <t>2017/09/25 17:09:34.464 D 21347 AUE31814 RegDiffIndustriesApplBL 00104D:Trace: 電話番号：null</t>
  </si>
  <si>
    <t>2017/09/25 17:09:34.464 D 21347 AUE31814 RegDiffIndustriesApplBL 00104D:Trace: 申込年月日：20170920</t>
  </si>
  <si>
    <t>2017/09/25 17:09:34.464 D 21347 AUE31814 RegDiffIndustriesApplBL 00104D:Trace: 申込時刻：123456</t>
  </si>
  <si>
    <t>2017/09/25 17:09:34.464 D 21347 AUE31814 RegDiffIndustriesApplBL 00104D:Trace: 事業者コード：17110</t>
  </si>
  <si>
    <t>2017/09/25 17:09:34.464 D 21347 AUE31814 RegDiffIndustriesApplBL 00104D:Trace: 商品コード：171140</t>
  </si>
  <si>
    <t>2017/09/25 17:09:34.464 D 21347 AUE31814 RegDiffIndustriesApplBL 00104D:Trace: 漢字：ＦＭＣ試験　太郎</t>
  </si>
  <si>
    <t>2017/09/25 17:09:34.464 D 21347 AUE31814 RegDiffIndustriesApplBL 00104D:Trace: カナ：ＦＭＣシケン　タロウ</t>
  </si>
  <si>
    <t>2017/09/25 17:09:34.464 D 21347 AUE31814 RegDiffIndustriesApplBL 00104D:Trace: 自宅・勤務先電話番号：0312345678</t>
  </si>
  <si>
    <t>2017/09/25 17:09:34.464 D 21347 AUE31814 RegDiffIndustriesApplBL 00104D:Trace: 携帯電話番号：null</t>
  </si>
  <si>
    <t>2017/09/25 17:09:34.464 D 21347 AUE31814 RegDiffIndustriesApplBL 00104D:Trace: 郵便番号：1080035</t>
  </si>
  <si>
    <t>2017/09/25 17:09:34.464 D 21347 AUE31814 RegDiffIndustriesApplBL 00104D:Trace: 住所：東京都港区白金１丁目</t>
  </si>
  <si>
    <t>2017/09/25 17:09:34.464 D 21347 AUE31814 RegDiffIndustriesApplBL 00104D:Trace: 住居区分：0</t>
  </si>
  <si>
    <t>2017/09/25 17:09:34.464 D 21347 AUE31814 RegDiffIndustriesApplBL 00104D:Trace: 所有区分：1</t>
  </si>
  <si>
    <t>2017/09/25 17:09:34.464 D 21347 AUE31814 RegDiffIndustriesApplBL 00104D:Trace: 連絡希望曜日：0</t>
  </si>
  <si>
    <t>2017/09/25 17:09:34.464 D 21347 AUE31814 RegDiffIndustriesApplBL 00104D:Trace: 連絡希望時間帯：1</t>
  </si>
  <si>
    <t>2017/09/25 17:09:34.464 D 21347 AUE31814 RegDiffIndustriesApplBL 00104D:Trace: お客様ID：null</t>
  </si>
  <si>
    <t>2017/09/25 17:09:34.464 D 21347 AUE31814 RegDiffIndustriesApplBL 00104D:Trace: 備考1：備考1</t>
  </si>
  <si>
    <t>2017/09/25 17:09:34.464 D 21347 AUE31814 RegDiffIndustriesApplBL 00104D:Trace: 備考2：備考2</t>
  </si>
  <si>
    <t>2017/09/25 17:09:34.464 D 21347 AUE31814 RegDiffIndustriesApplBL 00104D:Trace: 備考3：備考3</t>
  </si>
  <si>
    <t>2017/09/25 17:09:34.464 D 21347 AUE31814 RegDiffIndustriesApplBL 00104D:Trace: 備考4：備考4</t>
  </si>
  <si>
    <t>2017/09/25 17:09:34.464 D 21347 AUE31814 RegDiffIndustriesApplBL 00104D:Trace: 備考5：備考5</t>
  </si>
  <si>
    <t>2017/09/25 17:09:34.464 D 21347 AUE31814 RegDiffIndustriesApplBL 00104D:Trace: 備考6：備考6</t>
  </si>
  <si>
    <t>2017/09/25 17:09:34.464 D 21347 AUE31814 RegDiffIndustriesApplBL 00104D:Trace: 備考7：備考7</t>
  </si>
  <si>
    <t>2017/09/25 17:09:34.464 D 21347 AUE31814 RegDiffIndustriesApplBL 00104D:Trace: 備考8：備考8</t>
  </si>
  <si>
    <t>2017/09/25 17:09:34.464 D 21347 AUE31814 RegDiffIndustriesApplBL 00104D:Trace: 備考9：備考9</t>
  </si>
  <si>
    <t>2017/09/25 17:09:34.464 D 21347 AUE31814 RegDiffIndustriesApplBL 00104D:Trace: 備考10：備考10</t>
  </si>
  <si>
    <t>2017/09/25 17:09:34.464 D 21347 AUE31814 RegDiffIndustriesApplBL 00104D:Trace: 備考11：備考11</t>
  </si>
  <si>
    <t>2017/09/25 17:09:34.464 D 21347 AUE31814 RegDiffIndustriesApplBL 00104D:Trace: 備考12：備考12</t>
  </si>
  <si>
    <t>2017/09/25 17:09:34.464 D 21347 AUE31814 RegDiffIndustriesApplBL 00104D:Trace: 備考13：備考13</t>
  </si>
  <si>
    <t>2017/09/25 17:09:34.464 D 21347 AUE31814 RegDiffIndustriesApplBL 00104D:Trace: 備考14：備考14</t>
  </si>
  <si>
    <t>2017/09/25 17:09:34.464 D 21347 AUE31814 RegDiffIndustriesApplBL 00104D:Trace: 備考15：備考15</t>
  </si>
  <si>
    <t>2017/09/25 17:09:34.464 D 21347 AUE31814 RegDiffIndustriesApplBL 00104D:Trace: 備考16：備考16</t>
  </si>
  <si>
    <t>2017/09/25 17:09:34.464 D 21347 AUE31814 RegDiffIndustriesApplBL 00104D:Trace: 備考17：備考17</t>
  </si>
  <si>
    <t>2017/09/25 17:09:34.464 D 21347 AUE31814 RegDiffIndustriesApplBL 00104D:Trace: 備考18：備考18</t>
  </si>
  <si>
    <t>2017/09/25 17:09:34.464 D 21347 AUE31814 RegDiffIndustriesApplBL 00104D:Trace: 備考19：備考19</t>
  </si>
  <si>
    <t>2017/09/25 17:09:34.464 D 21347 AUE31814 RegDiffIndustriesApplBL 00104D:Trace: 備考20：null</t>
  </si>
  <si>
    <t>2017/09/25 17:09:34.464 D 21347 AUE31814 RegDiffIndustriesApplBL 00104D:Trace: 特記：特記欄００１</t>
  </si>
  <si>
    <t>2017/09/25 17:09:34.464 D 21347 AUE31814 RegDiffIndustriesApplBL 00104D:Trace: au加入者コード:A1701001</t>
  </si>
  <si>
    <t>2017/09/25 17:09:34.464 D 21347 AUE31814 RegDiffIndustriesApplBL 00104D:Trace: 基本契約番号:null</t>
  </si>
  <si>
    <t>2017/09/25 17:09:34.464 I 21347 AUE31814 RegDiffIndustriesApplBL 00105I:Trace:&lt;CI&gt; 顧客区分：1</t>
  </si>
  <si>
    <t>2017/09/25 17:09:34.464 D 21347 AUE31814 RegDiffIndustriesApplBL 00104D:Trace:[traceRequest終了]</t>
  </si>
  <si>
    <t>2017/09/25 17:09:34.464 D 21347 AUE31814 RegDiffIndustriesApplBL 00104D:Trace:[checkByte開始]</t>
  </si>
  <si>
    <t>2017/09/25 17:09:34.474 I 21347 AUE31814 RegDiffIndustriesApplBL 00105I:Trace:&lt;CI&gt;errByteMessage.size =「0」</t>
  </si>
  <si>
    <t>2017/09/25 17:09:34.474 D 21347 AUE31814 RegDiffIndustriesApplBL 00104D:Trace:[checkByte終了]</t>
  </si>
  <si>
    <t>2017/09/25 17:09:34.474 D 21347 AUE31814 RegDiffIndustriesApplBL 00104D:Trace:[getDiffIndustryApplMngNo開始]</t>
  </si>
  <si>
    <t>2017/09/25 17:09:34.494 I 21347 AUE31814 RegDiffIndustriesApplBL 00101I:SQL:&lt;CI&gt;SELECT SQ_DIFF_INDUSTRY_APPL_MNG_NO.NEXTVAL FROM DUAL</t>
  </si>
  <si>
    <t>2017/09/25 17:09:34.494 D 21347 AUE31814 RegDiffIndustriesApplBL 00104D:Trace:異業種商材申込管理番号：34</t>
  </si>
  <si>
    <t>2017/09/25 17:09:34.494 D 21347 AUE31814 RegDiffIndustriesApplBL 00104D:Trace:[getDiffIndustryApplMngNo終了]</t>
  </si>
  <si>
    <t>2017/09/25 17:09:34.494 D 21347 AUE31814 RegDiffIndustriesApplBL 00104D:Trace:[getDiffIndustryIntroductionNo開始]</t>
  </si>
  <si>
    <t>2017/09/25 17:09:34.494 D 21347 AUE31814 RegDiffIndustriesApplBL 00104D:Trace:++プロパティファイルより取得した紹介票管理番号取得リトライ回数：4</t>
  </si>
  <si>
    <t>2017/09/25 17:09:34.494 D 21347 AUE31814 RegDiffIndustriesApplBL 00104D:Trace:[getSqDiffIndustryIntroductionNo開始]</t>
  </si>
  <si>
    <t>2017/09/25 17:09:34.504 I 21347 AUE31814 RegDiffIndustriesApplBL 00101I:SQL:&lt;CI&gt;SELECT SQ_DIFF_INDUSTRY_INTRODUCTION_NO.NEXTVAL FROM DUAL</t>
  </si>
  <si>
    <t>2017/09/25 17:09:34.504 D 21347 AUE31814 RegDiffIndustriesApplBL 00104D:Trace:[getSqDiffIndustryIntroductionNo終了]</t>
  </si>
  <si>
    <t>2017/09/25 17:09:34.504 D 21347 AUE31814 RegDiffIndustriesApplBL 00104D:Trace:[chkDiffIndustryIntroductionNo開始]</t>
  </si>
  <si>
    <t>2017/09/25 17:09:34.514 I 21347 AUE31814 RegDiffIndustriesApplBL 00101I:SQL:&lt;CI&gt;SELECT     count(*) FROM     D_APPL_DIFF_INDUSTRY_INFO d WHERE     d.INTRODUCTION_NO = 'IG0000034'  AND     d.BATCH_FILE_IN_STS in ('0','1')</t>
  </si>
  <si>
    <t>2017/09/25 17:09:34.514 D 21347 AUE31814 RegDiffIndustriesApplBL 00104D:Trace:[chkDiffIndustryIntroductionNo終了]</t>
  </si>
  <si>
    <t>2017/09/25 17:09:34.524 D 21347 AUE31814 RegDiffIndustriesApplBL 00104D:Trace:++紹介票管理番号を取得して完了。</t>
  </si>
  <si>
    <t>2017/09/25 17:09:34.524 D 21347 AUE31814 RegDiffIndustriesApplBL 00104D:Trace:紹介票管理番号：IG0000034</t>
  </si>
  <si>
    <t>2017/09/25 17:09:34.524 D 21347 AUE31814 RegDiffIndustriesApplBL 00104D:Trace:[getDiffIndustryIntroductionNo終了]</t>
  </si>
  <si>
    <t>2017/09/25 17:09:34.524 D 21347 AUE31814 RegDiffIndustriesApplBL 00104D:Trace:[insertDiffIndustryInfo開始]</t>
  </si>
  <si>
    <t>2017/09/25 17:09:34.524 D 21347 AUE31814 RegDiffIndustriesApplBL 00104D:Trace:[insertDiffIndustryInfo終了]</t>
  </si>
  <si>
    <t>2017/09/25 17:09:34.534 I 21347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remarks_15, remarks_16, remarks_17, remarks_18, remarks_19) VALUES (34, 'ＯＲＡＮＧＥ担当者', 'A1701001', '0', '123456', '特記欄００１', '1', 'ＦＭＣ試験　太郎', 'ＦＭＣシケン　タロウ', '1080035', '東京都港区白金１丁目', 602, '20170920', 'AUE31814', '8', 'E845001', 'Ｅ８４５００１', '0', '2017-09-25', 'AUE31814', '2017-09-25', 'AUE31814', 'IG0000034', '0', '1', '0312345678', '備考1', '備考2', '備考3', '備考4', '備考5', '備考6', '1', '17110', '171140', '備考7', '備考8', '備考9', '備考10', '備考11', '備考12', '備考13', '備考14', '備考15', '備考16', '備考17', '備考18', '備考19')</t>
  </si>
  <si>
    <t>2017/09/25 17:09:34.534 D 21347 AUE31814 RegDiffIndustriesApplBL 00104D:Trace:[setResponseObjectChkPass開始]</t>
  </si>
  <si>
    <t>2017/09/25 17:09:34.544 D 21347 AUE31814 RegDiffIndustriesApplBL 00104D:Trace:[setResponseObjectChkPass終了]</t>
  </si>
  <si>
    <t>2017/09/25 17:09:34.544 D 21347 AUE31814 RegDiffIndustriesApplBL 00104D:Trace:[traceResponse開始]</t>
  </si>
  <si>
    <t>2017/09/25 17:09:34.544 D 21347 AUE31814 RegDiffIndustriesApplBL 00104D:Trace:個別結果コード0000</t>
  </si>
  <si>
    <t>2017/09/25 17:09:34.544 D 21347 AUE31814 RegDiffIndustriesApplBL 00104D:Trace:異業種申込管理番号34</t>
  </si>
  <si>
    <t>2017/09/25 17:09:34.544 D 21347 AUE31814 RegDiffIndustriesApplBL 00104D:Trace:紹介票管理番号IG0000034</t>
  </si>
  <si>
    <t>2017/09/25 17:09:34.544 D 21347 AUE31814 RegDiffIndustriesApplBL 00104D:Trace:[traceResponse終了]</t>
  </si>
  <si>
    <t>2017/09/25 17:09:34.544 D 21347 AUE31814 RegDiffIndustriesApplBL 00104D:Trace:[execute終了]</t>
  </si>
  <si>
    <t>2017/09/25 17:09:34.544 D 21347 AUE31814 RegDiffIndustriesApplServlet :△△業務ロジック△△[80ミリ秒]</t>
  </si>
  <si>
    <t>2017/09/25 17:09:34.544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34&lt;/different-appl-mng-no&gt;&lt;introduction-no&gt;IG0000034&lt;/introduction-no&gt;&lt;/reg-info&gt;&lt;/api-prm&gt;&lt;/api-response&gt;</t>
  </si>
  <si>
    <t>2017/09/25 17:09:34.544 I 21347 AUE31814 RegDiffIndustriesApplServlet 00002I:Service End</t>
  </si>
  <si>
    <t>BSS1=# select * from D_APPL_DIFF_INDUSTRY_INFO where carrier_cd='17110' and shouhin_cd='171140';</t>
  </si>
  <si>
    <t>different_appl_mng_no | 34</t>
  </si>
  <si>
    <t>introduction_no       | IG0000034</t>
  </si>
  <si>
    <t>shouhin_cd            | 171140</t>
  </si>
  <si>
    <t>rec_entry_dtime       | 25-SEP-17 17:09:34.524</t>
  </si>
  <si>
    <t>rec_update_dtime      | 25-SEP-17 17:09:34.524</t>
  </si>
  <si>
    <t>remarks_20            | (null)</t>
  </si>
  <si>
    <t>2017/09/25 17:10:44.499 I 21345          RegDiffIndustriesApplServlet 00001I:Service Start</t>
  </si>
  <si>
    <t>2017/09/25 17:10:44.499 D 21345          RegDiffIndustriesApplServlet :▽▽parse▽▽</t>
  </si>
  <si>
    <t>2017/09/25 17:10:44.499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171141&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lt;/remarks-20&gt;&lt;/more-agency-info&gt;&lt;other-info&gt;&lt;special&gt;特記欄００１&lt;/special&gt;&lt;/other-info&gt;&lt;/agency-info&gt;&lt;proof-info&gt;&lt;member-cd&gt;A1701001&lt;/member-cd&gt;&lt;cust-kbn&gt;1&lt;/cust-kbn&gt;&lt;/proof-info&gt;&lt;/api-prm&gt;&lt;/api-request&gt;</t>
  </si>
  <si>
    <t>2017/09/25 17:10:44.509 D 21345          RegDiffIndustriesApplServlet :△△parse△△[10ミリ秒]</t>
  </si>
  <si>
    <t>2017/09/25 17:10:44.509 D 21345 AUE31814 DBCacheUtil 00104D:Trace:groupId=BASE_SERVICE_TIME;keyword=CHECK_FLG;value=0</t>
  </si>
  <si>
    <t>2017/09/25 17:10:44.509 D 21345 AUE31814 RegDiffIndustriesApplServlet :▽▽validate▽▽</t>
  </si>
  <si>
    <t>2017/09/25 17:10:44.509 I 21345 AUE31814 RegDiffIndustriesApplServlet 01001I:Parameter Error</t>
  </si>
  <si>
    <t>2017/09/25 17:10:44.509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</si>
  <si>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17:10:44.509 I 21345 AUE31814 RegDiffIndustriesApplServlet 00002I:Service End</t>
  </si>
  <si>
    <t>2017/09/25 17:11:45.804 I 21347          RegDiffIndustriesApplServlet 00001I:Service Start</t>
  </si>
  <si>
    <t>2017/09/25 17:11:45.804 D 21347          RegDiffIndustriesApplServlet :▽▽parse▽▽</t>
  </si>
  <si>
    <t>2017/09/25 17:11:45.804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171142&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０１２３４５６７８９０１２３４５６７８９０１２３４５６７８９０１２３４５６７８９０１２３４５６７８０１２３４５６７８９０１２３４５６７８９０１２３４５６７８９０１２３４５６７８９０１&lt;/remarks-20&gt;&lt;/more-agency-info&gt;&lt;other-info&gt;&lt;special&gt;特記欄００１&lt;/special&gt;&lt;/other-info&gt;&lt;/agency-info&gt;&lt;proof-info&gt;&lt;member-cd&gt;A1701001&lt;/member-cd&gt;&lt;cust-kbn&gt;1&lt;/cust-kbn&gt;&lt;/proof-info&gt;&lt;/api-prm&gt;&lt;/api-request&gt;</t>
  </si>
  <si>
    <t>2017/09/25 17:11:45.804 D 21347          RegDiffIndustriesApplServlet :△△parse△△[0ミリ秒]</t>
  </si>
  <si>
    <t>2017/09/25 17:11:45.804 D 21347 AUE31814 DBCacheUtil 00104D:Trace:groupId=BASE_SERVICE_TIME;keyword=CHECK_FLG;value=0</t>
  </si>
  <si>
    <t>2017/09/25 17:11:45.804 D 21347 AUE31814 RegDiffIndustriesApplServlet :▽▽validate▽▽</t>
  </si>
  <si>
    <t>2017/09/25 17:11:45.804 D 21347 AUE31814 RegDiffIndustriesApplServlet :△△validate△△[0ミリ秒]</t>
  </si>
  <si>
    <t>2017/09/25 17:11:45.814 D 21347 AUE31814 DBCacheUtil 00104D:Trace:groupId=API_VERSION;keyword=/fmc-on/bbc-appl-api/diffindustappl/reg_diff_industries_appl;value=10</t>
  </si>
  <si>
    <t>2017/09/25 17:11:45.814 D 21347 AUE31814 RegDiffIndustriesApplServlet :▽▽業務ロジック▽▽</t>
  </si>
  <si>
    <t>2017/09/25 17:11:45.814 D 21347 AUE31814 RegDiffIndustriesApplBL 00104D:Trace:[setSequenceDao開始]</t>
  </si>
  <si>
    <t>2017/09/25 17:11:45.814 D 21347 AUE31814 RegDiffIndustriesApplBL 00104D:Trace:[setSequenceDao終了]</t>
  </si>
  <si>
    <t>2017/09/25 17:11:45.814 D 21347 AUE31814 RegDiffIndustriesApplBL 00104D:Trace:[setdApplDiffIndustryInfoApplDao開始]</t>
  </si>
  <si>
    <t>2017/09/25 17:11:45.814 D 21347 AUE31814 RegDiffIndustriesApplBL 00104D:Trace:[setdApplDiffIndustryInfoApplDao終了]</t>
  </si>
  <si>
    <t>2017/09/25 17:11:45.814 D 21347 AUE31814 RegDiffIndustriesApplBL 00104D:Trace:[execute開始]</t>
  </si>
  <si>
    <t>2017/09/25 17:11:45.814 D 21347 AUE31814 RegDiffIndustriesApplBL 00104D:Trace:[traceRequest開始]</t>
  </si>
  <si>
    <t>2017/09/25 17:11:45.814 D 21347 AUE31814 RegDiffIndustriesApplBL 00104D:Trace:au代理店コード：E845001</t>
  </si>
  <si>
    <t>2017/09/25 17:11:45.814 D 21347 AUE31814 RegDiffIndustriesApplBL 00104D:Trace: 申込押下ボタン：8</t>
  </si>
  <si>
    <t>2017/09/25 17:11:45.814 D 21347 AUE31814 RegDiffIndustriesApplBL 00104D:Trace: 店名：Ｅ８４５００１</t>
  </si>
  <si>
    <t>2017/09/25 17:11:45.814 D 21347 AUE31814 RegDiffIndustriesApplBL 00104D:Trace: 担当者名：ＯＲＡＮＧＥ担当者</t>
  </si>
  <si>
    <t>2017/09/25 17:11:45.814 D 21347 AUE31814 RegDiffIndustriesApplBL 00104D:Trace: 担当者名(名)：null</t>
  </si>
  <si>
    <t>2017/09/25 17:11:45.814 D 21347 AUE31814 RegDiffIndustriesApplBL 00104D:Trace: 電話番号：null</t>
  </si>
  <si>
    <t>2017/09/25 17:11:45.814 D 21347 AUE31814 RegDiffIndustriesApplBL 00104D:Trace: 申込年月日：20170920</t>
  </si>
  <si>
    <t>2017/09/25 17:11:45.814 D 21347 AUE31814 RegDiffIndustriesApplBL 00104D:Trace: 申込時刻：123456</t>
  </si>
  <si>
    <t>2017/09/25 17:11:45.814 D 21347 AUE31814 RegDiffIndustriesApplBL 00104D:Trace: 事業者コード：17110</t>
  </si>
  <si>
    <t>2017/09/25 17:11:45.814 D 21347 AUE31814 RegDiffIndustriesApplBL 00104D:Trace: 商品コード：171142</t>
  </si>
  <si>
    <t>2017/09/25 17:11:45.814 D 21347 AUE31814 RegDiffIndustriesApplBL 00104D:Trace: 漢字：ＦＭＣ試験　太郎</t>
  </si>
  <si>
    <t>2017/09/25 17:11:45.814 D 21347 AUE31814 RegDiffIndustriesApplBL 00104D:Trace: カナ：ＦＭＣシケン　タロウ</t>
  </si>
  <si>
    <t>2017/09/25 17:11:45.814 D 21347 AUE31814 RegDiffIndustriesApplBL 00104D:Trace: 自宅・勤務先電話番号：0312345678</t>
  </si>
  <si>
    <t>2017/09/25 17:11:45.814 D 21347 AUE31814 RegDiffIndustriesApplBL 00104D:Trace: 携帯電話番号：null</t>
  </si>
  <si>
    <t>2017/09/25 17:11:45.814 D 21347 AUE31814 RegDiffIndustriesApplBL 00104D:Trace: 郵便番号：1080035</t>
  </si>
  <si>
    <t>2017/09/25 17:11:45.814 D 21347 AUE31814 RegDiffIndustriesApplBL 00104D:Trace: 住所：東京都港区白金１丁目</t>
  </si>
  <si>
    <t>2017/09/25 17:11:45.814 D 21347 AUE31814 RegDiffIndustriesApplBL 00104D:Trace: 住居区分：0</t>
  </si>
  <si>
    <t>2017/09/25 17:11:45.814 D 21347 AUE31814 RegDiffIndustriesApplBL 00104D:Trace: 所有区分：1</t>
  </si>
  <si>
    <t>2017/09/25 17:11:45.814 D 21347 AUE31814 RegDiffIndustriesApplBL 00104D:Trace: 連絡希望曜日：0</t>
  </si>
  <si>
    <t>2017/09/25 17:11:45.814 D 21347 AUE31814 RegDiffIndustriesApplBL 00104D:Trace: 連絡希望時間帯：1</t>
  </si>
  <si>
    <t>2017/09/25 17:11:45.814 D 21347 AUE31814 RegDiffIndustriesApplBL 00104D:Trace: お客様ID：null</t>
  </si>
  <si>
    <t>2017/09/25 17:11:45.814 D 21347 AUE31814 RegDiffIndustriesApplBL 00104D:Trace: 備考1：備考1</t>
  </si>
  <si>
    <t>2017/09/25 17:11:45.814 D 21347 AUE31814 RegDiffIndustriesApplBL 00104D:Trace: 備考2：備考2</t>
  </si>
  <si>
    <t>2017/09/25 17:11:45.814 D 21347 AUE31814 RegDiffIndustriesApplBL 00104D:Trace: 備考3：備考3</t>
  </si>
  <si>
    <t>2017/09/25 17:11:45.814 D 21347 AUE31814 RegDiffIndustriesApplBL 00104D:Trace: 備考4：備考4</t>
  </si>
  <si>
    <t>2017/09/25 17:11:45.814 D 21347 AUE31814 RegDiffIndustriesApplBL 00104D:Trace: 備考5：備考5</t>
  </si>
  <si>
    <t>2017/09/25 17:11:45.814 D 21347 AUE31814 RegDiffIndustriesApplBL 00104D:Trace: 備考6：備考6</t>
  </si>
  <si>
    <t>2017/09/25 17:11:45.814 D 21347 AUE31814 RegDiffIndustriesApplBL 00104D:Trace: 備考7：備考7</t>
  </si>
  <si>
    <t>2017/09/25 17:11:45.814 D 21347 AUE31814 RegDiffIndustriesApplBL 00104D:Trace: 備考8：備考8</t>
  </si>
  <si>
    <t>2017/09/25 17:11:45.814 D 21347 AUE31814 RegDiffIndustriesApplBL 00104D:Trace: 備考9：備考9</t>
  </si>
  <si>
    <t>2017/09/25 17:11:45.814 D 21347 AUE31814 RegDiffIndustriesApplBL 00104D:Trace: 備考10：備考10</t>
  </si>
  <si>
    <t>2017/09/25 17:11:45.814 D 21347 AUE31814 RegDiffIndustriesApplBL 00104D:Trace: 備考11：備考11</t>
  </si>
  <si>
    <t>2017/09/25 17:11:45.814 D 21347 AUE31814 RegDiffIndustriesApplBL 00104D:Trace: 備考12：備考12</t>
  </si>
  <si>
    <t>2017/09/25 17:11:45.814 D 21347 AUE31814 RegDiffIndustriesApplBL 00104D:Trace: 備考13：備考13</t>
  </si>
  <si>
    <t>2017/09/25 17:11:45.814 D 21347 AUE31814 RegDiffIndustriesApplBL 00104D:Trace: 備考14：備考14</t>
  </si>
  <si>
    <t>2017/09/25 17:11:45.814 D 21347 AUE31814 RegDiffIndustriesApplBL 00104D:Trace: 備考15：備考15</t>
  </si>
  <si>
    <t>2017/09/25 17:11:45.814 D 21347 AUE31814 RegDiffIndustriesApplBL 00104D:Trace: 備考16：備考16</t>
  </si>
  <si>
    <t>2017/09/25 17:11:45.814 D 21347 AUE31814 RegDiffIndustriesApplBL 00104D:Trace: 備考17：備考17</t>
  </si>
  <si>
    <t>2017/09/25 17:11:45.814 D 21347 AUE31814 RegDiffIndustriesApplBL 00104D:Trace: 備考18：備考18</t>
  </si>
  <si>
    <t>2017/09/25 17:11:45.814 D 21347 AUE31814 RegDiffIndustriesApplBL 00104D:Trace: 備考19：備考19</t>
  </si>
  <si>
    <t>2017/09/25 17:11:45.814 D 21347 AUE31814 RegDiffIndustriesApplBL 00104D:Trace: 備考20：０１２３４５６７８９０１２３４５６７８９０１２３４５６７８９０１２３４５６７８９０１２３４５６７８０１２３４５６７８９０１２３４５６７８９０１２３４５６７８９０１２３４５６７８９０１</t>
  </si>
  <si>
    <t>2017/09/25 17:11:45.814 D 21347 AUE31814 RegDiffIndustriesApplBL 00104D:Trace: 特記：特記欄００１</t>
  </si>
  <si>
    <t>2017/09/25 17:11:45.814 D 21347 AUE31814 RegDiffIndustriesApplBL 00104D:Trace: au加入者コード:A1701001</t>
  </si>
  <si>
    <t>2017/09/25 17:11:45.814 D 21347 AUE31814 RegDiffIndustriesApplBL 00104D:Trace: 基本契約番号:null</t>
  </si>
  <si>
    <t>2017/09/25 17:11:45.814 I 21347 AUE31814 RegDiffIndustriesApplBL 00105I:Trace:&lt;CI&gt; 顧客区分：1</t>
  </si>
  <si>
    <t>2017/09/25 17:11:45.814 D 21347 AUE31814 RegDiffIndustriesApplBL 00104D:Trace:[traceRequest終了]</t>
  </si>
  <si>
    <t>2017/09/25 17:11:45.814 D 21347 AUE31814 RegDiffIndustriesApplBL 00104D:Trace:[checkByte開始]</t>
  </si>
  <si>
    <t>2017/09/25 17:11:45.814 D 21347 AUE31814 RegDiffIndustriesApplBL 00104D:Trace:バイトチェックエラー：備考20180</t>
  </si>
  <si>
    <t>2017/09/25 17:11:45.814 I 21347 AUE31814 RegDiffIndustriesApplBL 00105I:Trace:&lt;CI&gt;errByteMessage.size =「1」</t>
  </si>
  <si>
    <t>2017/09/25 17:11:45.814 D 21347 AUE31814 RegDiffIndustriesApplBL 00104D:Trace:[checkByteでApplicationException発生]</t>
  </si>
  <si>
    <t>2017/09/25 17:11:45.814 D 21347 AUE31814 RegDiffIndustriesApplBL 00104D:Trace:[executeでApplicationException発生]</t>
  </si>
  <si>
    <t>2017/09/25 17:11:45.814 I 21347 AUE31814 RegDiffIndustriesApplBL 01001I:Parameter Error</t>
  </si>
  <si>
    <t>2017/09/25 17:11:45.814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</si>
  <si>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17:11:45.814 I 21347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</si>
  <si>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35&lt;/different-appl-mng-no&gt;&lt;introduction-no&gt;IG0000035&lt;/introduction-no&gt;&lt;/reg-info&gt;&lt;/api-prm&gt;&lt;/api-response&gt;</t>
  </si>
  <si>
    <t>2017/09/25 17:12:57.721 I 21345          RegDiffIndustriesApplServlet 00001I:Service Start</t>
  </si>
  <si>
    <t>2017/09/25 17:12:57.731 D 21345          RegDiffIndustriesApplServlet :▽▽parse▽▽</t>
  </si>
  <si>
    <t>2017/09/25 17:12:57.731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171143&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customer-id&gt;12345&lt;/customer-id&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</si>
  <si>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17:12:57.731 D 21345          RegDiffIndustriesApplServlet :△△parse△△[0ミリ秒]</t>
  </si>
  <si>
    <t>2017/09/25 17:12:57.731 D 21345 AUE31814 DBCacheUtil 00104D:Trace:groupId=BASE_SERVICE_TIME;keyword=CHECK_FLG;value=0</t>
  </si>
  <si>
    <t>2017/09/25 17:12:57.731 D 21345 AUE31814 RegDiffIndustriesApplServlet :▽▽validate▽▽</t>
  </si>
  <si>
    <t>2017/09/25 17:12:57.731 D 21345 AUE31814 RegDiffIndustriesApplServlet :△△validate△△[0ミリ秒]</t>
  </si>
  <si>
    <t>2017/09/25 17:12:57.731 D 21345 AUE31814 DBCacheUtil 00104D:Trace:groupId=API_VERSION;keyword=/fmc-on/bbc-appl-api/diffindustappl/reg_diff_industries_appl;value=10</t>
  </si>
  <si>
    <t>2017/09/25 17:12:57.731 D 21345 AUE31814 RegDiffIndustriesApplServlet :▽▽業務ロジック▽▽</t>
  </si>
  <si>
    <t>2017/09/25 17:12:57.731 D 21345 AUE31814 RegDiffIndustriesApplBL 00104D:Trace:[setSequenceDao開始]</t>
  </si>
  <si>
    <t>2017/09/25 17:12:57.731 D 21345 AUE31814 RegDiffIndustriesApplBL 00104D:Trace:[setSequenceDao終了]</t>
  </si>
  <si>
    <t>2017/09/25 17:12:57.731 D 21345 AUE31814 RegDiffIndustriesApplBL 00104D:Trace:[setdApplDiffIndustryInfoApplDao開始]</t>
  </si>
  <si>
    <t>2017/09/25 17:12:57.731 D 21345 AUE31814 RegDiffIndustriesApplBL 00104D:Trace:[setdApplDiffIndustryInfoApplDao終了]</t>
  </si>
  <si>
    <t>2017/09/25 17:12:57.731 D 21345 AUE31814 RegDiffIndustriesApplBL 00104D:Trace:[execute開始]</t>
  </si>
  <si>
    <t>2017/09/25 17:12:57.731 D 21345 AUE31814 RegDiffIndustriesApplBL 00104D:Trace:[traceRequest開始]</t>
  </si>
  <si>
    <t>2017/09/25 17:12:57.731 D 21345 AUE31814 RegDiffIndustriesApplBL 00104D:Trace:au代理店コード：E845001</t>
  </si>
  <si>
    <t>2017/09/25 17:12:57.731 D 21345 AUE31814 RegDiffIndustriesApplBL 00104D:Trace: 申込押下ボタン：8</t>
  </si>
  <si>
    <t>2017/09/25 17:12:57.731 D 21345 AUE31814 RegDiffIndustriesApplBL 00104D:Trace: 店名：Ｅ８４５００１</t>
  </si>
  <si>
    <t>2017/09/25 17:12:57.731 D 21345 AUE31814 RegDiffIndustriesApplBL 00104D:Trace: 担当者名：ＯＲＡＮＧＥ担当者</t>
  </si>
  <si>
    <t>2017/09/25 17:12:57.731 D 21345 AUE31814 RegDiffIndustriesApplBL 00104D:Trace: 担当者名(名)：null</t>
  </si>
  <si>
    <t>2017/09/25 17:12:57.731 D 21345 AUE31814 RegDiffIndustriesApplBL 00104D:Trace: 電話番号：null</t>
  </si>
  <si>
    <t>2017/09/25 17:12:57.731 D 21345 AUE31814 RegDiffIndustriesApplBL 00104D:Trace: 申込年月日：20170920</t>
  </si>
  <si>
    <t>2017/09/25 17:12:57.731 D 21345 AUE31814 RegDiffIndustriesApplBL 00104D:Trace: 申込時刻：123456</t>
  </si>
  <si>
    <t>2017/09/25 17:12:57.731 D 21345 AUE31814 RegDiffIndustriesApplBL 00104D:Trace: 事業者コード：17110</t>
  </si>
  <si>
    <t>2017/09/25 17:12:57.731 D 21345 AUE31814 RegDiffIndustriesApplBL 00104D:Trace: 商品コード：171143</t>
  </si>
  <si>
    <t>2017/09/25 17:12:57.731 D 21345 AUE31814 RegDiffIndustriesApplBL 00104D:Trace: 漢字：ＦＭＣ試験　太郎</t>
  </si>
  <si>
    <t>2017/09/25 17:12:57.731 D 21345 AUE31814 RegDiffIndustriesApplBL 00104D:Trace: カナ：ＦＭＣシケン　タロウ</t>
  </si>
  <si>
    <t>2017/09/25 17:12:57.731 D 21345 AUE31814 RegDiffIndustriesApplBL 00104D:Trace: 自宅・勤務先電話番号：0312345678</t>
  </si>
  <si>
    <t>2017/09/25 17:12:57.731 D 21345 AUE31814 RegDiffIndustriesApplBL 00104D:Trace: 携帯電話番号：null</t>
  </si>
  <si>
    <t>2017/09/25 17:12:57.731 D 21345 AUE31814 RegDiffIndustriesApplBL 00104D:Trace: 郵便番号：1080035</t>
  </si>
  <si>
    <t>2017/09/25 17:12:57.731 D 21345 AUE31814 RegDiffIndustriesApplBL 00104D:Trace: 住所：東京都港区白金１丁目</t>
  </si>
  <si>
    <t>2017/09/25 17:12:57.731 D 21345 AUE31814 RegDiffIndustriesApplBL 00104D:Trace: 住居区分：0</t>
  </si>
  <si>
    <t>2017/09/25 17:12:57.731 D 21345 AUE31814 RegDiffIndustriesApplBL 00104D:Trace: 所有区分：1</t>
  </si>
  <si>
    <t>2017/09/25 17:12:57.731 D 21345 AUE31814 RegDiffIndustriesApplBL 00104D:Trace: 連絡希望曜日：0</t>
  </si>
  <si>
    <t>2017/09/25 17:12:57.731 D 21345 AUE31814 RegDiffIndustriesApplBL 00104D:Trace: 連絡希望時間帯：1</t>
  </si>
  <si>
    <t>2017/09/25 17:12:57.731 D 21345 AUE31814 RegDiffIndustriesApplBL 00104D:Trace: お客様ID：12345</t>
  </si>
  <si>
    <t>2017/09/25 17:12:57.731 D 21345 AUE31814 RegDiffIndustriesApplBL 00104D:Trace: 備考1：備考1</t>
  </si>
  <si>
    <t>2017/09/25 17:12:57.731 D 21345 AUE31814 RegDiffIndustriesApplBL 00104D:Trace: 備考2：備考2</t>
  </si>
  <si>
    <t>2017/09/25 17:12:57.731 D 21345 AUE31814 RegDiffIndustriesApplBL 00104D:Trace: 備考3：備考3</t>
  </si>
  <si>
    <t>2017/09/25 17:12:57.731 D 21345 AUE31814 RegDiffIndustriesApplBL 00104D:Trace: 備考4：備考4</t>
  </si>
  <si>
    <t>2017/09/25 17:12:57.731 D 21345 AUE31814 RegDiffIndustriesApplBL 00104D:Trace: 備考5：備考5</t>
  </si>
  <si>
    <t>2017/09/25 17:12:57.731 D 21345 AUE31814 RegDiffIndustriesApplBL 00104D:Trace: 備考6：備考6</t>
  </si>
  <si>
    <t>2017/09/25 17:12:57.731 D 21345 AUE31814 RegDiffIndustriesApplBL 00104D:Trace: 備考7：備考7</t>
  </si>
  <si>
    <t>2017/09/25 17:12:57.731 D 21345 AUE31814 RegDiffIndustriesApplBL 00104D:Trace: 備考8：備考8</t>
  </si>
  <si>
    <t>2017/09/25 17:12:57.731 D 21345 AUE31814 RegDiffIndustriesApplBL 00104D:Trace: 備考9：備考9</t>
  </si>
  <si>
    <t>2017/09/25 17:12:57.731 D 21345 AUE31814 RegDiffIndustriesApplBL 00104D:Trace: 備考10：備考10</t>
  </si>
  <si>
    <t>2017/09/25 17:12:57.731 D 21345 AUE31814 RegDiffIndustriesApplBL 00104D:Trace: 備考11：備考11</t>
  </si>
  <si>
    <t>2017/09/25 17:12:57.731 D 21345 AUE31814 RegDiffIndustriesApplBL 00104D:Trace: 備考12：備考12</t>
  </si>
  <si>
    <t>2017/09/25 17:12:57.731 D 21345 AUE31814 RegDiffIndustriesApplBL 00104D:Trace: 備考13：備考13</t>
  </si>
  <si>
    <t>2017/09/25 17:12:57.731 D 21345 AUE31814 RegDiffIndustriesApplBL 00104D:Trace: 備考14：備考14</t>
  </si>
  <si>
    <t>2017/09/25 17:12:57.731 D 21345 AUE31814 RegDiffIndustriesApplBL 00104D:Trace: 備考15：備考15</t>
  </si>
  <si>
    <t>2017/09/25 17:12:57.731 D 21345 AUE31814 RegDiffIndustriesApplBL 00104D:Trace: 備考16：備考16</t>
  </si>
  <si>
    <t>2017/09/25 17:12:57.731 D 21345 AUE31814 RegDiffIndustriesApplBL 00104D:Trace: 備考17：備考17</t>
  </si>
  <si>
    <t>2017/09/25 17:12:57.731 D 21345 AUE31814 RegDiffIndustriesApplBL 00104D:Trace: 備考18：備考18</t>
  </si>
  <si>
    <t>2017/09/25 17:12:57.731 D 21345 AUE31814 RegDiffIndustriesApplBL 00104D:Trace: 備考19：備考19</t>
  </si>
  <si>
    <t>2017/09/25 17:12:57.731 D 21345 AUE31814 RegDiffIndustriesApplBL 00104D:Trace: 備考20：備考20°</t>
  </si>
  <si>
    <t>2017/09/25 17:12:57.731 D 21345 AUE31814 RegDiffIndustriesApplBL 00104D:Trace: 特記：特記欄００１</t>
  </si>
  <si>
    <t>2017/09/25 17:12:57.731 D 21345 AUE31814 RegDiffIndustriesApplBL 00104D:Trace: au加入者コード:A1701001</t>
  </si>
  <si>
    <t>2017/09/25 17:12:57.731 D 21345 AUE31814 RegDiffIndustriesApplBL 00104D:Trace: 基本契約番号:null</t>
  </si>
  <si>
    <t>2017/09/25 17:12:57.731 I 21345 AUE31814 RegDiffIndustriesApplBL 00105I:Trace:&lt;CI&gt; 顧客区分：1</t>
  </si>
  <si>
    <t>2017/09/25 17:12:57.731 D 21345 AUE31814 RegDiffIndustriesApplBL 00104D:Trace:[traceRequest終了]</t>
  </si>
  <si>
    <t>2017/09/25 17:12:57.731 D 21345 AUE31814 RegDiffIndustriesApplBL 00104D:Trace:[checkByte開始]</t>
  </si>
  <si>
    <t>2017/09/25 17:12:57.731 I 21345 AUE31814 RegDiffIndustriesApplBL 00105I:Trace:&lt;CI&gt;errByteMessage.size =「0」</t>
  </si>
  <si>
    <t>2017/09/25 17:12:57.731 D 21345 AUE31814 RegDiffIndustriesApplBL 00104D:Trace:[checkByte終了]</t>
  </si>
  <si>
    <t>2017/09/25 17:12:57.731 D 21345 AUE31814 RegDiffIndustriesApplBL 00104D:Trace:[getDiffIndustryApplMngNo開始]</t>
  </si>
  <si>
    <t>2017/09/25 17:12:57.751 I 21345 AUE31814 RegDiffIndustriesApplBL 00101I:SQL:&lt;CI&gt;SELECT SQ_DIFF_INDUSTRY_APPL_MNG_NO.NEXTVAL FROM DUAL</t>
  </si>
  <si>
    <t>2017/09/25 17:12:57.751 D 21345 AUE31814 RegDiffIndustriesApplBL 00104D:Trace:異業種商材申込管理番号：35</t>
  </si>
  <si>
    <t>2017/09/25 17:12:57.751 D 21345 AUE31814 RegDiffIndustriesApplBL 00104D:Trace:[getDiffIndustryApplMngNo終了]</t>
  </si>
  <si>
    <t>2017/09/25 17:12:57.751 D 21345 AUE31814 RegDiffIndustriesApplBL 00104D:Trace:[getDiffIndustryIntroductionNo開始]</t>
  </si>
  <si>
    <t>2017/09/25 17:12:57.751 D 21345 AUE31814 RegDiffIndustriesApplBL 00104D:Trace:++プロパティファイルより取得した紹介票管理番号取得リトライ回数：4</t>
  </si>
  <si>
    <t>2017/09/25 17:12:57.751 D 21345 AUE31814 RegDiffIndustriesApplBL 00104D:Trace:[getSqDiffIndustryIntroductionNo開始]</t>
  </si>
  <si>
    <t>2017/09/25 17:12:57.761 I 21345 AUE31814 RegDiffIndustriesApplBL 00101I:SQL:&lt;CI&gt;SELECT SQ_DIFF_INDUSTRY_INTRODUCTION_NO.NEXTVAL FROM DUAL</t>
  </si>
  <si>
    <t>2017/09/25 17:12:57.761 D 21345 AUE31814 RegDiffIndustriesApplBL 00104D:Trace:[getSqDiffIndustryIntroductionNo終了]</t>
  </si>
  <si>
    <t>2017/09/25 17:12:57.761 D 21345 AUE31814 RegDiffIndustriesApplBL 00104D:Trace:[chkDiffIndustryIntroductionNo開始]</t>
  </si>
  <si>
    <t>2017/09/25 17:12:57.771 I 21345 AUE31814 RegDiffIndustriesApplBL 00101I:SQL:&lt;CI&gt;SELECT     count(*) FROM     D_APPL_DIFF_INDUSTRY_INFO d WHERE     d.INTRODUCTION_NO = 'IG0000035'  AND     d.BATCH_FILE_IN_STS in ('0','1')</t>
  </si>
  <si>
    <t>2017/09/25 17:12:57.771 D 21345 AUE31814 RegDiffIndustriesApplBL 00104D:Trace:[chkDiffIndustryIntroductionNo終了]</t>
  </si>
  <si>
    <t>2017/09/25 17:12:57.771 D 21345 AUE31814 RegDiffIndustriesApplBL 00104D:Trace:++紹介票管理番号を取得して完了。</t>
  </si>
  <si>
    <t>2017/09/25 17:12:57.771 D 21345 AUE31814 RegDiffIndustriesApplBL 00104D:Trace:紹介票管理番号：IG0000035</t>
  </si>
  <si>
    <t>2017/09/25 17:12:57.771 D 21345 AUE31814 RegDiffIndustriesApplBL 00104D:Trace:[getDiffIndustryIntroductionNo終了]</t>
  </si>
  <si>
    <t>2017/09/25 17:12:57.771 D 21345 AUE31814 RegDiffIndustriesApplBL 00104D:Trace:[insertDiffIndustryInfo開始]</t>
  </si>
  <si>
    <t>2017/09/25 17:12:57.771 D 21345 AUE31814 RegDiffIndustriesApplBL 00104D:Trace:[insertDiffIndustryInfo終了]</t>
  </si>
  <si>
    <t>2017/09/25 17:12:57.791 I 21345 AUE31814 RegDiffIndustriesApplBL 00101I:SQL:&lt;CI&gt;INSERT INTO D_APPL_DIFF_INDUSTRY_INFO (different_appl_mng_no, operator_fmly_name, member_cd, building_type, appl_time, special, cust_kbn, cont_nm_kj, cont_nm_kn, use_post_cd, use_add, customer_id,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remarks_15, remarks_16, remarks_17, remarks_18, remarks_19, remarks_20) VALUES (35, 'ＯＲＡＮＧＥ担当者', 'A1701001', '0', '123456', '特記欄００１', '1', 'ＦＭＣ試験　太郎', 'ＦＭＣシケン　タロウ', '1080035', '東京都港区白金１丁目', '12345', 602, '20170920', 'AUE31814', '8', 'E845001', 'Ｅ８４５００１', '0', '2017-09-25', 'AUE31814', '2017-09-25', 'AUE31814', 'IG0000035', '0', '1', '0312345678', '備考1', '備考2', '備考3', '備考4', '備考5', '備考6', '1', '17110', '171143', '備考7', '備考8', '備考9', '備考10', '備考11', '備考12', '備考13', '備考14', '備考15', '備考16', '備考17', '備考18', '備考19', '備考20°')</t>
  </si>
  <si>
    <t>2017/09/25 17:12:57.791 D 21345 AUE31814 RegDiffIndustriesApplBL 00104D:Trace:[setResponseObjectChkPass開始]</t>
  </si>
  <si>
    <t>2017/09/25 17:12:57.791 D 21345 AUE31814 RegDiffIndustriesApplBL 00104D:Trace:[setResponseObjectChkPass終了]</t>
  </si>
  <si>
    <t>2017/09/25 17:12:57.791 D 21345 AUE31814 RegDiffIndustriesApplBL 00104D:Trace:[traceResponse開始]</t>
  </si>
  <si>
    <t>2017/09/25 17:12:57.791 D 21345 AUE31814 RegDiffIndustriesApplBL 00104D:Trace:個別結果コード0000</t>
  </si>
  <si>
    <t>2017/09/25 17:12:57.791 D 21345 AUE31814 RegDiffIndustriesApplBL 00104D:Trace:異業種申込管理番号35</t>
  </si>
  <si>
    <t>2017/09/25 17:12:57.791 D 21345 AUE31814 RegDiffIndustriesApplBL 00104D:Trace:紹介票管理番号IG0000035</t>
  </si>
  <si>
    <t>2017/09/25 17:12:57.791 D 21345 AUE31814 RegDiffIndustriesApplBL 00104D:Trace:[traceResponse終了]</t>
  </si>
  <si>
    <t>2017/09/25 17:12:57.791 D 21345 AUE31814 RegDiffIndustriesApplBL 00104D:Trace:[execute終了]</t>
  </si>
  <si>
    <t>2017/09/25 17:12:57.791 D 21345 AUE31814 RegDiffIndustriesApplServlet :△△業務ロジック△△[60ミリ秒]</t>
  </si>
  <si>
    <t>2017/09/25 17:12:57.791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35&lt;/different-appl-mng-no&gt;&lt;introduction-no&gt;IG0000035&lt;/introduction-no&gt;&lt;/reg-info&gt;&lt;/api-prm&gt;&lt;/api-response&gt;</t>
  </si>
  <si>
    <t>2017/09/25 17:12:57.791 I 21345 AUE31814 RegDiffIndustriesApplServlet 00002I:Service End</t>
  </si>
  <si>
    <t>BSS1=# select * from D_APPL_DIFF_INDUSTRY_INFO where carrier_cd='17110' and shouhin_cd='171143';</t>
  </si>
  <si>
    <t>different_appl_mng_no | 35</t>
  </si>
  <si>
    <t>introduction_no       | IG0000035</t>
  </si>
  <si>
    <t>shouhin_cd            | 171143</t>
  </si>
  <si>
    <t>customer_id           | 12345</t>
  </si>
  <si>
    <t>rec_entry_dtime       | 25-SEP-17 17:12:57.771</t>
  </si>
  <si>
    <t>rec_update_dtime      | 25-SEP-17 17:12:57.771</t>
  </si>
  <si>
    <t>remarks_20            | 備考20°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</si>
</sst>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Red]&quot;¥&quot;\-#,##0"/>
    <numFmt numFmtId="41" formatCode="_ * #,##0_ ;_ * \-#,##0_ ;_ * &quot;-&quot;_ ;_ @_ "/>
    <numFmt numFmtId="43" formatCode="_ * #,##0.00_ ;_ * \-#,##0.00_ ;_ * &quot;-&quot;??_ ;_ @_ "/>
    <numFmt numFmtId="176" formatCode="#,##0_ "/>
    <numFmt numFmtId="177" formatCode="#,##0.0&quot;人月&quot;"/>
    <numFmt numFmtId="178" formatCode="&quot;¥&quot;\$#,##0.00_);[Red]&quot;¥&quot;\(&quot;¥&quot;\$#,##0.00&quot;¥&quot;\)"/>
    <numFmt numFmtId="179" formatCode="&quot;$&quot;#,##0_);[Red]&quot;¥&quot;&quot;¥&quot;&quot;¥&quot;\(&quot;$&quot;#,##0&quot;¥&quot;&quot;¥&quot;&quot;¥&quot;\)"/>
    <numFmt numFmtId="180" formatCode="&quot;$&quot;#,##0.00_);[Red]&quot;¥&quot;&quot;¥&quot;&quot;¥&quot;\(&quot;$&quot;#,##0.00&quot;¥&quot;&quot;¥&quot;&quot;¥&quot;\)"/>
    <numFmt numFmtId="181" formatCode="000"/>
    <numFmt numFmtId="182" formatCode="00000"/>
    <numFmt numFmtId="183" formatCode="_(* #,##0.00000_);_(* \(#,##0.00000\);_(* &quot;-&quot;??_);_(@_)"/>
    <numFmt numFmtId="184" formatCode="_(* #,##0.000000_);_(* \(#,##0.000000\);_(* &quot;-&quot;??_);_(@_)"/>
    <numFmt numFmtId="185" formatCode="0.00000%"/>
    <numFmt numFmtId="186" formatCode="0%\);[Red]\(0%\)"/>
    <numFmt numFmtId="187" formatCode="#,##0_ ;[Red]&quot;¥&quot;\!\-#,##0&quot;¥&quot;\!\ "/>
    <numFmt numFmtId="188" formatCode="0_ ;[Red]&quot;¥&quot;\!\-0&quot;¥&quot;\!\ "/>
    <numFmt numFmtId="189" formatCode="&quot;¥&quot;#,##0.0;[Red]&quot;¥&quot;\-#,##0.0"/>
    <numFmt numFmtId="190" formatCode="0_)"/>
  </numFmts>
  <fonts count="80">
    <font>
      <sz val="11"/>
      <name val="ＭＳ Ｐゴシック"/>
      <family val="3"/>
      <charset val="128"/>
    </font>
    <font>
      <sz val="11"/>
      <name val="ＭＳ Ｐゴシック"/>
      <family val="3"/>
      <charset val="128"/>
    </font>
    <font>
      <u/>
      <sz val="11"/>
      <color indexed="12"/>
      <name val="ＭＳ Ｐゴシック"/>
      <family val="3"/>
      <charset val="128"/>
    </font>
    <font>
      <sz val="6"/>
      <name val="ＭＳ Ｐゴシック"/>
      <family val="3"/>
      <charset val="128"/>
    </font>
    <font>
      <sz val="10"/>
      <name val="ＭＳ Ｐゴシック"/>
      <family val="3"/>
      <charset val="128"/>
    </font>
    <font>
      <b/>
      <sz val="11"/>
      <name val="ＭＳ Ｐゴシック"/>
      <family val="3"/>
      <charset val="128"/>
    </font>
    <font>
      <sz val="10"/>
      <name val="??"/>
      <family val="3"/>
    </font>
    <font>
      <sz val="10"/>
      <name val="，iA¶"/>
      <family val="3"/>
      <charset val="128"/>
    </font>
    <font>
      <sz val="10"/>
      <name val="Helv"/>
      <family val="2"/>
    </font>
    <font>
      <sz val="11"/>
      <name val="??"/>
      <family val="3"/>
    </font>
    <font>
      <b/>
      <sz val="10"/>
      <name val="Helv"/>
      <family val="2"/>
    </font>
    <font>
      <sz val="8"/>
      <name val="Arial"/>
      <family val="2"/>
    </font>
    <font>
      <b/>
      <sz val="12"/>
      <name val="Helv"/>
      <family val="2"/>
    </font>
    <font>
      <b/>
      <sz val="10"/>
      <name val="Arial"/>
      <family val="2"/>
    </font>
    <font>
      <b/>
      <sz val="14"/>
      <name val="Arial"/>
      <family val="2"/>
    </font>
    <font>
      <b/>
      <sz val="12"/>
      <name val="Arial"/>
      <family val="2"/>
    </font>
    <font>
      <sz val="20"/>
      <name val="HP Logo LG"/>
      <family val="3"/>
      <charset val="128"/>
    </font>
    <font>
      <b/>
      <sz val="11"/>
      <name val="Helv"/>
      <family val="2"/>
    </font>
    <font>
      <sz val="11"/>
      <name val="1UAAA?"/>
      <family val="3"/>
    </font>
    <font>
      <sz val="10"/>
      <name val="Arial"/>
      <family val="2"/>
    </font>
    <font>
      <sz val="10"/>
      <name val="MS Sans Serif"/>
      <family val="2"/>
    </font>
    <font>
      <b/>
      <sz val="10"/>
      <name val="MS Sans Serif"/>
      <family val="2"/>
    </font>
    <font>
      <b/>
      <sz val="10"/>
      <color indexed="12"/>
      <name val="Times New Roman"/>
      <family val="1"/>
    </font>
    <font>
      <sz val="10"/>
      <color indexed="12"/>
      <name val="Arial"/>
      <family val="2"/>
    </font>
    <font>
      <b/>
      <sz val="8"/>
      <name val="Arial"/>
      <family val="2"/>
    </font>
    <font>
      <sz val="11"/>
      <name val="明朝"/>
      <family val="1"/>
      <charset val="128"/>
    </font>
    <font>
      <b/>
      <sz val="16"/>
      <name val="丸ｺﾞｼｯｸ"/>
      <family val="3"/>
      <charset val="128"/>
    </font>
    <font>
      <b/>
      <sz val="11"/>
      <color indexed="10"/>
      <name val="ＭＳ Ｐゴシック"/>
      <family val="3"/>
      <charset val="128"/>
    </font>
    <font>
      <u/>
      <sz val="9.35"/>
      <color indexed="12"/>
      <name val="ＭＳ Ｐゴシック"/>
      <family val="3"/>
      <charset val="128"/>
    </font>
    <font>
      <b/>
      <sz val="11"/>
      <color indexed="8"/>
      <name val="Calibri"/>
      <family val="2"/>
    </font>
    <font>
      <sz val="11"/>
      <color indexed="8"/>
      <name val="Calibri"/>
      <family val="2"/>
    </font>
    <font>
      <sz val="9"/>
      <name val="ＭＳ Ｐゴシック"/>
      <family val="3"/>
      <charset val="128"/>
    </font>
    <font>
      <sz val="9"/>
      <name val="ＭＳ ゴシック"/>
      <family val="3"/>
      <charset val="128"/>
    </font>
    <font>
      <b/>
      <sz val="10"/>
      <name val="ＭＳ Ｐゴシック"/>
      <family val="3"/>
      <charset val="128"/>
    </font>
    <font>
      <sz val="10"/>
      <name val="ＭＳ ゴシック"/>
      <family val="3"/>
      <charset val="128"/>
    </font>
    <font>
      <sz val="11"/>
      <color indexed="9"/>
      <name val="Calibri"/>
      <family val="2"/>
    </font>
    <font>
      <sz val="11"/>
      <color indexed="20"/>
      <name val="Calibri"/>
      <family val="2"/>
    </font>
    <font>
      <sz val="10"/>
      <name val="ＭＳ Ｐ明朝"/>
      <family val="1"/>
      <charset val="128"/>
    </font>
    <font>
      <b/>
      <sz val="11"/>
      <color indexed="52"/>
      <name val="Calibri"/>
      <family val="2"/>
    </font>
    <font>
      <b/>
      <sz val="11"/>
      <color indexed="9"/>
      <name val="Calibri"/>
      <family val="2"/>
    </font>
    <font>
      <sz val="10"/>
      <name val="BERNHARD"/>
      <family val="2"/>
    </font>
    <font>
      <sz val="1"/>
      <color indexed="8"/>
      <name val="Courier"/>
      <family val="3"/>
    </font>
    <font>
      <b/>
      <sz val="1"/>
      <color indexed="8"/>
      <name val="Courier"/>
      <family val="3"/>
    </font>
    <font>
      <sz val="9"/>
      <name val="Times New Roman"/>
      <family val="1"/>
    </font>
    <font>
      <i/>
      <sz val="11"/>
      <color indexed="23"/>
      <name val="Calibri"/>
      <family val="2"/>
    </font>
    <font>
      <sz val="11"/>
      <color indexed="17"/>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7"/>
      <name val="Small Fonts"/>
      <family val="3"/>
      <charset val="128"/>
    </font>
    <font>
      <sz val="8"/>
      <name val="Times New Roman"/>
      <family val="1"/>
    </font>
    <font>
      <sz val="14"/>
      <name val="?? ??"/>
      <family val="1"/>
    </font>
    <font>
      <b/>
      <sz val="11"/>
      <color indexed="63"/>
      <name val="Calibri"/>
      <family val="2"/>
    </font>
    <font>
      <sz val="8"/>
      <color indexed="16"/>
      <name val="Century Schoolbook"/>
      <family val="1"/>
    </font>
    <font>
      <sz val="8"/>
      <name val="Helv"/>
      <family val="2"/>
    </font>
    <font>
      <b/>
      <i/>
      <sz val="10"/>
      <name val="Times New Roman"/>
      <family val="1"/>
    </font>
    <font>
      <sz val="10"/>
      <name val="Times New Roman"/>
      <family val="1"/>
    </font>
    <font>
      <b/>
      <sz val="18"/>
      <color indexed="56"/>
      <name val="Cambria"/>
      <family val="1"/>
    </font>
    <font>
      <sz val="11"/>
      <color indexed="10"/>
      <name val="Calibri"/>
      <family val="2"/>
    </font>
    <font>
      <u/>
      <sz val="10"/>
      <color indexed="12"/>
      <name val="Arial"/>
      <family val="2"/>
    </font>
    <font>
      <b/>
      <sz val="12"/>
      <name val="標準ゴシック"/>
      <family val="3"/>
      <charset val="128"/>
    </font>
    <font>
      <b/>
      <sz val="15"/>
      <color indexed="56"/>
      <name val="ＭＳ Ｐゴシック"/>
      <family val="3"/>
      <charset val="128"/>
    </font>
    <font>
      <sz val="14"/>
      <name val="ＭＳ 明朝"/>
      <family val="1"/>
      <charset val="128"/>
    </font>
    <font>
      <sz val="10"/>
      <name val="Courier"/>
      <family val="3"/>
    </font>
    <font>
      <sz val="10"/>
      <name val="ＭＳ 明朝"/>
      <family val="1"/>
      <charset val="128"/>
    </font>
    <font>
      <sz val="20"/>
      <name val="ＭＳ ゴシック"/>
      <family val="3"/>
      <charset val="128"/>
    </font>
    <font>
      <sz val="8"/>
      <name val="ＭＳ ゴシック"/>
      <family val="3"/>
      <charset val="128"/>
    </font>
    <font>
      <b/>
      <sz val="10"/>
      <name val="ＭＳ ゴシック"/>
      <family val="3"/>
      <charset val="128"/>
    </font>
    <font>
      <sz val="10.5"/>
      <name val="ＭＳ 明朝"/>
      <family val="1"/>
      <charset val="128"/>
    </font>
    <font>
      <b/>
      <sz val="9"/>
      <name val="ＭＳ ゴシック"/>
      <family val="3"/>
      <charset val="128"/>
    </font>
    <font>
      <b/>
      <sz val="12"/>
      <name val="ＭＳ ゴシック"/>
      <family val="3"/>
      <charset val="128"/>
    </font>
    <font>
      <u/>
      <sz val="11"/>
      <name val="ＭＳ Ｐゴシック"/>
      <family val="3"/>
      <charset val="128"/>
    </font>
    <font>
      <b/>
      <sz val="12"/>
      <name val="ＭＳ Ｐゴシック"/>
      <family val="3"/>
      <charset val="128"/>
    </font>
    <font>
      <sz val="11"/>
      <name val="ＭＳ ゴシック"/>
      <family val="3"/>
      <charset val="128"/>
    </font>
    <font>
      <sz val="11"/>
      <color theme="1"/>
      <name val="ＭＳ Ｐゴシック"/>
      <family val="3"/>
      <charset val="128"/>
      <scheme val="minor"/>
    </font>
    <font>
      <sz val="11"/>
      <color rgb="FFFF0000"/>
      <name val="ＭＳ Ｐゴシック"/>
      <family val="3"/>
      <charset val="128"/>
    </font>
    <font>
      <sz val="11"/>
      <color rgb="FFFF0000"/>
      <name val="ＭＳ ゴシック"/>
      <family val="3"/>
      <charset val="128"/>
    </font>
    <font>
      <b/>
      <sz val="11"/>
      <color rgb="FFFF0000"/>
      <name val="ＭＳ Ｐゴシック"/>
      <family val="3"/>
      <charset val="128"/>
    </font>
  </fonts>
  <fills count="4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bgColor indexed="64"/>
      </patternFill>
    </fill>
    <fill>
      <patternFill patternType="solid">
        <fgColor indexed="22"/>
        <bgColor indexed="64"/>
      </patternFill>
    </fill>
    <fill>
      <patternFill patternType="solid">
        <fgColor indexed="43"/>
      </patternFill>
    </fill>
    <fill>
      <patternFill patternType="solid">
        <fgColor indexed="26"/>
      </patternFill>
    </fill>
    <fill>
      <patternFill patternType="solid">
        <fgColor indexed="42"/>
        <bgColor indexed="42"/>
      </patternFill>
    </fill>
    <fill>
      <patternFill patternType="lightGray"/>
    </fill>
    <fill>
      <patternFill patternType="solid">
        <fgColor indexed="13"/>
        <bgColor indexed="64"/>
      </patternFill>
    </fill>
    <fill>
      <patternFill patternType="solid">
        <fgColor indexed="51"/>
        <bgColor indexed="64"/>
      </patternFill>
    </fill>
    <fill>
      <patternFill patternType="solid">
        <fgColor indexed="42"/>
        <bgColor indexed="64"/>
      </patternFill>
    </fill>
    <fill>
      <patternFill patternType="solid">
        <fgColor indexed="65"/>
        <bgColor indexed="64"/>
      </patternFill>
    </fill>
    <fill>
      <patternFill patternType="solid">
        <fgColor indexed="40"/>
        <bgColor indexed="64"/>
      </patternFill>
    </fill>
    <fill>
      <patternFill patternType="solid">
        <fgColor indexed="44"/>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bgColor indexed="64"/>
      </patternFill>
    </fill>
    <fill>
      <patternFill patternType="solid">
        <fgColor theme="0" tint="-0.499984740745262"/>
        <bgColor indexed="64"/>
      </patternFill>
    </fill>
    <fill>
      <patternFill patternType="solid">
        <fgColor rgb="FFFFC000"/>
        <bgColor indexed="64"/>
      </patternFill>
    </fill>
    <fill>
      <patternFill patternType="solid">
        <fgColor theme="9" tint="0.59999389629810485"/>
        <bgColor indexed="64"/>
      </patternFill>
    </fill>
    <fill>
      <patternFill patternType="solid">
        <fgColor rgb="FF00B0F0"/>
        <bgColor indexed="64"/>
      </patternFill>
    </fill>
    <fill>
      <patternFill patternType="solid">
        <fgColor rgb="FF99CCFF"/>
        <bgColor indexed="64"/>
      </patternFill>
    </fill>
    <fill>
      <patternFill patternType="solid">
        <fgColor rgb="FFCCFFCC"/>
        <bgColor indexed="64"/>
      </patternFill>
    </fill>
  </fills>
  <borders count="131">
    <border>
      <left/>
      <right/>
      <top/>
      <bottom/>
      <diagonal/>
    </border>
    <border>
      <left/>
      <right/>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double">
        <color indexed="64"/>
      </left>
      <right/>
      <top style="double">
        <color indexed="64"/>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8"/>
      </left>
      <right/>
      <top/>
      <bottom style="thin">
        <color indexed="8"/>
      </bottom>
      <diagonal/>
    </border>
    <border>
      <left style="medium">
        <color indexed="8"/>
      </left>
      <right style="thin">
        <color indexed="8"/>
      </right>
      <top/>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62"/>
      </top>
      <bottom style="double">
        <color indexed="62"/>
      </bottom>
      <diagonal/>
    </border>
    <border>
      <left style="thin">
        <color indexed="64"/>
      </left>
      <right style="thin">
        <color indexed="64"/>
      </right>
      <top style="dotted">
        <color indexed="64"/>
      </top>
      <bottom style="dotted">
        <color indexed="64"/>
      </bottom>
      <diagonal/>
    </border>
    <border>
      <left/>
      <right/>
      <top/>
      <bottom style="thick">
        <color indexed="62"/>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diagonal/>
    </border>
    <border>
      <left style="medium">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style="double">
        <color indexed="64"/>
      </top>
      <bottom/>
      <diagonal/>
    </border>
    <border>
      <left/>
      <right/>
      <top/>
      <bottom style="double">
        <color indexed="64"/>
      </bottom>
      <diagonal/>
    </border>
    <border>
      <left style="hair">
        <color indexed="64"/>
      </left>
      <right style="hair">
        <color indexed="64"/>
      </right>
      <top/>
      <bottom style="medium">
        <color indexed="64"/>
      </bottom>
      <diagonal/>
    </border>
    <border>
      <left/>
      <right style="thin">
        <color indexed="64"/>
      </right>
      <top/>
      <bottom style="medium">
        <color indexed="64"/>
      </bottom>
      <diagonal/>
    </border>
    <border>
      <left/>
      <right style="medium">
        <color indexed="64"/>
      </right>
      <top/>
      <bottom/>
      <diagonal/>
    </border>
    <border>
      <left style="hair">
        <color indexed="64"/>
      </left>
      <right style="hair">
        <color indexed="64"/>
      </right>
      <top style="thin">
        <color indexed="64"/>
      </top>
      <bottom/>
      <diagonal/>
    </border>
    <border>
      <left/>
      <right style="thin">
        <color indexed="64"/>
      </right>
      <top/>
      <bottom/>
      <diagonal/>
    </border>
    <border>
      <left/>
      <right style="hair">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hair">
        <color indexed="64"/>
      </right>
      <top/>
      <bottom/>
      <diagonal/>
    </border>
    <border>
      <left/>
      <right style="hair">
        <color indexed="64"/>
      </right>
      <top style="thin">
        <color indexed="64"/>
      </top>
      <bottom/>
      <diagonal/>
    </border>
    <border>
      <left style="hair">
        <color indexed="64"/>
      </left>
      <right style="hair">
        <color indexed="64"/>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hair">
        <color indexed="64"/>
      </left>
      <right style="hair">
        <color indexed="64"/>
      </right>
      <top/>
      <bottom style="hair">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bottom/>
      <diagonal/>
    </border>
    <border>
      <left style="hair">
        <color indexed="64"/>
      </left>
      <right style="hair">
        <color indexed="64"/>
      </right>
      <top/>
      <bottom style="thin">
        <color indexed="64"/>
      </bottom>
      <diagonal/>
    </border>
    <border>
      <left/>
      <right style="thin">
        <color indexed="64"/>
      </right>
      <top style="hair">
        <color indexed="64"/>
      </top>
      <bottom/>
      <diagonal/>
    </border>
    <border>
      <left/>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style="hair">
        <color indexed="64"/>
      </left>
      <right style="hair">
        <color indexed="64"/>
      </right>
      <top style="hair">
        <color indexed="64"/>
      </top>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top style="double">
        <color indexed="64"/>
      </top>
      <bottom style="thin">
        <color indexed="64"/>
      </bottom>
      <diagonal/>
    </border>
    <border>
      <left/>
      <right/>
      <top style="double">
        <color indexed="64"/>
      </top>
      <bottom/>
      <diagonal/>
    </border>
    <border>
      <left style="medium">
        <color indexed="64"/>
      </left>
      <right/>
      <top style="double">
        <color indexed="64"/>
      </top>
      <bottom/>
      <diagonal/>
    </border>
    <border>
      <left style="thin">
        <color indexed="64"/>
      </left>
      <right style="thin">
        <color indexed="64"/>
      </right>
      <top/>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hair">
        <color indexed="64"/>
      </left>
      <right style="hair">
        <color indexed="64"/>
      </right>
      <top style="thick">
        <color indexed="64"/>
      </top>
      <bottom style="thin">
        <color indexed="64"/>
      </bottom>
      <diagonal/>
    </border>
    <border>
      <left/>
      <right style="hair">
        <color indexed="64"/>
      </right>
      <top style="hair">
        <color indexed="64"/>
      </top>
      <bottom/>
      <diagonal/>
    </border>
    <border>
      <left/>
      <right style="thin">
        <color indexed="64"/>
      </right>
      <top/>
      <bottom style="double">
        <color indexed="64"/>
      </bottom>
      <diagonal/>
    </border>
    <border>
      <left style="medium">
        <color indexed="64"/>
      </left>
      <right/>
      <top/>
      <bottom style="double">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right style="hair">
        <color indexed="64"/>
      </right>
      <top/>
      <bottom style="medium">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
      <left style="hair">
        <color indexed="64"/>
      </left>
      <right/>
      <top style="thin">
        <color indexed="64"/>
      </top>
      <bottom style="medium">
        <color indexed="64"/>
      </bottom>
      <diagonal/>
    </border>
    <border>
      <left style="medium">
        <color indexed="64"/>
      </left>
      <right/>
      <top/>
      <bottom style="medium">
        <color indexed="64"/>
      </bottom>
      <diagonal/>
    </border>
    <border>
      <left/>
      <right style="hair">
        <color indexed="64"/>
      </right>
      <top style="hair">
        <color indexed="64"/>
      </top>
      <bottom style="hair">
        <color indexed="64"/>
      </bottom>
      <diagonal/>
    </border>
    <border>
      <left/>
      <right style="hair">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hair">
        <color indexed="64"/>
      </bottom>
      <diagonal/>
    </border>
    <border>
      <left style="hair">
        <color indexed="64"/>
      </left>
      <right/>
      <top style="medium">
        <color indexed="64"/>
      </top>
      <bottom/>
      <diagonal/>
    </border>
    <border>
      <left/>
      <right style="hair">
        <color indexed="64"/>
      </right>
      <top style="medium">
        <color indexed="64"/>
      </top>
      <bottom style="hair">
        <color indexed="64"/>
      </bottom>
      <diagonal/>
    </border>
    <border>
      <left/>
      <right style="hair">
        <color indexed="64"/>
      </right>
      <top style="medium">
        <color indexed="64"/>
      </top>
      <bottom/>
      <diagonal/>
    </border>
    <border>
      <left/>
      <right/>
      <top style="medium">
        <color indexed="64"/>
      </top>
      <bottom/>
      <diagonal/>
    </border>
    <border>
      <left style="thin">
        <color indexed="64"/>
      </left>
      <right/>
      <top style="medium">
        <color indexed="64"/>
      </top>
      <bottom/>
      <diagonal/>
    </border>
    <border>
      <left/>
      <right style="hair">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style="thin">
        <color indexed="64"/>
      </right>
      <top style="double">
        <color indexed="64"/>
      </top>
      <bottom style="thin">
        <color indexed="64"/>
      </bottom>
      <diagonal/>
    </border>
    <border>
      <left style="medium">
        <color indexed="64"/>
      </left>
      <right/>
      <top style="thin">
        <color indexed="64"/>
      </top>
      <bottom/>
      <diagonal/>
    </border>
    <border>
      <left style="thin">
        <color indexed="64"/>
      </left>
      <right style="medium">
        <color indexed="64"/>
      </right>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bottom style="double">
        <color indexed="64"/>
      </bottom>
      <diagonal/>
    </border>
    <border>
      <left style="medium">
        <color indexed="64"/>
      </left>
      <right/>
      <top style="medium">
        <color indexed="64"/>
      </top>
      <bottom style="medium">
        <color indexed="64"/>
      </bottom>
      <diagonal/>
    </border>
    <border>
      <left style="hair">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202">
    <xf numFmtId="0" fontId="0" fillId="0" borderId="0">
      <alignment vertical="center"/>
    </xf>
    <xf numFmtId="0" fontId="6" fillId="0" borderId="1"/>
    <xf numFmtId="0" fontId="6" fillId="0" borderId="0"/>
    <xf numFmtId="0" fontId="7" fillId="0" borderId="1"/>
    <xf numFmtId="0" fontId="30" fillId="2" borderId="0" applyNumberFormat="0" applyBorder="0" applyAlignment="0" applyProtection="0"/>
    <xf numFmtId="0" fontId="30" fillId="3" borderId="0" applyNumberFormat="0" applyBorder="0" applyAlignment="0" applyProtection="0"/>
    <xf numFmtId="0" fontId="30" fillId="4" borderId="0" applyNumberFormat="0" applyBorder="0" applyAlignment="0" applyProtection="0"/>
    <xf numFmtId="0" fontId="30" fillId="5" borderId="0" applyNumberFormat="0" applyBorder="0" applyAlignment="0" applyProtection="0"/>
    <xf numFmtId="0" fontId="30" fillId="6" borderId="0" applyNumberFormat="0" applyBorder="0" applyAlignment="0" applyProtection="0"/>
    <xf numFmtId="0" fontId="30" fillId="7" borderId="0" applyNumberFormat="0" applyBorder="0" applyAlignment="0" applyProtection="0"/>
    <xf numFmtId="0" fontId="30" fillId="8" borderId="0" applyNumberFormat="0" applyBorder="0" applyAlignment="0" applyProtection="0"/>
    <xf numFmtId="0" fontId="30" fillId="9" borderId="0" applyNumberFormat="0" applyBorder="0" applyAlignment="0" applyProtection="0"/>
    <xf numFmtId="0" fontId="30" fillId="10" borderId="0" applyNumberFormat="0" applyBorder="0" applyAlignment="0" applyProtection="0"/>
    <xf numFmtId="0" fontId="30" fillId="5" borderId="0" applyNumberFormat="0" applyBorder="0" applyAlignment="0" applyProtection="0"/>
    <xf numFmtId="0" fontId="30" fillId="8" borderId="0" applyNumberFormat="0" applyBorder="0" applyAlignment="0" applyProtection="0"/>
    <xf numFmtId="0" fontId="30" fillId="11" borderId="0" applyNumberFormat="0" applyBorder="0" applyAlignment="0" applyProtection="0"/>
    <xf numFmtId="0" fontId="35" fillId="12"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35" fillId="17" borderId="0" applyNumberFormat="0" applyBorder="0" applyAlignment="0" applyProtection="0"/>
    <xf numFmtId="0" fontId="35" fillId="18"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9" borderId="0" applyNumberFormat="0" applyBorder="0" applyAlignment="0" applyProtection="0"/>
    <xf numFmtId="179" fontId="8" fillId="0" borderId="0" applyFont="0" applyFill="0" applyBorder="0" applyAlignment="0" applyProtection="0"/>
    <xf numFmtId="180" fontId="8"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0" fontId="36" fillId="3" borderId="0" applyNumberFormat="0" applyBorder="0" applyAlignment="0" applyProtection="0"/>
    <xf numFmtId="0" fontId="37" fillId="0" borderId="0">
      <alignment vertical="center" wrapText="1"/>
    </xf>
    <xf numFmtId="0" fontId="8" fillId="0" borderId="0"/>
    <xf numFmtId="0" fontId="9" fillId="0" borderId="0" applyFill="0" applyBorder="0" applyAlignment="0"/>
    <xf numFmtId="0" fontId="38" fillId="20" borderId="2" applyNumberFormat="0" applyAlignment="0" applyProtection="0"/>
    <xf numFmtId="0" fontId="10" fillId="0" borderId="0"/>
    <xf numFmtId="0" fontId="39" fillId="21" borderId="3" applyNumberFormat="0" applyAlignment="0" applyProtection="0"/>
    <xf numFmtId="41" fontId="19" fillId="0" borderId="0" applyFont="0" applyFill="0" applyBorder="0" applyAlignment="0" applyProtection="0"/>
    <xf numFmtId="43" fontId="19" fillId="0" borderId="0" applyFont="0" applyFill="0" applyBorder="0" applyAlignment="0" applyProtection="0"/>
    <xf numFmtId="0" fontId="40" fillId="0" borderId="0"/>
    <xf numFmtId="0" fontId="8" fillId="0" borderId="0"/>
    <xf numFmtId="0" fontId="40" fillId="0" borderId="0"/>
    <xf numFmtId="0" fontId="8" fillId="0" borderId="0"/>
    <xf numFmtId="181" fontId="19" fillId="0" borderId="0" applyFont="0" applyFill="0" applyBorder="0" applyAlignment="0" applyProtection="0"/>
    <xf numFmtId="182" fontId="19" fillId="0" borderId="0" applyFont="0" applyFill="0" applyBorder="0" applyAlignment="0" applyProtection="0"/>
    <xf numFmtId="0" fontId="41" fillId="0" borderId="0">
      <protection locked="0"/>
    </xf>
    <xf numFmtId="0" fontId="42" fillId="0" borderId="0">
      <protection locked="0"/>
    </xf>
    <xf numFmtId="0" fontId="42" fillId="0" borderId="0">
      <protection locked="0"/>
    </xf>
    <xf numFmtId="0" fontId="43" fillId="0" borderId="0">
      <alignment horizontal="left"/>
    </xf>
    <xf numFmtId="0" fontId="44" fillId="0" borderId="0" applyNumberFormat="0" applyFill="0" applyBorder="0" applyAlignment="0" applyProtection="0"/>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5" fillId="4" borderId="0" applyNumberFormat="0" applyBorder="0" applyAlignment="0" applyProtection="0"/>
    <xf numFmtId="38" fontId="11" fillId="22" borderId="0" applyNumberFormat="0" applyBorder="0" applyAlignment="0" applyProtection="0"/>
    <xf numFmtId="0" fontId="12" fillId="0" borderId="0">
      <alignment horizontal="left"/>
    </xf>
    <xf numFmtId="0" fontId="13" fillId="0" borderId="4" applyFill="0" applyBorder="0"/>
    <xf numFmtId="0" fontId="11" fillId="0" borderId="4" applyBorder="0">
      <alignment horizontal="center" vertical="center"/>
    </xf>
    <xf numFmtId="0" fontId="14" fillId="0" borderId="4" applyBorder="0">
      <alignment horizontal="center" vertical="center"/>
    </xf>
    <xf numFmtId="0" fontId="15" fillId="0" borderId="5" applyNumberFormat="0" applyAlignment="0" applyProtection="0">
      <alignment horizontal="left" vertical="center"/>
    </xf>
    <xf numFmtId="0" fontId="15" fillId="0" borderId="6">
      <alignment horizontal="left" vertical="center"/>
    </xf>
    <xf numFmtId="0" fontId="15" fillId="0" borderId="0" applyFill="0" applyBorder="0" applyAlignment="0">
      <alignment vertical="center"/>
    </xf>
    <xf numFmtId="0" fontId="46" fillId="0" borderId="7" applyNumberFormat="0" applyFill="0" applyAlignment="0" applyProtection="0"/>
    <xf numFmtId="0" fontId="47" fillId="0" borderId="8" applyNumberFormat="0" applyFill="0" applyAlignment="0" applyProtection="0"/>
    <xf numFmtId="0" fontId="47" fillId="0" borderId="0" applyNumberFormat="0" applyFill="0" applyBorder="0" applyAlignment="0" applyProtection="0"/>
    <xf numFmtId="0" fontId="16" fillId="0" borderId="4" applyBorder="0">
      <alignment horizontal="center" vertical="center"/>
    </xf>
    <xf numFmtId="0" fontId="28" fillId="0" borderId="0" applyNumberFormat="0" applyFill="0" applyBorder="0" applyAlignment="0" applyProtection="0">
      <alignment vertical="top"/>
      <protection locked="0"/>
    </xf>
    <xf numFmtId="0" fontId="34" fillId="0" borderId="0" applyBorder="0"/>
    <xf numFmtId="0" fontId="48" fillId="7" borderId="2" applyNumberFormat="0" applyAlignment="0" applyProtection="0"/>
    <xf numFmtId="10" fontId="11" fillId="22" borderId="9" applyNumberFormat="0" applyBorder="0" applyAlignment="0" applyProtection="0"/>
    <xf numFmtId="0" fontId="34" fillId="0" borderId="0"/>
    <xf numFmtId="0" fontId="49" fillId="0" borderId="10" applyNumberFormat="0" applyFill="0" applyAlignment="0" applyProtection="0"/>
    <xf numFmtId="0" fontId="25" fillId="23" borderId="0" applyNumberFormat="0" applyFont="0" applyBorder="0" applyAlignment="0" applyProtection="0"/>
    <xf numFmtId="183" fontId="1" fillId="0" borderId="0" applyFont="0" applyFill="0" applyBorder="0" applyAlignment="0" applyProtection="0"/>
    <xf numFmtId="183" fontId="1" fillId="0" borderId="0" applyFont="0" applyFill="0" applyBorder="0" applyAlignment="0" applyProtection="0"/>
    <xf numFmtId="0" fontId="17" fillId="0" borderId="11"/>
    <xf numFmtId="184" fontId="1" fillId="0" borderId="0" applyFont="0" applyFill="0" applyBorder="0" applyAlignment="0" applyProtection="0"/>
    <xf numFmtId="185" fontId="1" fillId="0" borderId="0" applyFont="0" applyFill="0" applyBorder="0" applyAlignment="0" applyProtection="0"/>
    <xf numFmtId="0" fontId="41" fillId="0" borderId="0">
      <protection locked="0"/>
    </xf>
    <xf numFmtId="0" fontId="50" fillId="24" borderId="0" applyNumberFormat="0" applyBorder="0" applyAlignment="0" applyProtection="0"/>
    <xf numFmtId="37" fontId="51" fillId="0" borderId="0"/>
    <xf numFmtId="178" fontId="18" fillId="0" borderId="0"/>
    <xf numFmtId="0" fontId="76" fillId="0" borderId="0">
      <alignment vertical="center"/>
    </xf>
    <xf numFmtId="0" fontId="52" fillId="0" borderId="0"/>
    <xf numFmtId="0" fontId="53" fillId="0" borderId="0"/>
    <xf numFmtId="0" fontId="1" fillId="25" borderId="12" applyNumberFormat="0" applyFont="0" applyAlignment="0" applyProtection="0"/>
    <xf numFmtId="186" fontId="19" fillId="0" borderId="0" applyFont="0" applyFill="0" applyBorder="0" applyAlignment="0" applyProtection="0">
      <alignment horizontal="center"/>
      <protection locked="0"/>
    </xf>
    <xf numFmtId="0" fontId="54" fillId="20" borderId="13" applyNumberFormat="0" applyAlignment="0" applyProtection="0"/>
    <xf numFmtId="10" fontId="19" fillId="0" borderId="0" applyFont="0" applyFill="0" applyBorder="0" applyAlignment="0" applyProtection="0"/>
    <xf numFmtId="0" fontId="41" fillId="0" borderId="0">
      <protection locked="0"/>
    </xf>
    <xf numFmtId="4" fontId="43" fillId="0" borderId="0">
      <alignment horizontal="right"/>
    </xf>
    <xf numFmtId="0" fontId="20" fillId="0" borderId="0" applyNumberFormat="0" applyFont="0" applyFill="0" applyBorder="0" applyAlignment="0" applyProtection="0">
      <alignment horizontal="left"/>
    </xf>
    <xf numFmtId="0" fontId="21" fillId="0" borderId="11">
      <alignment horizontal="center"/>
    </xf>
    <xf numFmtId="4" fontId="55" fillId="0" borderId="0">
      <alignment horizontal="right"/>
    </xf>
    <xf numFmtId="38" fontId="56" fillId="0" borderId="0"/>
    <xf numFmtId="0" fontId="57" fillId="0" borderId="0">
      <alignment horizontal="left"/>
    </xf>
    <xf numFmtId="1" fontId="58" fillId="0" borderId="0" applyBorder="0">
      <alignment horizontal="left" vertical="top" wrapText="1"/>
    </xf>
    <xf numFmtId="0" fontId="17" fillId="0" borderId="0"/>
    <xf numFmtId="0" fontId="22" fillId="0" borderId="14" applyNumberFormat="0" applyFill="0" applyBorder="0">
      <alignment horizontal="centerContinuous" vertical="center" wrapText="1"/>
      <protection locked="0"/>
    </xf>
    <xf numFmtId="0" fontId="13" fillId="26" borderId="15" applyFill="0" applyBorder="0">
      <alignment horizontal="left" vertical="center"/>
    </xf>
    <xf numFmtId="0" fontId="13" fillId="26" borderId="15" applyFill="0" applyBorder="0">
      <alignment horizontal="center" vertical="center"/>
    </xf>
    <xf numFmtId="0" fontId="13" fillId="26" borderId="16" applyNumberFormat="0" applyFill="0" applyBorder="0" applyProtection="0">
      <alignment horizontal="centerContinuous"/>
    </xf>
    <xf numFmtId="0" fontId="23" fillId="0" borderId="14" applyFill="0" applyBorder="0" applyProtection="0">
      <alignment vertical="center"/>
      <protection locked="0"/>
    </xf>
    <xf numFmtId="0" fontId="11" fillId="0" borderId="0" applyFill="0" applyBorder="0">
      <alignment vertical="center"/>
    </xf>
    <xf numFmtId="0" fontId="24" fillId="26" borderId="17" applyFill="0" applyBorder="0" applyAlignment="0">
      <alignment horizontal="center" vertical="center"/>
    </xf>
    <xf numFmtId="0" fontId="11" fillId="0" borderId="0" applyFill="0" applyBorder="0">
      <alignment horizontal="centerContinuous" vertical="center"/>
    </xf>
    <xf numFmtId="0" fontId="13" fillId="0" borderId="0" applyNumberFormat="0" applyFill="0" applyBorder="0">
      <alignment vertical="center"/>
    </xf>
    <xf numFmtId="0" fontId="59" fillId="0" borderId="0" applyNumberFormat="0" applyFill="0" applyBorder="0" applyAlignment="0" applyProtection="0"/>
    <xf numFmtId="0" fontId="29" fillId="0" borderId="18" applyNumberFormat="0" applyFill="0" applyAlignment="0" applyProtection="0"/>
    <xf numFmtId="0" fontId="60" fillId="0" borderId="0" applyNumberFormat="0" applyFill="0" applyBorder="0" applyAlignment="0" applyProtection="0"/>
    <xf numFmtId="0" fontId="2"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 fillId="0" borderId="0" applyNumberFormat="0" applyFill="0" applyBorder="0" applyAlignment="0" applyProtection="0">
      <alignment vertical="top"/>
      <protection locked="0"/>
    </xf>
    <xf numFmtId="0" fontId="1" fillId="0" borderId="19"/>
    <xf numFmtId="187" fontId="4" fillId="0" borderId="0" applyBorder="0">
      <alignment horizontal="right"/>
    </xf>
    <xf numFmtId="0" fontId="34" fillId="0" borderId="0">
      <alignment vertical="center"/>
    </xf>
    <xf numFmtId="49" fontId="1" fillId="0" borderId="0" applyFont="0"/>
    <xf numFmtId="38" fontId="25" fillId="0" borderId="0"/>
    <xf numFmtId="0" fontId="62" fillId="0" borderId="0"/>
    <xf numFmtId="0" fontId="63" fillId="0" borderId="20" applyNumberFormat="0" applyFill="0" applyAlignment="0" applyProtection="0">
      <alignment vertical="center"/>
    </xf>
    <xf numFmtId="0" fontId="1" fillId="0" borderId="0">
      <alignment vertical="center"/>
    </xf>
    <xf numFmtId="0" fontId="1" fillId="0" borderId="0">
      <alignment vertical="center"/>
    </xf>
    <xf numFmtId="177" fontId="25" fillId="0" borderId="0"/>
    <xf numFmtId="188" fontId="4" fillId="0" borderId="0" applyFill="0" applyBorder="0"/>
    <xf numFmtId="187" fontId="4" fillId="0" borderId="0" applyFill="0" applyBorder="0"/>
    <xf numFmtId="189" fontId="1" fillId="0" borderId="0" applyFill="0" applyBorder="0"/>
    <xf numFmtId="49" fontId="4" fillId="22" borderId="21">
      <alignment horizontal="center"/>
    </xf>
    <xf numFmtId="176" fontId="4" fillId="22" borderId="21">
      <alignment horizontal="right"/>
    </xf>
    <xf numFmtId="14" fontId="4" fillId="22" borderId="0" applyBorder="0">
      <alignment horizontal="center"/>
    </xf>
    <xf numFmtId="49" fontId="4" fillId="0" borderId="21"/>
    <xf numFmtId="6" fontId="1" fillId="0" borderId="0" applyFont="0" applyFill="0" applyBorder="0" applyAlignment="0" applyProtection="0"/>
    <xf numFmtId="14" fontId="4" fillId="0" borderId="22" applyBorder="0">
      <alignment horizontal="left"/>
    </xf>
    <xf numFmtId="14" fontId="4" fillId="0" borderId="0" applyFill="0" applyBorder="0"/>
    <xf numFmtId="0" fontId="64" fillId="0" borderId="0"/>
    <xf numFmtId="0" fontId="1" fillId="0" borderId="0"/>
    <xf numFmtId="0" fontId="76" fillId="0" borderId="0">
      <alignment vertical="center"/>
    </xf>
    <xf numFmtId="0" fontId="1" fillId="0" borderId="0"/>
    <xf numFmtId="0" fontId="1" fillId="0" borderId="0"/>
    <xf numFmtId="0" fontId="1" fillId="0" borderId="0"/>
    <xf numFmtId="0" fontId="1" fillId="0" borderId="0">
      <alignment vertical="center"/>
    </xf>
    <xf numFmtId="0" fontId="1" fillId="0" borderId="0"/>
    <xf numFmtId="0" fontId="76" fillId="0" borderId="0">
      <alignment vertical="center"/>
    </xf>
    <xf numFmtId="0" fontId="1" fillId="0" borderId="0"/>
    <xf numFmtId="0" fontId="1" fillId="0" borderId="0">
      <alignment vertical="center"/>
    </xf>
    <xf numFmtId="0" fontId="76" fillId="0" borderId="0">
      <alignment vertical="center"/>
    </xf>
    <xf numFmtId="0" fontId="1" fillId="0" borderId="0"/>
    <xf numFmtId="0" fontId="76" fillId="0" borderId="0">
      <alignment vertical="center"/>
    </xf>
    <xf numFmtId="0" fontId="1" fillId="0" borderId="0">
      <alignment vertical="center"/>
    </xf>
    <xf numFmtId="0" fontId="32" fillId="0" borderId="0">
      <alignment vertical="center"/>
    </xf>
    <xf numFmtId="0" fontId="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lignment vertical="center"/>
    </xf>
    <xf numFmtId="0" fontId="1" fillId="0" borderId="0"/>
    <xf numFmtId="0" fontId="1" fillId="0" borderId="0"/>
    <xf numFmtId="0" fontId="1" fillId="0" borderId="0"/>
    <xf numFmtId="0" fontId="1" fillId="0" borderId="0"/>
    <xf numFmtId="0" fontId="1" fillId="0" borderId="0"/>
    <xf numFmtId="0" fontId="26" fillId="0" borderId="11">
      <alignment horizontal="centerContinuous" vertical="center" wrapText="1"/>
    </xf>
    <xf numFmtId="49" fontId="4" fillId="0" borderId="0" applyFill="0" applyBorder="0"/>
    <xf numFmtId="190" fontId="65" fillId="0" borderId="0"/>
    <xf numFmtId="0" fontId="1" fillId="27" borderId="0" applyNumberFormat="0" applyFont="0" applyBorder="0" applyAlignment="0" applyProtection="0"/>
    <xf numFmtId="0" fontId="31" fillId="27" borderId="23">
      <alignment horizontal="left" vertical="center" wrapText="1"/>
    </xf>
    <xf numFmtId="0" fontId="66" fillId="0" borderId="0"/>
  </cellStyleXfs>
  <cellXfs count="426">
    <xf numFmtId="0" fontId="0" fillId="0" borderId="0" xfId="0">
      <alignment vertical="center"/>
    </xf>
    <xf numFmtId="0" fontId="0" fillId="0" borderId="0" xfId="0" applyNumberFormat="1">
      <alignment vertical="center"/>
    </xf>
    <xf numFmtId="0" fontId="0" fillId="28" borderId="0" xfId="0" applyFill="1">
      <alignment vertical="center"/>
    </xf>
    <xf numFmtId="0" fontId="0" fillId="29" borderId="0" xfId="0" applyFill="1">
      <alignment vertical="center"/>
    </xf>
    <xf numFmtId="0" fontId="0" fillId="30" borderId="0" xfId="0" applyFill="1">
      <alignment vertical="center"/>
    </xf>
    <xf numFmtId="0" fontId="5" fillId="29" borderId="0" xfId="0" applyFont="1" applyFill="1">
      <alignment vertical="center"/>
    </xf>
    <xf numFmtId="0" fontId="0" fillId="0" borderId="0" xfId="0" applyFont="1">
      <alignment vertical="center"/>
    </xf>
    <xf numFmtId="0" fontId="5" fillId="28" borderId="0" xfId="0" applyFont="1" applyFill="1">
      <alignment vertical="center"/>
    </xf>
    <xf numFmtId="0" fontId="5" fillId="30" borderId="0" xfId="0" applyFont="1" applyFill="1">
      <alignment vertical="center"/>
    </xf>
    <xf numFmtId="0" fontId="32" fillId="0" borderId="0" xfId="169" applyFont="1" applyFill="1" applyAlignment="1">
      <alignment vertical="center"/>
    </xf>
    <xf numFmtId="0" fontId="32" fillId="0" borderId="24" xfId="169" applyFont="1" applyFill="1" applyBorder="1" applyAlignment="1">
      <alignment horizontal="center" vertical="center"/>
    </xf>
    <xf numFmtId="0" fontId="32" fillId="0" borderId="25" xfId="169" applyFont="1" applyFill="1" applyBorder="1" applyAlignment="1">
      <alignment horizontal="left" vertical="center"/>
    </xf>
    <xf numFmtId="0" fontId="32" fillId="0" borderId="26" xfId="169" applyFont="1" applyFill="1" applyBorder="1" applyAlignment="1">
      <alignment horizontal="left" vertical="center"/>
    </xf>
    <xf numFmtId="0" fontId="32" fillId="0" borderId="27" xfId="169" applyFont="1" applyFill="1" applyBorder="1" applyAlignment="1">
      <alignment horizontal="center" vertical="center"/>
    </xf>
    <xf numFmtId="0" fontId="32" fillId="0" borderId="28" xfId="169" applyFont="1" applyFill="1" applyBorder="1" applyAlignment="1">
      <alignment horizontal="center" vertical="center"/>
    </xf>
    <xf numFmtId="0" fontId="32" fillId="0" borderId="29" xfId="169" applyFont="1" applyFill="1" applyBorder="1" applyAlignment="1">
      <alignment horizontal="left" vertical="center" wrapText="1"/>
    </xf>
    <xf numFmtId="0" fontId="32" fillId="0" borderId="30" xfId="169" applyFont="1" applyFill="1" applyBorder="1" applyAlignment="1">
      <alignment horizontal="center" vertical="center"/>
    </xf>
    <xf numFmtId="0" fontId="32" fillId="0" borderId="31" xfId="169" applyFont="1" applyFill="1" applyBorder="1" applyAlignment="1">
      <alignment horizontal="center" vertical="center"/>
    </xf>
    <xf numFmtId="0" fontId="32" fillId="0" borderId="32" xfId="169" applyFont="1" applyFill="1" applyBorder="1" applyAlignment="1">
      <alignment horizontal="left" vertical="center"/>
    </xf>
    <xf numFmtId="0" fontId="32" fillId="0" borderId="33" xfId="169" applyFont="1" applyFill="1" applyBorder="1" applyAlignment="1">
      <alignment horizontal="center" vertical="center"/>
    </xf>
    <xf numFmtId="0" fontId="32" fillId="0" borderId="34" xfId="169" applyFont="1" applyFill="1" applyBorder="1" applyAlignment="1">
      <alignment horizontal="center" vertical="center"/>
    </xf>
    <xf numFmtId="0" fontId="32" fillId="0" borderId="35" xfId="169" applyFont="1" applyFill="1" applyBorder="1" applyAlignment="1">
      <alignment vertical="center"/>
    </xf>
    <xf numFmtId="0" fontId="32" fillId="0" borderId="0" xfId="169" applyFont="1" applyFill="1" applyAlignment="1">
      <alignment horizontal="left" vertical="center"/>
    </xf>
    <xf numFmtId="0" fontId="32" fillId="0" borderId="36" xfId="169" applyFont="1" applyFill="1" applyBorder="1" applyAlignment="1">
      <alignment vertical="center"/>
    </xf>
    <xf numFmtId="0" fontId="32" fillId="0" borderId="36" xfId="169" applyFont="1" applyFill="1" applyBorder="1" applyAlignment="1">
      <alignment horizontal="left" vertical="center"/>
    </xf>
    <xf numFmtId="0" fontId="67" fillId="0" borderId="36" xfId="169" applyFont="1" applyFill="1" applyBorder="1" applyAlignment="1">
      <alignment vertical="center"/>
    </xf>
    <xf numFmtId="0" fontId="32" fillId="31" borderId="0" xfId="195" applyFont="1" applyFill="1" applyBorder="1" applyAlignment="1"/>
    <xf numFmtId="0" fontId="34" fillId="31" borderId="0" xfId="195" applyFont="1" applyFill="1" applyBorder="1" applyAlignment="1"/>
    <xf numFmtId="49" fontId="34" fillId="31" borderId="37" xfId="195" applyNumberFormat="1" applyFont="1" applyFill="1" applyBorder="1" applyAlignment="1">
      <alignment horizontal="center" vertical="top" textRotation="255"/>
    </xf>
    <xf numFmtId="49" fontId="68" fillId="31" borderId="38" xfId="195" applyNumberFormat="1" applyFont="1" applyFill="1" applyBorder="1" applyAlignment="1">
      <alignment horizontal="right" vertical="center"/>
    </xf>
    <xf numFmtId="49" fontId="68" fillId="31" borderId="11" xfId="195" applyNumberFormat="1" applyFont="1" applyFill="1" applyBorder="1" applyAlignment="1" applyProtection="1">
      <alignment vertical="center" wrapText="1"/>
      <protection locked="0"/>
    </xf>
    <xf numFmtId="49" fontId="68" fillId="31" borderId="39" xfId="195" applyNumberFormat="1" applyFont="1" applyFill="1" applyBorder="1" applyAlignment="1">
      <alignment vertical="center"/>
    </xf>
    <xf numFmtId="49" fontId="68" fillId="31" borderId="0" xfId="195" applyNumberFormat="1" applyFont="1" applyFill="1" applyBorder="1" applyAlignment="1">
      <alignment vertical="center"/>
    </xf>
    <xf numFmtId="49" fontId="68" fillId="31" borderId="0" xfId="195" applyNumberFormat="1" applyFont="1" applyFill="1" applyBorder="1" applyAlignment="1" applyProtection="1">
      <alignment vertical="center"/>
      <protection locked="0"/>
    </xf>
    <xf numFmtId="49" fontId="34" fillId="31" borderId="40" xfId="195" applyNumberFormat="1" applyFont="1" applyFill="1" applyBorder="1" applyAlignment="1">
      <alignment horizontal="center" vertical="top" textRotation="255"/>
    </xf>
    <xf numFmtId="49" fontId="68" fillId="31" borderId="41" xfId="195" applyNumberFormat="1" applyFont="1" applyFill="1" applyBorder="1" applyAlignment="1">
      <alignment horizontal="right" vertical="center"/>
    </xf>
    <xf numFmtId="49" fontId="34" fillId="31" borderId="42" xfId="195" applyNumberFormat="1" applyFont="1" applyFill="1" applyBorder="1" applyAlignment="1">
      <alignment horizontal="center" vertical="center"/>
    </xf>
    <xf numFmtId="49" fontId="68" fillId="31" borderId="43" xfId="195" applyNumberFormat="1" applyFont="1" applyFill="1" applyBorder="1" applyAlignment="1">
      <alignment horizontal="right" vertical="top"/>
    </xf>
    <xf numFmtId="49" fontId="68" fillId="31" borderId="44" xfId="195" applyNumberFormat="1" applyFont="1" applyFill="1" applyBorder="1" applyAlignment="1">
      <alignment vertical="top"/>
    </xf>
    <xf numFmtId="49" fontId="68" fillId="31" borderId="44" xfId="195" applyNumberFormat="1" applyFont="1" applyFill="1" applyBorder="1" applyAlignment="1">
      <alignment vertical="center"/>
    </xf>
    <xf numFmtId="49" fontId="34" fillId="31" borderId="45" xfId="195" applyNumberFormat="1" applyFont="1" applyFill="1" applyBorder="1" applyAlignment="1">
      <alignment horizontal="center" vertical="center" wrapText="1"/>
    </xf>
    <xf numFmtId="49" fontId="68" fillId="31" borderId="41" xfId="195" applyNumberFormat="1" applyFont="1" applyFill="1" applyBorder="1" applyAlignment="1">
      <alignment horizontal="right"/>
    </xf>
    <xf numFmtId="49" fontId="68" fillId="31" borderId="0" xfId="195" applyNumberFormat="1" applyFont="1" applyFill="1" applyBorder="1" applyAlignment="1"/>
    <xf numFmtId="49" fontId="34" fillId="31" borderId="42" xfId="195" applyNumberFormat="1" applyFont="1" applyFill="1" applyBorder="1" applyAlignment="1">
      <alignment horizontal="right" vertical="center"/>
    </xf>
    <xf numFmtId="49" fontId="68" fillId="31" borderId="43" xfId="195" applyNumberFormat="1" applyFont="1" applyFill="1" applyBorder="1" applyAlignment="1">
      <alignment horizontal="right" vertical="center"/>
    </xf>
    <xf numFmtId="49" fontId="68" fillId="31" borderId="44" xfId="195" applyNumberFormat="1" applyFont="1" applyFill="1" applyBorder="1" applyAlignment="1" applyProtection="1">
      <alignment vertical="center" wrapText="1"/>
      <protection locked="0"/>
    </xf>
    <xf numFmtId="49" fontId="34" fillId="31" borderId="46" xfId="195" applyNumberFormat="1" applyFont="1" applyFill="1" applyBorder="1" applyAlignment="1">
      <alignment horizontal="right" vertical="center"/>
    </xf>
    <xf numFmtId="49" fontId="34" fillId="31" borderId="45" xfId="195" applyNumberFormat="1" applyFont="1" applyFill="1" applyBorder="1" applyAlignment="1">
      <alignment horizontal="left" vertical="top" wrapText="1"/>
    </xf>
    <xf numFmtId="49" fontId="34" fillId="31" borderId="42" xfId="195" applyNumberFormat="1" applyFont="1" applyFill="1" applyBorder="1" applyAlignment="1">
      <alignment horizontal="right" vertical="center" wrapText="1"/>
    </xf>
    <xf numFmtId="49" fontId="34" fillId="0" borderId="47" xfId="195" applyNumberFormat="1" applyFont="1" applyFill="1" applyBorder="1" applyAlignment="1">
      <alignment horizontal="center" vertical="center"/>
    </xf>
    <xf numFmtId="0" fontId="34" fillId="22" borderId="48" xfId="195" applyFont="1" applyFill="1" applyBorder="1" applyAlignment="1">
      <alignment vertical="top"/>
    </xf>
    <xf numFmtId="49" fontId="34" fillId="22" borderId="49" xfId="195" applyNumberFormat="1" applyFont="1" applyFill="1" applyBorder="1" applyAlignment="1">
      <alignment vertical="top"/>
    </xf>
    <xf numFmtId="0" fontId="34" fillId="31" borderId="49" xfId="195" applyFont="1" applyFill="1" applyBorder="1" applyAlignment="1">
      <alignment vertical="top" wrapText="1"/>
    </xf>
    <xf numFmtId="0" fontId="34" fillId="31" borderId="50" xfId="195" applyFont="1" applyFill="1" applyBorder="1"/>
    <xf numFmtId="49" fontId="34" fillId="31" borderId="51" xfId="195" applyNumberFormat="1" applyFont="1" applyFill="1" applyBorder="1" applyAlignment="1">
      <alignment vertical="center"/>
    </xf>
    <xf numFmtId="49" fontId="34" fillId="23" borderId="52" xfId="195" applyNumberFormat="1" applyFont="1" applyFill="1" applyBorder="1" applyAlignment="1">
      <alignment vertical="center"/>
    </xf>
    <xf numFmtId="49" fontId="34" fillId="34" borderId="53" xfId="195" applyNumberFormat="1" applyFont="1" applyFill="1" applyBorder="1" applyAlignment="1">
      <alignment horizontal="center" vertical="center"/>
    </xf>
    <xf numFmtId="49" fontId="34" fillId="0" borderId="53" xfId="195" applyNumberFormat="1" applyFont="1" applyFill="1" applyBorder="1" applyAlignment="1">
      <alignment horizontal="center" vertical="center"/>
    </xf>
    <xf numFmtId="49" fontId="34" fillId="22" borderId="54" xfId="195" applyNumberFormat="1" applyFont="1" applyFill="1" applyBorder="1" applyAlignment="1">
      <alignment vertical="center"/>
    </xf>
    <xf numFmtId="49" fontId="34" fillId="22" borderId="29" xfId="195" applyNumberFormat="1" applyFont="1" applyFill="1" applyBorder="1" applyAlignment="1">
      <alignment vertical="center"/>
    </xf>
    <xf numFmtId="49" fontId="34" fillId="22" borderId="6" xfId="195" applyNumberFormat="1" applyFont="1" applyFill="1" applyBorder="1" applyAlignment="1"/>
    <xf numFmtId="49" fontId="34" fillId="22" borderId="6" xfId="195" applyNumberFormat="1" applyFont="1" applyFill="1" applyBorder="1" applyAlignment="1">
      <alignment vertical="center"/>
    </xf>
    <xf numFmtId="49" fontId="34" fillId="22" borderId="29" xfId="195" applyNumberFormat="1" applyFont="1" applyFill="1" applyBorder="1" applyAlignment="1">
      <alignment horizontal="left" vertical="center" indent="1"/>
    </xf>
    <xf numFmtId="49" fontId="69" fillId="22" borderId="55" xfId="195" applyNumberFormat="1" applyFont="1" applyFill="1" applyBorder="1" applyAlignment="1">
      <alignment vertical="center"/>
    </xf>
    <xf numFmtId="49" fontId="34" fillId="23" borderId="56" xfId="195" applyNumberFormat="1" applyFont="1" applyFill="1" applyBorder="1" applyAlignment="1">
      <alignment vertical="center"/>
    </xf>
    <xf numFmtId="49" fontId="34" fillId="35" borderId="54" xfId="195" applyNumberFormat="1" applyFont="1" applyFill="1" applyBorder="1" applyAlignment="1">
      <alignment vertical="center"/>
    </xf>
    <xf numFmtId="49" fontId="34" fillId="35" borderId="29" xfId="195" applyNumberFormat="1" applyFont="1" applyFill="1" applyBorder="1" applyAlignment="1">
      <alignment vertical="center"/>
    </xf>
    <xf numFmtId="49" fontId="34" fillId="35" borderId="6" xfId="195" applyNumberFormat="1" applyFont="1" applyFill="1" applyBorder="1" applyAlignment="1"/>
    <xf numFmtId="49" fontId="34" fillId="35" borderId="6" xfId="195" applyNumberFormat="1" applyFont="1" applyFill="1" applyBorder="1" applyAlignment="1">
      <alignment vertical="center"/>
    </xf>
    <xf numFmtId="49" fontId="34" fillId="35" borderId="29" xfId="195" applyNumberFormat="1" applyFont="1" applyFill="1" applyBorder="1" applyAlignment="1">
      <alignment horizontal="left" vertical="center" indent="1"/>
    </xf>
    <xf numFmtId="49" fontId="34" fillId="34" borderId="57" xfId="195" applyNumberFormat="1" applyFont="1" applyFill="1" applyBorder="1" applyAlignment="1">
      <alignment horizontal="center" vertical="center"/>
    </xf>
    <xf numFmtId="49" fontId="34" fillId="34" borderId="54" xfId="195" applyNumberFormat="1" applyFont="1" applyFill="1" applyBorder="1" applyAlignment="1">
      <alignment vertical="center"/>
    </xf>
    <xf numFmtId="49" fontId="34" fillId="34" borderId="6" xfId="195" applyNumberFormat="1" applyFont="1" applyFill="1" applyBorder="1" applyAlignment="1">
      <alignment vertical="center"/>
    </xf>
    <xf numFmtId="49" fontId="34" fillId="34" borderId="6" xfId="195" applyNumberFormat="1" applyFont="1" applyFill="1" applyBorder="1" applyAlignment="1"/>
    <xf numFmtId="49" fontId="69" fillId="34" borderId="29" xfId="195" applyNumberFormat="1" applyFont="1" applyFill="1" applyBorder="1" applyAlignment="1">
      <alignment vertical="center"/>
    </xf>
    <xf numFmtId="0" fontId="34" fillId="22" borderId="58" xfId="195" applyFont="1" applyFill="1" applyBorder="1" applyAlignment="1">
      <alignment vertical="top"/>
    </xf>
    <xf numFmtId="49" fontId="34" fillId="22" borderId="59" xfId="195" applyNumberFormat="1" applyFont="1" applyFill="1" applyBorder="1" applyAlignment="1">
      <alignment vertical="top"/>
    </xf>
    <xf numFmtId="0" fontId="34" fillId="31" borderId="59" xfId="195" applyFont="1" applyFill="1" applyBorder="1" applyAlignment="1">
      <alignment vertical="top" wrapText="1"/>
    </xf>
    <xf numFmtId="0" fontId="34" fillId="31" borderId="60" xfId="195" applyFont="1" applyFill="1" applyBorder="1" applyAlignment="1">
      <alignment horizontal="left" indent="1"/>
    </xf>
    <xf numFmtId="49" fontId="34" fillId="31" borderId="55" xfId="195" applyNumberFormat="1" applyFont="1" applyFill="1" applyBorder="1" applyAlignment="1">
      <alignment vertical="center"/>
    </xf>
    <xf numFmtId="49" fontId="34" fillId="36" borderId="61" xfId="195" applyNumberFormat="1" applyFont="1" applyFill="1" applyBorder="1" applyAlignment="1">
      <alignment horizontal="center" vertical="center"/>
    </xf>
    <xf numFmtId="0" fontId="34" fillId="36" borderId="62" xfId="195" applyFont="1" applyFill="1" applyBorder="1" applyAlignment="1">
      <alignment vertical="top"/>
    </xf>
    <xf numFmtId="0" fontId="34" fillId="36" borderId="63" xfId="195" applyFont="1" applyFill="1" applyBorder="1" applyAlignment="1">
      <alignment vertical="top"/>
    </xf>
    <xf numFmtId="0" fontId="34" fillId="36" borderId="63" xfId="195" applyFont="1" applyFill="1" applyBorder="1" applyAlignment="1">
      <alignment vertical="top" wrapText="1"/>
    </xf>
    <xf numFmtId="0" fontId="34" fillId="36" borderId="64" xfId="195" applyFont="1" applyFill="1" applyBorder="1"/>
    <xf numFmtId="49" fontId="34" fillId="0" borderId="65" xfId="195" applyNumberFormat="1" applyFont="1" applyFill="1" applyBorder="1" applyAlignment="1">
      <alignment horizontal="center" vertical="center"/>
    </xf>
    <xf numFmtId="49" fontId="34" fillId="0" borderId="21" xfId="195" applyNumberFormat="1" applyFont="1" applyFill="1" applyBorder="1" applyAlignment="1">
      <alignment horizontal="center" vertical="center"/>
    </xf>
    <xf numFmtId="0" fontId="34" fillId="22" borderId="66" xfId="195" applyFont="1" applyFill="1" applyBorder="1" applyAlignment="1">
      <alignment vertical="top"/>
    </xf>
    <xf numFmtId="0" fontId="34" fillId="22" borderId="67" xfId="195" applyFont="1" applyFill="1" applyBorder="1" applyAlignment="1">
      <alignment vertical="top"/>
    </xf>
    <xf numFmtId="0" fontId="34" fillId="31" borderId="66" xfId="195" applyFont="1" applyFill="1" applyBorder="1" applyAlignment="1">
      <alignment vertical="top" wrapText="1"/>
    </xf>
    <xf numFmtId="0" fontId="34" fillId="31" borderId="67" xfId="195" applyFont="1" applyFill="1" applyBorder="1" applyAlignment="1">
      <alignment vertical="top" wrapText="1"/>
    </xf>
    <xf numFmtId="0" fontId="70" fillId="0" borderId="50" xfId="169" applyFont="1" applyBorder="1" applyAlignment="1">
      <alignment horizontal="left" indent="1"/>
    </xf>
    <xf numFmtId="49" fontId="34" fillId="22" borderId="67" xfId="195" applyNumberFormat="1" applyFont="1" applyFill="1" applyBorder="1" applyAlignment="1">
      <alignment vertical="top"/>
    </xf>
    <xf numFmtId="0" fontId="34" fillId="31" borderId="41" xfId="195" applyFont="1" applyFill="1" applyBorder="1" applyAlignment="1">
      <alignment vertical="top" wrapText="1"/>
    </xf>
    <xf numFmtId="0" fontId="34" fillId="31" borderId="0" xfId="195" applyFont="1" applyFill="1" applyBorder="1" applyAlignment="1">
      <alignment vertical="top" wrapText="1"/>
    </xf>
    <xf numFmtId="0" fontId="34" fillId="31" borderId="55" xfId="195" applyFont="1" applyFill="1" applyBorder="1" applyAlignment="1">
      <alignment horizontal="left" indent="1"/>
    </xf>
    <xf numFmtId="0" fontId="34" fillId="31" borderId="58" xfId="195" applyFont="1" applyFill="1" applyBorder="1" applyAlignment="1">
      <alignment vertical="top" wrapText="1"/>
    </xf>
    <xf numFmtId="49" fontId="34" fillId="22" borderId="68" xfId="195" applyNumberFormat="1" applyFont="1" applyFill="1" applyBorder="1" applyAlignment="1">
      <alignment vertical="top"/>
    </xf>
    <xf numFmtId="49" fontId="34" fillId="34" borderId="47" xfId="195" applyNumberFormat="1" applyFont="1" applyFill="1" applyBorder="1" applyAlignment="1">
      <alignment horizontal="center" vertical="center"/>
    </xf>
    <xf numFmtId="49" fontId="34" fillId="23" borderId="69" xfId="195" applyNumberFormat="1" applyFont="1" applyFill="1" applyBorder="1" applyAlignment="1">
      <alignment vertical="center"/>
    </xf>
    <xf numFmtId="49" fontId="34" fillId="23" borderId="70" xfId="195" applyNumberFormat="1" applyFont="1" applyFill="1" applyBorder="1" applyAlignment="1">
      <alignment vertical="center"/>
    </xf>
    <xf numFmtId="49" fontId="69" fillId="23" borderId="71" xfId="195" applyNumberFormat="1" applyFont="1" applyFill="1" applyBorder="1" applyAlignment="1" applyProtection="1">
      <alignment vertical="center"/>
      <protection locked="0"/>
    </xf>
    <xf numFmtId="49" fontId="34" fillId="31" borderId="65" xfId="195" applyNumberFormat="1" applyFont="1" applyFill="1" applyBorder="1" applyAlignment="1">
      <alignment horizontal="center" vertical="center"/>
    </xf>
    <xf numFmtId="49" fontId="34" fillId="31" borderId="54" xfId="195" applyNumberFormat="1" applyFont="1" applyFill="1" applyBorder="1" applyAlignment="1">
      <alignment vertical="center"/>
    </xf>
    <xf numFmtId="49" fontId="34" fillId="31" borderId="29" xfId="195" applyNumberFormat="1" applyFont="1" applyFill="1" applyBorder="1" applyAlignment="1">
      <alignment vertical="center"/>
    </xf>
    <xf numFmtId="0" fontId="34" fillId="31" borderId="54" xfId="130" applyFont="1" applyFill="1" applyBorder="1" applyAlignment="1">
      <alignment horizontal="left" vertical="top"/>
    </xf>
    <xf numFmtId="0" fontId="34" fillId="31" borderId="6" xfId="130" applyFont="1" applyFill="1" applyBorder="1" applyAlignment="1">
      <alignment horizontal="left" vertical="top"/>
    </xf>
    <xf numFmtId="0" fontId="34" fillId="31" borderId="29" xfId="130" applyFont="1" applyFill="1" applyBorder="1" applyAlignment="1">
      <alignment horizontal="left" vertical="top"/>
    </xf>
    <xf numFmtId="49" fontId="34" fillId="31" borderId="72" xfId="195" applyNumberFormat="1" applyFont="1" applyFill="1" applyBorder="1" applyAlignment="1">
      <alignment vertical="center"/>
    </xf>
    <xf numFmtId="49" fontId="34" fillId="23" borderId="73" xfId="195" applyNumberFormat="1" applyFont="1" applyFill="1" applyBorder="1" applyAlignment="1">
      <alignment horizontal="center" vertical="center"/>
    </xf>
    <xf numFmtId="49" fontId="34" fillId="23" borderId="74" xfId="195" applyNumberFormat="1" applyFont="1" applyFill="1" applyBorder="1" applyAlignment="1">
      <alignment horizontal="center" vertical="center"/>
    </xf>
    <xf numFmtId="49" fontId="34" fillId="23" borderId="43" xfId="195" applyNumberFormat="1" applyFont="1" applyFill="1" applyBorder="1" applyAlignment="1">
      <alignment vertical="center"/>
    </xf>
    <xf numFmtId="49" fontId="34" fillId="23" borderId="6" xfId="195" applyNumberFormat="1" applyFont="1" applyFill="1" applyBorder="1" applyAlignment="1">
      <alignment vertical="center"/>
    </xf>
    <xf numFmtId="49" fontId="34" fillId="23" borderId="75" xfId="195" applyNumberFormat="1" applyFont="1" applyFill="1" applyBorder="1" applyAlignment="1"/>
    <xf numFmtId="49" fontId="34" fillId="23" borderId="75" xfId="195" applyNumberFormat="1" applyFont="1" applyFill="1" applyBorder="1" applyAlignment="1">
      <alignment vertical="center"/>
    </xf>
    <xf numFmtId="49" fontId="34" fillId="23" borderId="76" xfId="195" applyNumberFormat="1" applyFont="1" applyFill="1" applyBorder="1" applyAlignment="1">
      <alignment vertical="center"/>
    </xf>
    <xf numFmtId="49" fontId="69" fillId="23" borderId="76" xfId="195" applyNumberFormat="1" applyFont="1" applyFill="1" applyBorder="1" applyAlignment="1">
      <alignment vertical="center"/>
    </xf>
    <xf numFmtId="49" fontId="34" fillId="23" borderId="54" xfId="195" applyNumberFormat="1" applyFont="1" applyFill="1" applyBorder="1" applyAlignment="1">
      <alignment vertical="center"/>
    </xf>
    <xf numFmtId="49" fontId="34" fillId="23" borderId="6" xfId="195" applyNumberFormat="1" applyFont="1" applyFill="1" applyBorder="1" applyAlignment="1"/>
    <xf numFmtId="49" fontId="34" fillId="23" borderId="29" xfId="195" applyNumberFormat="1" applyFont="1" applyFill="1" applyBorder="1" applyAlignment="1">
      <alignment vertical="center"/>
    </xf>
    <xf numFmtId="49" fontId="69" fillId="23" borderId="9" xfId="195" applyNumberFormat="1" applyFont="1" applyFill="1" applyBorder="1" applyAlignment="1">
      <alignment vertical="center"/>
    </xf>
    <xf numFmtId="0" fontId="34" fillId="31" borderId="22" xfId="130" applyFont="1" applyFill="1" applyBorder="1" applyAlignment="1">
      <alignment horizontal="left" vertical="top"/>
    </xf>
    <xf numFmtId="0" fontId="34" fillId="31" borderId="75" xfId="130" applyFont="1" applyFill="1" applyBorder="1" applyAlignment="1">
      <alignment horizontal="left" vertical="top"/>
    </xf>
    <xf numFmtId="0" fontId="34" fillId="31" borderId="76" xfId="130" applyFont="1" applyFill="1" applyBorder="1" applyAlignment="1">
      <alignment horizontal="left" vertical="top"/>
    </xf>
    <xf numFmtId="0" fontId="34" fillId="35" borderId="41" xfId="130" applyFont="1" applyFill="1" applyBorder="1" applyAlignment="1">
      <alignment horizontal="left" vertical="top"/>
    </xf>
    <xf numFmtId="0" fontId="34" fillId="35" borderId="0" xfId="130" applyFont="1" applyFill="1" applyBorder="1" applyAlignment="1">
      <alignment horizontal="left" vertical="top"/>
    </xf>
    <xf numFmtId="0" fontId="34" fillId="35" borderId="55" xfId="130" applyFont="1" applyFill="1" applyBorder="1" applyAlignment="1">
      <alignment horizontal="left" vertical="top"/>
    </xf>
    <xf numFmtId="0" fontId="34" fillId="35" borderId="22" xfId="130" applyFont="1" applyFill="1" applyBorder="1" applyAlignment="1">
      <alignment horizontal="left" vertical="top"/>
    </xf>
    <xf numFmtId="0" fontId="34" fillId="35" borderId="75" xfId="130" applyFont="1" applyFill="1" applyBorder="1" applyAlignment="1">
      <alignment horizontal="left" vertical="top"/>
    </xf>
    <xf numFmtId="0" fontId="34" fillId="35" borderId="76" xfId="130" applyFont="1" applyFill="1" applyBorder="1" applyAlignment="1">
      <alignment horizontal="left" vertical="top"/>
    </xf>
    <xf numFmtId="0" fontId="34" fillId="35" borderId="43" xfId="130" applyFont="1" applyFill="1" applyBorder="1" applyAlignment="1">
      <alignment horizontal="left" vertical="top"/>
    </xf>
    <xf numFmtId="0" fontId="34" fillId="35" borderId="44" xfId="130" applyFont="1" applyFill="1" applyBorder="1" applyAlignment="1">
      <alignment horizontal="left" vertical="top"/>
    </xf>
    <xf numFmtId="0" fontId="34" fillId="35" borderId="51" xfId="130" applyFont="1" applyFill="1" applyBorder="1" applyAlignment="1">
      <alignment horizontal="left" vertical="top"/>
    </xf>
    <xf numFmtId="49" fontId="34" fillId="34" borderId="77" xfId="195" applyNumberFormat="1" applyFont="1" applyFill="1" applyBorder="1" applyAlignment="1">
      <alignment horizontal="center" vertical="top" textRotation="90"/>
    </xf>
    <xf numFmtId="49" fontId="34" fillId="23" borderId="43" xfId="195" applyNumberFormat="1" applyFont="1" applyFill="1" applyBorder="1" applyAlignment="1"/>
    <xf numFmtId="49" fontId="34" fillId="23" borderId="0" xfId="195" applyNumberFormat="1" applyFont="1" applyFill="1" applyBorder="1" applyAlignment="1"/>
    <xf numFmtId="49" fontId="34" fillId="23" borderId="70" xfId="195" applyNumberFormat="1" applyFont="1" applyFill="1" applyBorder="1" applyAlignment="1"/>
    <xf numFmtId="49" fontId="34" fillId="23" borderId="69" xfId="195" applyNumberFormat="1" applyFont="1" applyFill="1" applyBorder="1" applyAlignment="1"/>
    <xf numFmtId="49" fontId="69" fillId="23" borderId="56" xfId="195" applyNumberFormat="1" applyFont="1" applyFill="1" applyBorder="1" applyAlignment="1">
      <alignment vertical="center"/>
    </xf>
    <xf numFmtId="49" fontId="68" fillId="37" borderId="78" xfId="195" applyNumberFormat="1" applyFont="1" applyFill="1" applyBorder="1" applyAlignment="1"/>
    <xf numFmtId="49" fontId="32" fillId="31" borderId="79" xfId="195" applyNumberFormat="1" applyFont="1" applyFill="1" applyBorder="1" applyAlignment="1"/>
    <xf numFmtId="49" fontId="32" fillId="31" borderId="36" xfId="195" applyNumberFormat="1" applyFont="1" applyFill="1" applyBorder="1" applyAlignment="1"/>
    <xf numFmtId="49" fontId="32" fillId="31" borderId="80" xfId="195" applyNumberFormat="1" applyFont="1" applyFill="1" applyBorder="1" applyAlignment="1"/>
    <xf numFmtId="49" fontId="32" fillId="31" borderId="0" xfId="195" applyNumberFormat="1" applyFont="1" applyFill="1" applyBorder="1" applyAlignment="1">
      <alignment vertical="center"/>
    </xf>
    <xf numFmtId="49" fontId="32" fillId="31" borderId="0" xfId="195" applyNumberFormat="1" applyFont="1" applyFill="1" applyBorder="1" applyAlignment="1"/>
    <xf numFmtId="49" fontId="71" fillId="31" borderId="81" xfId="195" applyNumberFormat="1" applyFont="1" applyFill="1" applyBorder="1" applyAlignment="1">
      <alignment horizontal="center"/>
    </xf>
    <xf numFmtId="49" fontId="71" fillId="23" borderId="82" xfId="195" applyNumberFormat="1" applyFont="1" applyFill="1" applyBorder="1" applyAlignment="1">
      <alignment horizontal="right"/>
    </xf>
    <xf numFmtId="49" fontId="71" fillId="23" borderId="83" xfId="195" applyNumberFormat="1" applyFont="1" applyFill="1" applyBorder="1" applyAlignment="1"/>
    <xf numFmtId="49" fontId="71" fillId="23" borderId="11" xfId="195" applyNumberFormat="1" applyFont="1" applyFill="1" applyBorder="1" applyAlignment="1"/>
    <xf numFmtId="49" fontId="71" fillId="23" borderId="84" xfId="195" applyNumberFormat="1" applyFont="1" applyFill="1" applyBorder="1" applyAlignment="1"/>
    <xf numFmtId="49" fontId="72" fillId="31" borderId="85" xfId="195" applyNumberFormat="1" applyFont="1" applyFill="1" applyBorder="1" applyAlignment="1">
      <alignment horizontal="right"/>
    </xf>
    <xf numFmtId="49" fontId="72" fillId="31" borderId="26" xfId="195" applyNumberFormat="1" applyFont="1" applyFill="1" applyBorder="1" applyAlignment="1">
      <alignment horizontal="right"/>
    </xf>
    <xf numFmtId="49" fontId="72" fillId="31" borderId="86" xfId="195" applyNumberFormat="1" applyFont="1" applyFill="1" applyBorder="1" applyAlignment="1">
      <alignment horizontal="right"/>
    </xf>
    <xf numFmtId="49" fontId="71" fillId="23" borderId="87" xfId="195" applyNumberFormat="1" applyFont="1" applyFill="1" applyBorder="1" applyAlignment="1"/>
    <xf numFmtId="49" fontId="34" fillId="31" borderId="59" xfId="195" applyNumberFormat="1" applyFont="1" applyFill="1" applyBorder="1" applyAlignment="1"/>
    <xf numFmtId="49" fontId="71" fillId="23" borderId="88" xfId="195" applyNumberFormat="1" applyFont="1" applyFill="1" applyBorder="1" applyAlignment="1"/>
    <xf numFmtId="49" fontId="71" fillId="23" borderId="45" xfId="195" applyNumberFormat="1" applyFont="1" applyFill="1" applyBorder="1" applyAlignment="1"/>
    <xf numFmtId="49" fontId="71" fillId="23" borderId="0" xfId="195" applyNumberFormat="1" applyFont="1" applyFill="1" applyBorder="1" applyAlignment="1"/>
    <xf numFmtId="49" fontId="71" fillId="23" borderId="55" xfId="195" applyNumberFormat="1" applyFont="1" applyFill="1" applyBorder="1" applyAlignment="1"/>
    <xf numFmtId="49" fontId="71" fillId="23" borderId="89" xfId="195" applyNumberFormat="1" applyFont="1" applyFill="1" applyBorder="1" applyAlignment="1"/>
    <xf numFmtId="49" fontId="71" fillId="23" borderId="6" xfId="195" applyNumberFormat="1" applyFont="1" applyFill="1" applyBorder="1" applyAlignment="1"/>
    <xf numFmtId="49" fontId="71" fillId="23" borderId="90" xfId="195" applyNumberFormat="1" applyFont="1" applyFill="1" applyBorder="1" applyAlignment="1"/>
    <xf numFmtId="49" fontId="34" fillId="31" borderId="67" xfId="195" applyNumberFormat="1" applyFont="1" applyFill="1" applyBorder="1" applyAlignment="1"/>
    <xf numFmtId="49" fontId="34" fillId="38" borderId="91" xfId="195" applyNumberFormat="1" applyFont="1" applyFill="1" applyBorder="1" applyAlignment="1"/>
    <xf numFmtId="49" fontId="34" fillId="0" borderId="92" xfId="195" applyNumberFormat="1" applyFont="1" applyFill="1" applyBorder="1" applyAlignment="1"/>
    <xf numFmtId="49" fontId="71" fillId="23" borderId="93" xfId="195" applyNumberFormat="1" applyFont="1" applyFill="1" applyBorder="1" applyAlignment="1"/>
    <xf numFmtId="49" fontId="71" fillId="23" borderId="94" xfId="195" applyNumberFormat="1" applyFont="1" applyFill="1" applyBorder="1" applyAlignment="1"/>
    <xf numFmtId="49" fontId="71" fillId="23" borderId="95" xfId="195" applyNumberFormat="1" applyFont="1" applyFill="1" applyBorder="1" applyAlignment="1"/>
    <xf numFmtId="49" fontId="71" fillId="23" borderId="96" xfId="195" applyNumberFormat="1" applyFont="1" applyFill="1" applyBorder="1" applyAlignment="1"/>
    <xf numFmtId="49" fontId="71" fillId="23" borderId="97" xfId="195" applyNumberFormat="1" applyFont="1" applyFill="1" applyBorder="1" applyAlignment="1"/>
    <xf numFmtId="49" fontId="71" fillId="23" borderId="33" xfId="195" applyNumberFormat="1" applyFont="1" applyFill="1" applyBorder="1" applyAlignment="1"/>
    <xf numFmtId="49" fontId="71" fillId="23" borderId="98" xfId="195" applyNumberFormat="1" applyFont="1" applyFill="1" applyBorder="1" applyAlignment="1"/>
    <xf numFmtId="0" fontId="19" fillId="38" borderId="0" xfId="169" applyFill="1"/>
    <xf numFmtId="0" fontId="19" fillId="22" borderId="0" xfId="169" applyFont="1" applyFill="1" applyAlignment="1">
      <alignment vertical="center"/>
    </xf>
    <xf numFmtId="49" fontId="19" fillId="0" borderId="0" xfId="169" applyNumberFormat="1" applyFont="1" applyFill="1" applyBorder="1" applyAlignment="1">
      <alignment vertical="center"/>
    </xf>
    <xf numFmtId="0" fontId="19" fillId="22" borderId="0" xfId="169" applyFont="1" applyFill="1" applyAlignment="1">
      <alignment horizontal="center" vertical="center"/>
    </xf>
    <xf numFmtId="0" fontId="19" fillId="22" borderId="0" xfId="169" applyFont="1" applyFill="1" applyAlignment="1">
      <alignment horizontal="left" vertical="center"/>
    </xf>
    <xf numFmtId="0" fontId="19" fillId="22" borderId="0" xfId="169" applyFont="1" applyFill="1" applyAlignment="1">
      <alignment horizontal="center" vertical="center" shrinkToFit="1"/>
    </xf>
    <xf numFmtId="49" fontId="19" fillId="0" borderId="95" xfId="169" quotePrefix="1" applyNumberFormat="1" applyFont="1" applyFill="1" applyBorder="1" applyAlignment="1">
      <alignment vertical="center" shrinkToFit="1"/>
    </xf>
    <xf numFmtId="49" fontId="19" fillId="0" borderId="95" xfId="169" applyNumberFormat="1" applyFont="1" applyFill="1" applyBorder="1" applyAlignment="1">
      <alignment vertical="center"/>
    </xf>
    <xf numFmtId="0" fontId="19" fillId="39" borderId="22" xfId="169" applyNumberFormat="1" applyFill="1" applyBorder="1" applyAlignment="1">
      <alignment vertical="center"/>
    </xf>
    <xf numFmtId="0" fontId="19" fillId="39" borderId="27" xfId="169" applyNumberFormat="1" applyFill="1" applyBorder="1" applyAlignment="1">
      <alignment vertical="center"/>
    </xf>
    <xf numFmtId="0" fontId="19" fillId="22" borderId="29" xfId="169" applyNumberFormat="1" applyFill="1" applyBorder="1" applyAlignment="1">
      <alignment vertical="center"/>
    </xf>
    <xf numFmtId="0" fontId="19" fillId="22" borderId="9" xfId="169" applyNumberFormat="1" applyFill="1" applyBorder="1" applyAlignment="1">
      <alignment vertical="center"/>
    </xf>
    <xf numFmtId="49" fontId="19" fillId="0" borderId="99" xfId="169" applyNumberFormat="1" applyFont="1" applyFill="1" applyBorder="1" applyAlignment="1">
      <alignment vertical="center"/>
    </xf>
    <xf numFmtId="49" fontId="19" fillId="0" borderId="27" xfId="169" applyNumberFormat="1" applyFont="1" applyFill="1" applyBorder="1" applyAlignment="1">
      <alignment vertical="center"/>
    </xf>
    <xf numFmtId="0" fontId="19" fillId="22" borderId="99" xfId="169" applyFont="1" applyFill="1" applyBorder="1" applyAlignment="1">
      <alignment vertical="center"/>
    </xf>
    <xf numFmtId="0" fontId="19" fillId="22" borderId="99" xfId="169" applyFont="1" applyFill="1" applyBorder="1" applyAlignment="1">
      <alignment horizontal="center" vertical="top"/>
    </xf>
    <xf numFmtId="0" fontId="19" fillId="22" borderId="99" xfId="169" applyFont="1" applyFill="1" applyBorder="1" applyAlignment="1">
      <alignment vertical="top"/>
    </xf>
    <xf numFmtId="0" fontId="19" fillId="22" borderId="85" xfId="169" applyFont="1" applyFill="1" applyBorder="1" applyAlignment="1">
      <alignment horizontal="center" vertical="center" shrinkToFit="1"/>
    </xf>
    <xf numFmtId="0" fontId="77" fillId="22" borderId="24" xfId="169" applyFont="1" applyFill="1" applyBorder="1" applyAlignment="1">
      <alignment vertical="center"/>
    </xf>
    <xf numFmtId="0" fontId="77" fillId="22" borderId="99" xfId="169" applyFont="1" applyFill="1" applyBorder="1" applyAlignment="1">
      <alignment horizontal="center" vertical="center"/>
    </xf>
    <xf numFmtId="0" fontId="77" fillId="22" borderId="99" xfId="169" applyFont="1" applyFill="1" applyBorder="1" applyAlignment="1">
      <alignment vertical="center"/>
    </xf>
    <xf numFmtId="0" fontId="77" fillId="22" borderId="27" xfId="169" applyFont="1" applyFill="1" applyBorder="1" applyAlignment="1">
      <alignment vertical="center"/>
    </xf>
    <xf numFmtId="0" fontId="19" fillId="22" borderId="24" xfId="169" applyFont="1" applyFill="1" applyBorder="1" applyAlignment="1">
      <alignment vertical="center"/>
    </xf>
    <xf numFmtId="0" fontId="19" fillId="22" borderId="99" xfId="169" applyFont="1" applyFill="1" applyBorder="1" applyAlignment="1">
      <alignment horizontal="center" vertical="center"/>
    </xf>
    <xf numFmtId="0" fontId="19" fillId="22" borderId="85" xfId="169" applyFont="1" applyFill="1" applyBorder="1" applyAlignment="1">
      <alignment vertical="top"/>
    </xf>
    <xf numFmtId="0" fontId="19" fillId="22" borderId="26" xfId="169" applyFont="1" applyFill="1" applyBorder="1" applyAlignment="1">
      <alignment vertical="top"/>
    </xf>
    <xf numFmtId="0" fontId="19" fillId="22" borderId="25" xfId="169" applyFont="1" applyFill="1" applyBorder="1" applyAlignment="1">
      <alignment vertical="top"/>
    </xf>
    <xf numFmtId="0" fontId="19" fillId="22" borderId="27" xfId="169" applyFont="1" applyFill="1" applyBorder="1" applyAlignment="1">
      <alignment horizontal="center" vertical="center" shrinkToFit="1"/>
    </xf>
    <xf numFmtId="0" fontId="19" fillId="22" borderId="0" xfId="169" applyFill="1" applyAlignment="1">
      <alignment vertical="center"/>
    </xf>
    <xf numFmtId="0" fontId="19" fillId="0" borderId="0" xfId="169" applyFont="1" applyFill="1" applyAlignment="1">
      <alignment vertical="center"/>
    </xf>
    <xf numFmtId="0" fontId="19" fillId="39" borderId="6" xfId="169" applyNumberFormat="1" applyFill="1" applyBorder="1" applyAlignment="1">
      <alignment vertical="center"/>
    </xf>
    <xf numFmtId="0" fontId="19" fillId="22" borderId="28" xfId="169" applyNumberFormat="1" applyFill="1" applyBorder="1" applyAlignment="1">
      <alignment vertical="center"/>
    </xf>
    <xf numFmtId="0" fontId="19" fillId="40" borderId="9" xfId="169" applyNumberFormat="1" applyFill="1" applyBorder="1" applyAlignment="1">
      <alignment vertical="center"/>
    </xf>
    <xf numFmtId="49" fontId="19" fillId="0" borderId="9" xfId="169" quotePrefix="1" applyNumberFormat="1" applyFont="1" applyFill="1" applyBorder="1" applyAlignment="1">
      <alignment vertical="center"/>
    </xf>
    <xf numFmtId="49" fontId="19" fillId="0" borderId="30" xfId="169" applyNumberFormat="1" applyFont="1" applyFill="1" applyBorder="1" applyAlignment="1">
      <alignment vertical="center"/>
    </xf>
    <xf numFmtId="0" fontId="19" fillId="0" borderId="28" xfId="169" applyFont="1" applyFill="1" applyBorder="1" applyAlignment="1">
      <alignment horizontal="left" vertical="top" wrapText="1"/>
    </xf>
    <xf numFmtId="0" fontId="19" fillId="0" borderId="100" xfId="169" applyFont="1" applyFill="1" applyBorder="1" applyAlignment="1">
      <alignment horizontal="center" vertical="top"/>
    </xf>
    <xf numFmtId="0" fontId="19" fillId="0" borderId="9" xfId="169" applyFont="1" applyFill="1" applyBorder="1" applyAlignment="1">
      <alignment horizontal="center" vertical="top"/>
    </xf>
    <xf numFmtId="0" fontId="19" fillId="0" borderId="9" xfId="169" applyFont="1" applyFill="1" applyBorder="1" applyAlignment="1">
      <alignment vertical="top"/>
    </xf>
    <xf numFmtId="0" fontId="19" fillId="0" borderId="101" xfId="169" applyFont="1" applyFill="1" applyBorder="1" applyAlignment="1">
      <alignment horizontal="center" vertical="top" shrinkToFit="1"/>
    </xf>
    <xf numFmtId="0" fontId="19" fillId="36" borderId="29" xfId="169" applyFont="1" applyFill="1" applyBorder="1" applyAlignment="1">
      <alignment vertical="top"/>
    </xf>
    <xf numFmtId="0" fontId="19" fillId="36" borderId="9" xfId="169" applyFont="1" applyFill="1" applyBorder="1" applyAlignment="1">
      <alignment horizontal="center" vertical="top"/>
    </xf>
    <xf numFmtId="49" fontId="19" fillId="36" borderId="29" xfId="169" applyNumberFormat="1" applyFont="1" applyFill="1" applyBorder="1" applyAlignment="1">
      <alignment vertical="top"/>
    </xf>
    <xf numFmtId="0" fontId="19" fillId="36" borderId="29" xfId="169" applyFont="1" applyFill="1" applyBorder="1" applyAlignment="1">
      <alignment horizontal="center" vertical="top"/>
    </xf>
    <xf numFmtId="0" fontId="19" fillId="0" borderId="28" xfId="169" applyFont="1" applyFill="1" applyBorder="1" applyAlignment="1">
      <alignment vertical="top" wrapText="1"/>
    </xf>
    <xf numFmtId="0" fontId="19" fillId="0" borderId="9" xfId="169" applyFont="1" applyFill="1" applyBorder="1" applyAlignment="1">
      <alignment horizontal="center" vertical="top" wrapText="1"/>
    </xf>
    <xf numFmtId="0" fontId="19" fillId="0" borderId="9" xfId="169" applyFont="1" applyFill="1" applyBorder="1" applyAlignment="1">
      <alignment vertical="top" wrapText="1"/>
    </xf>
    <xf numFmtId="49" fontId="19" fillId="0" borderId="9" xfId="169" applyNumberFormat="1" applyFont="1" applyFill="1" applyBorder="1" applyAlignment="1">
      <alignment horizontal="center" vertical="top"/>
    </xf>
    <xf numFmtId="0" fontId="19" fillId="0" borderId="54" xfId="169" applyFont="1" applyFill="1" applyBorder="1" applyAlignment="1">
      <alignment vertical="top"/>
    </xf>
    <xf numFmtId="0" fontId="19" fillId="0" borderId="6" xfId="169" applyFont="1" applyFill="1" applyBorder="1" applyAlignment="1">
      <alignment vertical="top"/>
    </xf>
    <xf numFmtId="0" fontId="19" fillId="0" borderId="29" xfId="169" applyFont="1" applyFill="1" applyBorder="1" applyAlignment="1">
      <alignment vertical="top"/>
    </xf>
    <xf numFmtId="0" fontId="19" fillId="0" borderId="51" xfId="169" applyFont="1" applyFill="1" applyBorder="1" applyAlignment="1">
      <alignment vertical="top"/>
    </xf>
    <xf numFmtId="0" fontId="19" fillId="0" borderId="100" xfId="169" applyFont="1" applyFill="1" applyBorder="1" applyAlignment="1">
      <alignment vertical="top"/>
    </xf>
    <xf numFmtId="0" fontId="19" fillId="0" borderId="30" xfId="169" applyFont="1" applyFill="1" applyBorder="1" applyAlignment="1">
      <alignment horizontal="center" vertical="top" shrinkToFit="1"/>
    </xf>
    <xf numFmtId="49" fontId="19" fillId="0" borderId="30" xfId="169" applyNumberFormat="1" applyFill="1" applyBorder="1" applyAlignment="1">
      <alignment vertical="center"/>
    </xf>
    <xf numFmtId="0" fontId="19" fillId="0" borderId="54" xfId="169" applyFont="1" applyFill="1" applyBorder="1" applyAlignment="1">
      <alignment horizontal="center" vertical="top"/>
    </xf>
    <xf numFmtId="0" fontId="19" fillId="0" borderId="55" xfId="169" applyFont="1" applyFill="1" applyBorder="1" applyAlignment="1">
      <alignment vertical="top"/>
    </xf>
    <xf numFmtId="0" fontId="19" fillId="0" borderId="72" xfId="169" applyFont="1" applyFill="1" applyBorder="1" applyAlignment="1">
      <alignment vertical="top"/>
    </xf>
    <xf numFmtId="49" fontId="19" fillId="0" borderId="9" xfId="169" applyNumberFormat="1" applyFont="1" applyFill="1" applyBorder="1" applyAlignment="1">
      <alignment vertical="center"/>
    </xf>
    <xf numFmtId="49" fontId="19" fillId="0" borderId="30" xfId="169" quotePrefix="1" applyNumberFormat="1" applyFill="1" applyBorder="1" applyAlignment="1">
      <alignment vertical="center"/>
    </xf>
    <xf numFmtId="0" fontId="19" fillId="0" borderId="22" xfId="169" applyFont="1" applyFill="1" applyBorder="1" applyAlignment="1">
      <alignment vertical="top"/>
    </xf>
    <xf numFmtId="0" fontId="19" fillId="0" borderId="75" xfId="169" applyFont="1" applyFill="1" applyBorder="1" applyAlignment="1">
      <alignment vertical="top"/>
    </xf>
    <xf numFmtId="0" fontId="19" fillId="0" borderId="76" xfId="169" applyFont="1" applyFill="1" applyBorder="1" applyAlignment="1">
      <alignment vertical="top"/>
    </xf>
    <xf numFmtId="0" fontId="19" fillId="40" borderId="9" xfId="169" quotePrefix="1" applyNumberFormat="1" applyFill="1" applyBorder="1" applyAlignment="1">
      <alignment vertical="center"/>
    </xf>
    <xf numFmtId="0" fontId="19" fillId="0" borderId="100" xfId="169" applyFont="1" applyFill="1" applyBorder="1" applyAlignment="1">
      <alignment vertical="top" wrapText="1"/>
    </xf>
    <xf numFmtId="0" fontId="0" fillId="0" borderId="28" xfId="158" applyFont="1" applyFill="1" applyBorder="1" applyAlignment="1">
      <alignment horizontal="left" vertical="top" wrapText="1"/>
    </xf>
    <xf numFmtId="0" fontId="0" fillId="0" borderId="9" xfId="158" applyFont="1" applyFill="1" applyBorder="1" applyAlignment="1">
      <alignment horizontal="center" vertical="top"/>
    </xf>
    <xf numFmtId="0" fontId="0" fillId="0" borderId="9" xfId="158" applyFont="1" applyFill="1" applyBorder="1" applyAlignment="1">
      <alignment vertical="top"/>
    </xf>
    <xf numFmtId="0" fontId="0" fillId="0" borderId="28" xfId="158" applyFont="1" applyFill="1" applyBorder="1" applyAlignment="1">
      <alignment vertical="top" wrapText="1"/>
    </xf>
    <xf numFmtId="0" fontId="1" fillId="0" borderId="9" xfId="158" applyFont="1" applyFill="1" applyBorder="1" applyAlignment="1">
      <alignment horizontal="center" vertical="top" wrapText="1"/>
    </xf>
    <xf numFmtId="0" fontId="0" fillId="0" borderId="9" xfId="158" applyFont="1" applyFill="1" applyBorder="1" applyAlignment="1">
      <alignment vertical="top" wrapText="1"/>
    </xf>
    <xf numFmtId="49" fontId="0" fillId="0" borderId="9" xfId="158" applyNumberFormat="1" applyFont="1" applyFill="1" applyBorder="1" applyAlignment="1">
      <alignment horizontal="center" vertical="top"/>
    </xf>
    <xf numFmtId="0" fontId="0" fillId="0" borderId="9" xfId="158" applyFont="1" applyFill="1" applyBorder="1" applyAlignment="1">
      <alignment horizontal="center" vertical="top" wrapText="1"/>
    </xf>
    <xf numFmtId="0" fontId="0" fillId="0" borderId="54" xfId="158" applyFont="1" applyFill="1" applyBorder="1" applyAlignment="1">
      <alignment vertical="top"/>
    </xf>
    <xf numFmtId="0" fontId="0" fillId="0" borderId="29" xfId="158" applyFont="1" applyFill="1" applyBorder="1" applyAlignment="1">
      <alignment vertical="top"/>
    </xf>
    <xf numFmtId="0" fontId="0" fillId="0" borderId="51" xfId="158" applyFont="1" applyFill="1" applyBorder="1" applyAlignment="1">
      <alignment vertical="top"/>
    </xf>
    <xf numFmtId="0" fontId="0" fillId="0" borderId="55" xfId="158" applyFont="1" applyFill="1" applyBorder="1" applyAlignment="1">
      <alignment vertical="top"/>
    </xf>
    <xf numFmtId="0" fontId="0" fillId="0" borderId="72" xfId="158" applyFont="1" applyFill="1" applyBorder="1" applyAlignment="1">
      <alignment vertical="top"/>
    </xf>
    <xf numFmtId="0" fontId="19" fillId="0" borderId="51" xfId="169" applyFont="1" applyFill="1" applyBorder="1" applyAlignment="1">
      <alignment vertical="center"/>
    </xf>
    <xf numFmtId="0" fontId="19" fillId="0" borderId="102" xfId="169" applyFont="1" applyFill="1" applyBorder="1" applyAlignment="1">
      <alignment horizontal="center" vertical="top"/>
    </xf>
    <xf numFmtId="0" fontId="19" fillId="0" borderId="103" xfId="169" applyFont="1" applyFill="1" applyBorder="1" applyAlignment="1">
      <alignment horizontal="center" vertical="top"/>
    </xf>
    <xf numFmtId="49" fontId="19" fillId="41" borderId="30" xfId="169" applyNumberFormat="1" applyFont="1" applyFill="1" applyBorder="1" applyAlignment="1">
      <alignment vertical="center"/>
    </xf>
    <xf numFmtId="0" fontId="19" fillId="0" borderId="102" xfId="169" applyFont="1" applyFill="1" applyBorder="1" applyAlignment="1">
      <alignment vertical="top" shrinkToFit="1"/>
    </xf>
    <xf numFmtId="0" fontId="19" fillId="0" borderId="0" xfId="169" applyFont="1" applyFill="1" applyAlignment="1">
      <alignment vertical="top"/>
    </xf>
    <xf numFmtId="0" fontId="19" fillId="0" borderId="103" xfId="169" applyFont="1" applyFill="1" applyBorder="1" applyAlignment="1">
      <alignment vertical="top" wrapText="1"/>
    </xf>
    <xf numFmtId="0" fontId="5" fillId="0" borderId="103" xfId="169" applyFont="1" applyFill="1" applyBorder="1" applyAlignment="1">
      <alignment horizontal="center" vertical="top"/>
    </xf>
    <xf numFmtId="0" fontId="19" fillId="0" borderId="44" xfId="169" applyFont="1" applyFill="1" applyBorder="1" applyAlignment="1">
      <alignment vertical="top"/>
    </xf>
    <xf numFmtId="0" fontId="73" fillId="0" borderId="28" xfId="169" applyFont="1" applyFill="1" applyBorder="1" applyAlignment="1">
      <alignment vertical="top" wrapText="1"/>
    </xf>
    <xf numFmtId="0" fontId="19" fillId="0" borderId="104" xfId="169" applyFont="1" applyFill="1" applyBorder="1" applyAlignment="1">
      <alignment horizontal="left" vertical="top" wrapText="1"/>
    </xf>
    <xf numFmtId="0" fontId="19" fillId="36" borderId="51" xfId="169" applyFont="1" applyFill="1" applyBorder="1" applyAlignment="1">
      <alignment vertical="top"/>
    </xf>
    <xf numFmtId="0" fontId="19" fillId="36" borderId="100" xfId="169" applyFont="1" applyFill="1" applyBorder="1" applyAlignment="1">
      <alignment horizontal="center" vertical="top"/>
    </xf>
    <xf numFmtId="49" fontId="19" fillId="36" borderId="51" xfId="169" applyNumberFormat="1" applyFont="1" applyFill="1" applyBorder="1" applyAlignment="1">
      <alignment vertical="top"/>
    </xf>
    <xf numFmtId="0" fontId="19" fillId="36" borderId="51" xfId="169" applyFont="1" applyFill="1" applyBorder="1" applyAlignment="1">
      <alignment horizontal="center" vertical="top"/>
    </xf>
    <xf numFmtId="0" fontId="19" fillId="0" borderId="104" xfId="169" applyFont="1" applyFill="1" applyBorder="1" applyAlignment="1">
      <alignment vertical="top" wrapText="1"/>
    </xf>
    <xf numFmtId="0" fontId="19" fillId="0" borderId="100" xfId="169" applyFont="1" applyFill="1" applyBorder="1" applyAlignment="1">
      <alignment horizontal="center" vertical="top" wrapText="1"/>
    </xf>
    <xf numFmtId="49" fontId="19" fillId="0" borderId="100" xfId="169" applyNumberFormat="1" applyFont="1" applyFill="1" applyBorder="1" applyAlignment="1">
      <alignment horizontal="center" vertical="top"/>
    </xf>
    <xf numFmtId="0" fontId="19" fillId="39" borderId="44" xfId="169" applyNumberFormat="1" applyFill="1" applyBorder="1" applyAlignment="1">
      <alignment vertical="center"/>
    </xf>
    <xf numFmtId="0" fontId="19" fillId="22" borderId="104" xfId="169" applyNumberFormat="1" applyFill="1" applyBorder="1" applyAlignment="1">
      <alignment vertical="center"/>
    </xf>
    <xf numFmtId="0" fontId="19" fillId="22" borderId="100" xfId="169" applyNumberFormat="1" applyFill="1" applyBorder="1" applyAlignment="1">
      <alignment vertical="center"/>
    </xf>
    <xf numFmtId="49" fontId="19" fillId="0" borderId="105" xfId="169" applyNumberFormat="1" applyFont="1" applyFill="1" applyBorder="1" applyAlignment="1">
      <alignment vertical="center"/>
    </xf>
    <xf numFmtId="49" fontId="19" fillId="0" borderId="106" xfId="169" applyNumberFormat="1" applyFont="1" applyFill="1" applyBorder="1" applyAlignment="1">
      <alignment vertical="center"/>
    </xf>
    <xf numFmtId="0" fontId="19" fillId="0" borderId="107" xfId="169" applyFont="1" applyFill="1" applyBorder="1" applyAlignment="1">
      <alignment horizontal="center" vertical="top"/>
    </xf>
    <xf numFmtId="0" fontId="19" fillId="0" borderId="105" xfId="169" applyFont="1" applyFill="1" applyBorder="1" applyAlignment="1">
      <alignment horizontal="center" vertical="top"/>
    </xf>
    <xf numFmtId="0" fontId="19" fillId="0" borderId="105" xfId="169" applyFont="1" applyFill="1" applyBorder="1" applyAlignment="1">
      <alignment vertical="top"/>
    </xf>
    <xf numFmtId="0" fontId="19" fillId="0" borderId="106" xfId="169" applyFont="1" applyFill="1" applyBorder="1" applyAlignment="1">
      <alignment horizontal="center" vertical="top" shrinkToFit="1"/>
    </xf>
    <xf numFmtId="0" fontId="19" fillId="36" borderId="108" xfId="169" applyFont="1" applyFill="1" applyBorder="1" applyAlignment="1">
      <alignment vertical="top"/>
    </xf>
    <xf numFmtId="0" fontId="19" fillId="36" borderId="105" xfId="169" applyFont="1" applyFill="1" applyBorder="1" applyAlignment="1">
      <alignment horizontal="center" vertical="top"/>
    </xf>
    <xf numFmtId="49" fontId="19" fillId="36" borderId="108" xfId="169" applyNumberFormat="1" applyFont="1" applyFill="1" applyBorder="1" applyAlignment="1">
      <alignment vertical="top"/>
    </xf>
    <xf numFmtId="0" fontId="19" fillId="36" borderId="108" xfId="169" applyFont="1" applyFill="1" applyBorder="1" applyAlignment="1">
      <alignment horizontal="center" vertical="top"/>
    </xf>
    <xf numFmtId="0" fontId="19" fillId="0" borderId="107" xfId="169" applyFont="1" applyFill="1" applyBorder="1" applyAlignment="1">
      <alignment vertical="top" wrapText="1"/>
    </xf>
    <xf numFmtId="0" fontId="19" fillId="0" borderId="105" xfId="169" applyFont="1" applyFill="1" applyBorder="1" applyAlignment="1">
      <alignment horizontal="center" vertical="top" wrapText="1"/>
    </xf>
    <xf numFmtId="0" fontId="19" fillId="0" borderId="105" xfId="169" applyFont="1" applyFill="1" applyBorder="1" applyAlignment="1">
      <alignment vertical="top" wrapText="1"/>
    </xf>
    <xf numFmtId="49" fontId="19" fillId="0" borderId="105" xfId="169" applyNumberFormat="1" applyFont="1" applyFill="1" applyBorder="1" applyAlignment="1">
      <alignment horizontal="center" vertical="top"/>
    </xf>
    <xf numFmtId="0" fontId="19" fillId="0" borderId="109" xfId="169" applyFont="1" applyFill="1" applyBorder="1" applyAlignment="1">
      <alignment vertical="top"/>
    </xf>
    <xf numFmtId="0" fontId="19" fillId="39" borderId="110" xfId="169" applyNumberFormat="1" applyFill="1" applyBorder="1" applyAlignment="1">
      <alignment vertical="center"/>
    </xf>
    <xf numFmtId="0" fontId="19" fillId="22" borderId="111" xfId="169" applyNumberFormat="1" applyFill="1" applyBorder="1" applyAlignment="1">
      <alignment vertical="center"/>
    </xf>
    <xf numFmtId="0" fontId="19" fillId="22" borderId="112" xfId="169" applyNumberFormat="1" applyFill="1" applyBorder="1" applyAlignment="1">
      <alignment vertical="center"/>
    </xf>
    <xf numFmtId="49" fontId="19" fillId="0" borderId="112" xfId="169" applyNumberFormat="1" applyFont="1" applyFill="1" applyBorder="1" applyAlignment="1">
      <alignment vertical="center"/>
    </xf>
    <xf numFmtId="49" fontId="19" fillId="0" borderId="113" xfId="169" applyNumberFormat="1" applyFill="1" applyBorder="1" applyAlignment="1">
      <alignment vertical="center"/>
    </xf>
    <xf numFmtId="0" fontId="19" fillId="0" borderId="9" xfId="169" applyFont="1" applyFill="1" applyBorder="1" applyAlignment="1">
      <alignment vertical="center" wrapText="1"/>
    </xf>
    <xf numFmtId="0" fontId="19" fillId="0" borderId="54" xfId="169" applyFont="1" applyFill="1" applyBorder="1" applyAlignment="1">
      <alignment horizontal="center" vertical="top" shrinkToFit="1"/>
    </xf>
    <xf numFmtId="0" fontId="19" fillId="0" borderId="114" xfId="169" applyFont="1" applyFill="1" applyBorder="1" applyAlignment="1">
      <alignment vertical="center" wrapText="1"/>
    </xf>
    <xf numFmtId="0" fontId="19" fillId="0" borderId="102" xfId="169" applyFont="1" applyFill="1" applyBorder="1" applyAlignment="1">
      <alignment horizontal="center" vertical="center"/>
    </xf>
    <xf numFmtId="0" fontId="19" fillId="0" borderId="102" xfId="169" applyFont="1" applyFill="1" applyBorder="1" applyAlignment="1">
      <alignment vertical="center"/>
    </xf>
    <xf numFmtId="0" fontId="19" fillId="0" borderId="9" xfId="169" applyFont="1" applyFill="1" applyBorder="1" applyAlignment="1">
      <alignment vertical="center"/>
    </xf>
    <xf numFmtId="0" fontId="19" fillId="0" borderId="115" xfId="169" applyFont="1" applyFill="1" applyBorder="1" applyAlignment="1">
      <alignment vertical="center"/>
    </xf>
    <xf numFmtId="0" fontId="19" fillId="0" borderId="116" xfId="169" applyFont="1" applyFill="1" applyBorder="1" applyAlignment="1">
      <alignment vertical="center"/>
    </xf>
    <xf numFmtId="0" fontId="19" fillId="0" borderId="102" xfId="169" applyFont="1" applyFill="1" applyBorder="1" applyAlignment="1">
      <alignment vertical="center" wrapText="1"/>
    </xf>
    <xf numFmtId="0" fontId="19" fillId="0" borderId="112" xfId="169" applyFont="1" applyFill="1" applyBorder="1" applyAlignment="1">
      <alignment horizontal="center" vertical="top"/>
    </xf>
    <xf numFmtId="0" fontId="19" fillId="0" borderId="117" xfId="169" applyFont="1" applyFill="1" applyBorder="1" applyAlignment="1">
      <alignment vertical="top"/>
    </xf>
    <xf numFmtId="0" fontId="19" fillId="0" borderId="110" xfId="169" applyFont="1" applyFill="1" applyBorder="1" applyAlignment="1">
      <alignment vertical="top"/>
    </xf>
    <xf numFmtId="0" fontId="19" fillId="0" borderId="118" xfId="169" applyFont="1" applyFill="1" applyBorder="1" applyAlignment="1">
      <alignment vertical="top"/>
    </xf>
    <xf numFmtId="0" fontId="19" fillId="0" borderId="119" xfId="169" applyFont="1" applyFill="1" applyBorder="1" applyAlignment="1">
      <alignment vertical="top"/>
    </xf>
    <xf numFmtId="0" fontId="19" fillId="0" borderId="113" xfId="169" applyFont="1" applyFill="1" applyBorder="1" applyAlignment="1">
      <alignment horizontal="center" vertical="top" shrinkToFit="1"/>
    </xf>
    <xf numFmtId="49" fontId="19" fillId="0" borderId="9" xfId="169" applyNumberFormat="1" applyFill="1" applyBorder="1" applyAlignment="1">
      <alignment vertical="center"/>
    </xf>
    <xf numFmtId="49" fontId="19" fillId="22" borderId="9" xfId="169" quotePrefix="1" applyNumberFormat="1" applyFont="1" applyFill="1" applyBorder="1" applyAlignment="1">
      <alignment vertical="center"/>
    </xf>
    <xf numFmtId="0" fontId="19" fillId="0" borderId="28" xfId="169" applyFont="1" applyFill="1" applyBorder="1" applyAlignment="1">
      <alignment vertical="center" wrapText="1"/>
    </xf>
    <xf numFmtId="0" fontId="19" fillId="0" borderId="9" xfId="169" applyFont="1" applyFill="1" applyBorder="1" applyAlignment="1">
      <alignment horizontal="center" vertical="center"/>
    </xf>
    <xf numFmtId="0" fontId="19" fillId="0" borderId="30" xfId="169" applyFont="1" applyFill="1" applyBorder="1" applyAlignment="1">
      <alignment vertical="center"/>
    </xf>
    <xf numFmtId="0" fontId="19" fillId="0" borderId="103" xfId="169" applyFont="1" applyFill="1" applyBorder="1" applyAlignment="1">
      <alignment vertical="center"/>
    </xf>
    <xf numFmtId="0" fontId="19" fillId="0" borderId="102" xfId="169" applyFill="1" applyBorder="1" applyAlignment="1">
      <alignment vertical="center" wrapText="1"/>
    </xf>
    <xf numFmtId="0" fontId="19" fillId="0" borderId="102" xfId="169" applyFont="1" applyFill="1" applyBorder="1" applyAlignment="1">
      <alignment vertical="top"/>
    </xf>
    <xf numFmtId="0" fontId="19" fillId="0" borderId="22" xfId="169" applyFont="1" applyFill="1" applyBorder="1" applyAlignment="1">
      <alignment horizontal="center" vertical="top" shrinkToFit="1"/>
    </xf>
    <xf numFmtId="0" fontId="19" fillId="0" borderId="28" xfId="169" applyFont="1" applyFill="1" applyBorder="1" applyAlignment="1">
      <alignment vertical="center"/>
    </xf>
    <xf numFmtId="0" fontId="19" fillId="0" borderId="114" xfId="169" applyFont="1" applyFill="1" applyBorder="1" applyAlignment="1">
      <alignment vertical="center"/>
    </xf>
    <xf numFmtId="0" fontId="19" fillId="0" borderId="115" xfId="169" applyFont="1" applyFill="1" applyBorder="1" applyAlignment="1">
      <alignment horizontal="center" vertical="top" shrinkToFit="1"/>
    </xf>
    <xf numFmtId="0" fontId="19" fillId="0" borderId="102" xfId="169" applyFont="1" applyFill="1" applyBorder="1" applyAlignment="1">
      <alignment vertical="top" wrapText="1"/>
    </xf>
    <xf numFmtId="0" fontId="19" fillId="0" borderId="9" xfId="169" applyFill="1" applyBorder="1" applyAlignment="1">
      <alignment vertical="center" wrapText="1"/>
    </xf>
    <xf numFmtId="0" fontId="19" fillId="0" borderId="9" xfId="169" applyFill="1" applyBorder="1" applyAlignment="1">
      <alignment vertical="center"/>
    </xf>
    <xf numFmtId="49" fontId="19" fillId="22" borderId="9" xfId="169" applyNumberFormat="1" applyFill="1" applyBorder="1" applyAlignment="1">
      <alignment vertical="center"/>
    </xf>
    <xf numFmtId="0" fontId="19" fillId="38" borderId="9" xfId="169" applyNumberFormat="1" applyFill="1" applyBorder="1" applyAlignment="1">
      <alignment vertical="center"/>
    </xf>
    <xf numFmtId="49" fontId="19" fillId="38" borderId="9" xfId="169" quotePrefix="1" applyNumberFormat="1" applyFont="1" applyFill="1" applyBorder="1" applyAlignment="1">
      <alignment vertical="center"/>
    </xf>
    <xf numFmtId="49" fontId="19" fillId="22" borderId="9" xfId="169" applyNumberFormat="1" applyFont="1" applyFill="1" applyBorder="1" applyAlignment="1">
      <alignment vertical="center"/>
    </xf>
    <xf numFmtId="49" fontId="19" fillId="39" borderId="30" xfId="169" applyNumberFormat="1" applyFont="1" applyFill="1" applyBorder="1" applyAlignment="1">
      <alignment vertical="center"/>
    </xf>
    <xf numFmtId="0" fontId="19" fillId="0" borderId="30" xfId="169" applyFont="1" applyFill="1" applyBorder="1" applyAlignment="1">
      <alignment horizontal="center" vertical="center" shrinkToFit="1"/>
    </xf>
    <xf numFmtId="0" fontId="19" fillId="0" borderId="100" xfId="169" applyFont="1" applyFill="1" applyBorder="1" applyAlignment="1">
      <alignment vertical="center"/>
    </xf>
    <xf numFmtId="0" fontId="19" fillId="0" borderId="104" xfId="169" applyFont="1" applyFill="1" applyBorder="1" applyAlignment="1">
      <alignment vertical="center"/>
    </xf>
    <xf numFmtId="0" fontId="19" fillId="0" borderId="100" xfId="169" applyFont="1" applyFill="1" applyBorder="1" applyAlignment="1">
      <alignment horizontal="center" vertical="center"/>
    </xf>
    <xf numFmtId="0" fontId="19" fillId="0" borderId="101" xfId="169" applyFont="1" applyFill="1" applyBorder="1" applyAlignment="1">
      <alignment vertical="center"/>
    </xf>
    <xf numFmtId="0" fontId="19" fillId="0" borderId="43" xfId="169" applyFont="1" applyFill="1" applyBorder="1" applyAlignment="1">
      <alignment vertical="top"/>
    </xf>
    <xf numFmtId="0" fontId="19" fillId="0" borderId="0" xfId="169" applyFont="1" applyFill="1" applyBorder="1" applyAlignment="1">
      <alignment vertical="top"/>
    </xf>
    <xf numFmtId="0" fontId="19" fillId="0" borderId="101" xfId="169" applyFont="1" applyFill="1" applyBorder="1" applyAlignment="1">
      <alignment horizontal="center" vertical="center" shrinkToFit="1"/>
    </xf>
    <xf numFmtId="0" fontId="19" fillId="39" borderId="69" xfId="169" applyNumberFormat="1" applyFill="1" applyBorder="1" applyAlignment="1">
      <alignment vertical="center"/>
    </xf>
    <xf numFmtId="0" fontId="19" fillId="22" borderId="107" xfId="169" applyNumberFormat="1" applyFill="1" applyBorder="1" applyAlignment="1">
      <alignment vertical="center"/>
    </xf>
    <xf numFmtId="0" fontId="19" fillId="22" borderId="105" xfId="169" applyNumberFormat="1" applyFill="1" applyBorder="1" applyAlignment="1">
      <alignment vertical="center"/>
    </xf>
    <xf numFmtId="49" fontId="19" fillId="42" borderId="105" xfId="169" applyNumberFormat="1" applyFill="1" applyBorder="1" applyAlignment="1">
      <alignment vertical="center"/>
    </xf>
    <xf numFmtId="49" fontId="19" fillId="39" borderId="106" xfId="169" applyNumberFormat="1" applyFont="1" applyFill="1" applyBorder="1" applyAlignment="1">
      <alignment vertical="center"/>
    </xf>
    <xf numFmtId="0" fontId="19" fillId="0" borderId="105" xfId="169" applyFont="1" applyFill="1" applyBorder="1" applyAlignment="1">
      <alignment vertical="center"/>
    </xf>
    <xf numFmtId="0" fontId="19" fillId="0" borderId="107" xfId="169" applyFont="1" applyFill="1" applyBorder="1" applyAlignment="1">
      <alignment vertical="center"/>
    </xf>
    <xf numFmtId="0" fontId="19" fillId="0" borderId="105" xfId="169" applyFont="1" applyFill="1" applyBorder="1" applyAlignment="1">
      <alignment horizontal="center" vertical="center"/>
    </xf>
    <xf numFmtId="0" fontId="19" fillId="0" borderId="106" xfId="169" applyFont="1" applyFill="1" applyBorder="1" applyAlignment="1">
      <alignment vertical="center"/>
    </xf>
    <xf numFmtId="0" fontId="19" fillId="0" borderId="120" xfId="169" applyFont="1" applyFill="1" applyBorder="1" applyAlignment="1">
      <alignment vertical="top"/>
    </xf>
    <xf numFmtId="0" fontId="19" fillId="0" borderId="69" xfId="169" applyFont="1" applyFill="1" applyBorder="1" applyAlignment="1">
      <alignment vertical="top"/>
    </xf>
    <xf numFmtId="0" fontId="19" fillId="0" borderId="108" xfId="169" applyFont="1" applyFill="1" applyBorder="1" applyAlignment="1">
      <alignment vertical="top"/>
    </xf>
    <xf numFmtId="0" fontId="19" fillId="0" borderId="106" xfId="169" applyFont="1" applyFill="1" applyBorder="1" applyAlignment="1">
      <alignment horizontal="center" vertical="center" shrinkToFit="1"/>
    </xf>
    <xf numFmtId="0" fontId="19" fillId="35" borderId="75" xfId="169" quotePrefix="1" applyFill="1" applyBorder="1" applyAlignment="1">
      <alignment vertical="center"/>
    </xf>
    <xf numFmtId="0" fontId="19" fillId="35" borderId="114" xfId="169" applyFill="1" applyBorder="1" applyAlignment="1">
      <alignment vertical="center"/>
    </xf>
    <xf numFmtId="0" fontId="19" fillId="35" borderId="102" xfId="169" applyFill="1" applyBorder="1" applyAlignment="1">
      <alignment vertical="center"/>
    </xf>
    <xf numFmtId="0" fontId="19" fillId="35" borderId="112" xfId="169" applyFill="1" applyBorder="1" applyAlignment="1">
      <alignment vertical="center"/>
    </xf>
    <xf numFmtId="0" fontId="19" fillId="35" borderId="121" xfId="169" applyFill="1" applyBorder="1" applyAlignment="1">
      <alignment vertical="center"/>
    </xf>
    <xf numFmtId="0" fontId="19" fillId="43" borderId="122" xfId="169" applyFont="1" applyFill="1" applyBorder="1" applyAlignment="1">
      <alignment horizontal="center" vertical="center" wrapText="1"/>
    </xf>
    <xf numFmtId="0" fontId="19" fillId="43" borderId="79" xfId="169" applyFont="1" applyFill="1" applyBorder="1" applyAlignment="1">
      <alignment horizontal="center" vertical="center" wrapText="1"/>
    </xf>
    <xf numFmtId="0" fontId="19" fillId="43" borderId="118" xfId="169" applyFont="1" applyFill="1" applyBorder="1" applyAlignment="1">
      <alignment horizontal="center" vertical="center"/>
    </xf>
    <xf numFmtId="0" fontId="19" fillId="43" borderId="118" xfId="169" applyFont="1" applyFill="1" applyBorder="1" applyAlignment="1">
      <alignment horizontal="center" vertical="center" wrapText="1"/>
    </xf>
    <xf numFmtId="0" fontId="19" fillId="43" borderId="113" xfId="169" applyFont="1" applyFill="1" applyBorder="1" applyAlignment="1">
      <alignment horizontal="center" vertical="center" textRotation="255" shrinkToFit="1"/>
    </xf>
    <xf numFmtId="0" fontId="77" fillId="44" borderId="123" xfId="169" applyFont="1" applyFill="1" applyBorder="1" applyAlignment="1">
      <alignment horizontal="center" vertical="center"/>
    </xf>
    <xf numFmtId="0" fontId="77" fillId="44" borderId="112" xfId="169" applyFont="1" applyFill="1" applyBorder="1" applyAlignment="1">
      <alignment horizontal="center" vertical="center" wrapText="1"/>
    </xf>
    <xf numFmtId="0" fontId="77" fillId="44" borderId="112" xfId="169" applyFont="1" applyFill="1" applyBorder="1" applyAlignment="1">
      <alignment horizontal="center" vertical="center" textRotation="255" shrinkToFit="1"/>
    </xf>
    <xf numFmtId="0" fontId="77" fillId="44" borderId="112" xfId="169" applyFont="1" applyFill="1" applyBorder="1" applyAlignment="1">
      <alignment horizontal="center" vertical="center"/>
    </xf>
    <xf numFmtId="0" fontId="77" fillId="44" borderId="112" xfId="169" applyFont="1" applyFill="1" applyBorder="1" applyAlignment="1">
      <alignment horizontal="center" vertical="center" shrinkToFit="1"/>
    </xf>
    <xf numFmtId="0" fontId="77" fillId="44" borderId="113" xfId="169" applyFont="1" applyFill="1" applyBorder="1" applyAlignment="1">
      <alignment horizontal="center" vertical="center" textRotation="255" shrinkToFit="1"/>
    </xf>
    <xf numFmtId="0" fontId="19" fillId="41" borderId="118" xfId="169" applyFont="1" applyFill="1" applyBorder="1" applyAlignment="1">
      <alignment horizontal="center" vertical="center" wrapText="1"/>
    </xf>
    <xf numFmtId="0" fontId="19" fillId="41" borderId="118" xfId="169" applyFont="1" applyFill="1" applyBorder="1" applyAlignment="1">
      <alignment horizontal="center" vertical="center"/>
    </xf>
    <xf numFmtId="0" fontId="19" fillId="41" borderId="118" xfId="169" applyFont="1" applyFill="1" applyBorder="1" applyAlignment="1">
      <alignment horizontal="center" vertical="center" textRotation="255"/>
    </xf>
    <xf numFmtId="0" fontId="19" fillId="41" borderId="124" xfId="169" applyFont="1" applyFill="1" applyBorder="1" applyAlignment="1">
      <alignment horizontal="center" vertical="center" textRotation="255" shrinkToFit="1"/>
    </xf>
    <xf numFmtId="0" fontId="19" fillId="35" borderId="95" xfId="169" applyFont="1" applyFill="1" applyBorder="1" applyAlignment="1">
      <alignment horizontal="centerContinuous" vertical="center"/>
    </xf>
    <xf numFmtId="0" fontId="19" fillId="32" borderId="0" xfId="169" applyFill="1" applyAlignment="1">
      <alignment vertical="center"/>
    </xf>
    <xf numFmtId="0" fontId="19" fillId="40" borderId="0" xfId="169" applyFill="1" applyAlignment="1">
      <alignment vertical="center"/>
    </xf>
    <xf numFmtId="0" fontId="74" fillId="22" borderId="5" xfId="169" applyFont="1" applyFill="1" applyBorder="1" applyAlignment="1">
      <alignment vertical="center"/>
    </xf>
    <xf numFmtId="0" fontId="74" fillId="22" borderId="125" xfId="169" applyFont="1" applyFill="1" applyBorder="1" applyAlignment="1">
      <alignment vertical="center"/>
    </xf>
    <xf numFmtId="49" fontId="34" fillId="35" borderId="53" xfId="195" applyNumberFormat="1" applyFont="1" applyFill="1" applyBorder="1" applyAlignment="1">
      <alignment horizontal="center" vertical="center"/>
    </xf>
    <xf numFmtId="0" fontId="32" fillId="38" borderId="102" xfId="169" applyFont="1" applyFill="1" applyBorder="1" applyAlignment="1">
      <alignment vertical="top"/>
    </xf>
    <xf numFmtId="0" fontId="32" fillId="38" borderId="72" xfId="169" applyFont="1" applyFill="1" applyBorder="1" applyAlignment="1">
      <alignment vertical="top"/>
    </xf>
    <xf numFmtId="0" fontId="32" fillId="38" borderId="0" xfId="169" applyFont="1" applyFill="1" applyBorder="1" applyAlignment="1">
      <alignment horizontal="left" vertical="top"/>
    </xf>
    <xf numFmtId="49" fontId="4" fillId="0" borderId="30" xfId="169" applyNumberFormat="1" applyFont="1" applyFill="1" applyBorder="1" applyAlignment="1">
      <alignment vertical="center"/>
    </xf>
    <xf numFmtId="49" fontId="19" fillId="38" borderId="30" xfId="169" applyNumberFormat="1" applyFill="1" applyBorder="1" applyAlignment="1">
      <alignment vertical="center"/>
    </xf>
    <xf numFmtId="49" fontId="19" fillId="35" borderId="30" xfId="169" applyNumberFormat="1" applyFill="1" applyBorder="1" applyAlignment="1">
      <alignment vertical="center"/>
    </xf>
    <xf numFmtId="49" fontId="4" fillId="35" borderId="30" xfId="169" applyNumberFormat="1" applyFont="1" applyFill="1" applyBorder="1" applyAlignment="1">
      <alignment vertical="center"/>
    </xf>
    <xf numFmtId="0" fontId="75" fillId="0" borderId="0" xfId="0" applyFont="1">
      <alignment vertical="center"/>
    </xf>
    <xf numFmtId="0" fontId="78" fillId="0" borderId="0" xfId="0" applyFont="1">
      <alignment vertical="center"/>
    </xf>
    <xf numFmtId="49" fontId="34" fillId="31" borderId="45" xfId="195" applyNumberFormat="1" applyFont="1" applyFill="1" applyBorder="1" applyAlignment="1">
      <alignment horizontal="center" vertical="center"/>
    </xf>
    <xf numFmtId="49" fontId="34" fillId="31" borderId="42" xfId="195" applyNumberFormat="1" applyFont="1" applyFill="1" applyBorder="1" applyAlignment="1">
      <alignment horizontal="center" vertical="center" wrapText="1"/>
    </xf>
    <xf numFmtId="49" fontId="34" fillId="31" borderId="45" xfId="195" applyNumberFormat="1" applyFont="1" applyFill="1" applyBorder="1" applyAlignment="1">
      <alignment horizontal="center" vertical="top" wrapText="1"/>
    </xf>
    <xf numFmtId="49" fontId="34" fillId="31" borderId="46" xfId="195" applyNumberFormat="1" applyFont="1" applyFill="1" applyBorder="1" applyAlignment="1">
      <alignment horizontal="center" vertical="center"/>
    </xf>
    <xf numFmtId="49" fontId="33" fillId="31" borderId="126" xfId="195" applyNumberFormat="1" applyFont="1" applyFill="1" applyBorder="1" applyAlignment="1">
      <alignment vertical="center"/>
    </xf>
    <xf numFmtId="49" fontId="33" fillId="31" borderId="33" xfId="195" applyNumberFormat="1" applyFont="1" applyFill="1" applyBorder="1" applyAlignment="1">
      <alignment vertical="center"/>
    </xf>
    <xf numFmtId="49" fontId="33" fillId="31" borderId="127" xfId="195" applyNumberFormat="1" applyFont="1" applyFill="1" applyBorder="1" applyAlignment="1">
      <alignment vertical="center"/>
    </xf>
    <xf numFmtId="49" fontId="32" fillId="31" borderId="74" xfId="195" applyNumberFormat="1" applyFont="1" applyFill="1" applyBorder="1" applyAlignment="1">
      <alignment vertical="center"/>
    </xf>
    <xf numFmtId="49" fontId="32" fillId="31" borderId="6" xfId="195" applyNumberFormat="1" applyFont="1" applyFill="1" applyBorder="1" applyAlignment="1">
      <alignment vertical="center"/>
    </xf>
    <xf numFmtId="49" fontId="32" fillId="31" borderId="54" xfId="195" applyNumberFormat="1" applyFont="1" applyFill="1" applyBorder="1" applyAlignment="1">
      <alignment vertical="center"/>
    </xf>
    <xf numFmtId="49" fontId="34" fillId="23" borderId="69" xfId="195" applyNumberFormat="1" applyFont="1" applyFill="1" applyBorder="1" applyAlignment="1">
      <alignment horizontal="center" vertical="center"/>
    </xf>
    <xf numFmtId="49" fontId="34" fillId="23" borderId="120" xfId="195" applyNumberFormat="1" applyFont="1" applyFill="1" applyBorder="1" applyAlignment="1">
      <alignment horizontal="center" vertical="center"/>
    </xf>
    <xf numFmtId="0" fontId="19" fillId="35" borderId="98" xfId="169" applyFill="1" applyBorder="1" applyAlignment="1">
      <alignment horizontal="center" vertical="center"/>
    </xf>
    <xf numFmtId="0" fontId="19" fillId="35" borderId="33" xfId="169" applyFill="1" applyBorder="1" applyAlignment="1">
      <alignment horizontal="center" vertical="center"/>
    </xf>
    <xf numFmtId="0" fontId="19" fillId="35" borderId="128" xfId="169" applyFill="1" applyBorder="1" applyAlignment="1">
      <alignment horizontal="center" vertical="center"/>
    </xf>
    <xf numFmtId="0" fontId="5" fillId="22" borderId="0" xfId="169" applyFont="1" applyFill="1" applyAlignment="1">
      <alignment horizontal="left" vertical="center" shrinkToFit="1"/>
    </xf>
    <xf numFmtId="0" fontId="74" fillId="41" borderId="129" xfId="169" applyFont="1" applyFill="1" applyBorder="1" applyAlignment="1">
      <alignment horizontal="center" vertical="center"/>
    </xf>
    <xf numFmtId="49" fontId="74" fillId="22" borderId="125" xfId="169" applyNumberFormat="1" applyFont="1" applyFill="1" applyBorder="1" applyAlignment="1">
      <alignment vertical="center"/>
    </xf>
    <xf numFmtId="49" fontId="74" fillId="22" borderId="5" xfId="169" applyNumberFormat="1" applyFont="1" applyFill="1" applyBorder="1" applyAlignment="1">
      <alignment vertical="center"/>
    </xf>
    <xf numFmtId="49" fontId="74" fillId="22" borderId="130" xfId="169" applyNumberFormat="1" applyFont="1" applyFill="1" applyBorder="1" applyAlignment="1">
      <alignment vertical="center"/>
    </xf>
    <xf numFmtId="0" fontId="5" fillId="41" borderId="129" xfId="169" applyFont="1" applyFill="1" applyBorder="1" applyAlignment="1">
      <alignment vertical="center"/>
    </xf>
    <xf numFmtId="0" fontId="5" fillId="41" borderId="125" xfId="169" applyFont="1" applyFill="1" applyBorder="1" applyAlignment="1">
      <alignment vertical="center"/>
    </xf>
    <xf numFmtId="0" fontId="5" fillId="41" borderId="5" xfId="169" applyFont="1" applyFill="1" applyBorder="1" applyAlignment="1">
      <alignment vertical="center"/>
    </xf>
    <xf numFmtId="0" fontId="5" fillId="41" borderId="130" xfId="169" applyFont="1" applyFill="1" applyBorder="1" applyAlignment="1">
      <alignment vertical="center"/>
    </xf>
    <xf numFmtId="0" fontId="74" fillId="22" borderId="125" xfId="169" applyFont="1" applyFill="1" applyBorder="1" applyAlignment="1">
      <alignment vertical="center" shrinkToFit="1"/>
    </xf>
    <xf numFmtId="0" fontId="74" fillId="22" borderId="5" xfId="169" applyFont="1" applyFill="1" applyBorder="1" applyAlignment="1">
      <alignment vertical="center" shrinkToFit="1"/>
    </xf>
    <xf numFmtId="0" fontId="74" fillId="22" borderId="130" xfId="169" applyFont="1" applyFill="1" applyBorder="1" applyAlignment="1">
      <alignment vertical="center" shrinkToFit="1"/>
    </xf>
    <xf numFmtId="0" fontId="19" fillId="41" borderId="123" xfId="169" applyFont="1" applyFill="1" applyBorder="1" applyAlignment="1">
      <alignment horizontal="center" vertical="center"/>
    </xf>
    <xf numFmtId="0" fontId="19" fillId="41" borderId="110" xfId="169" applyFont="1" applyFill="1" applyBorder="1" applyAlignment="1">
      <alignment horizontal="center" vertical="center"/>
    </xf>
    <xf numFmtId="0" fontId="19" fillId="41" borderId="117" xfId="169" applyFont="1" applyFill="1" applyBorder="1" applyAlignment="1">
      <alignment horizontal="center" vertical="center"/>
    </xf>
    <xf numFmtId="0" fontId="5" fillId="33" borderId="125" xfId="169" applyFont="1" applyFill="1" applyBorder="1" applyAlignment="1">
      <alignment vertical="center"/>
    </xf>
    <xf numFmtId="0" fontId="5" fillId="33" borderId="5" xfId="169" applyFont="1" applyFill="1" applyBorder="1" applyAlignment="1">
      <alignment vertical="center"/>
    </xf>
    <xf numFmtId="0" fontId="5" fillId="33" borderId="130" xfId="169" applyFont="1" applyFill="1" applyBorder="1" applyAlignment="1">
      <alignment vertical="center"/>
    </xf>
    <xf numFmtId="0" fontId="5" fillId="0" borderId="125" xfId="118" applyFont="1" applyBorder="1" applyAlignment="1" applyProtection="1">
      <alignment vertical="center"/>
    </xf>
    <xf numFmtId="0" fontId="5" fillId="0" borderId="5" xfId="169" applyFont="1" applyBorder="1" applyAlignment="1">
      <alignment vertical="center"/>
    </xf>
    <xf numFmtId="0" fontId="5" fillId="0" borderId="130" xfId="169" applyFont="1" applyBorder="1" applyAlignment="1">
      <alignment vertical="center"/>
    </xf>
    <xf numFmtId="0" fontId="79" fillId="41" borderId="98" xfId="169" applyFont="1" applyFill="1" applyBorder="1" applyAlignment="1">
      <alignment horizontal="center" vertical="center" shrinkToFit="1"/>
    </xf>
    <xf numFmtId="0" fontId="79" fillId="41" borderId="33" xfId="169" applyFont="1" applyFill="1" applyBorder="1" applyAlignment="1">
      <alignment horizontal="center" vertical="center" shrinkToFit="1"/>
    </xf>
    <xf numFmtId="0" fontId="79" fillId="41" borderId="128" xfId="169" applyFont="1" applyFill="1" applyBorder="1" applyAlignment="1">
      <alignment horizontal="center" vertical="center" shrinkToFit="1"/>
    </xf>
    <xf numFmtId="0" fontId="79" fillId="44" borderId="98" xfId="169" applyFont="1" applyFill="1" applyBorder="1" applyAlignment="1">
      <alignment horizontal="center" vertical="center"/>
    </xf>
    <xf numFmtId="0" fontId="79" fillId="44" borderId="33" xfId="169" applyFont="1" applyFill="1" applyBorder="1" applyAlignment="1">
      <alignment horizontal="center" vertical="center"/>
    </xf>
    <xf numFmtId="0" fontId="79" fillId="43" borderId="98" xfId="169" applyFont="1" applyFill="1" applyBorder="1" applyAlignment="1">
      <alignment horizontal="center" vertical="center" shrinkToFit="1"/>
    </xf>
    <xf numFmtId="0" fontId="79" fillId="43" borderId="33" xfId="169" applyFont="1" applyFill="1" applyBorder="1" applyAlignment="1">
      <alignment horizontal="center" vertical="center" shrinkToFit="1"/>
    </xf>
    <xf numFmtId="0" fontId="79" fillId="43" borderId="128" xfId="169" applyFont="1" applyFill="1" applyBorder="1" applyAlignment="1">
      <alignment horizontal="center" vertical="center" shrinkToFit="1"/>
    </xf>
  </cellXfs>
  <cellStyles count="202">
    <cellStyle name="??????" xfId="1" xr:uid="{00000000-0005-0000-0000-000000000000}"/>
    <cellStyle name="??_???? ?? ??? (2)" xfId="2" xr:uid="{00000000-0005-0000-0000-000001000000}"/>
    <cellStyle name="?E°CE，°e1yAI" xfId="3" xr:uid="{00000000-0005-0000-0000-000002000000}"/>
    <cellStyle name="20% - Accent1" xfId="4" xr:uid="{00000000-0005-0000-0000-000003000000}"/>
    <cellStyle name="20% - Accent2" xfId="5" xr:uid="{00000000-0005-0000-0000-000004000000}"/>
    <cellStyle name="20% - Accent3" xfId="6" xr:uid="{00000000-0005-0000-0000-000005000000}"/>
    <cellStyle name="20% - Accent4" xfId="7" xr:uid="{00000000-0005-0000-0000-000006000000}"/>
    <cellStyle name="20% - Accent5" xfId="8" xr:uid="{00000000-0005-0000-0000-000007000000}"/>
    <cellStyle name="20% - Accent6" xfId="9" xr:uid="{00000000-0005-0000-0000-000008000000}"/>
    <cellStyle name="40% - Accent1" xfId="10" xr:uid="{00000000-0005-0000-0000-000009000000}"/>
    <cellStyle name="40% - Accent2" xfId="11" xr:uid="{00000000-0005-0000-0000-00000A000000}"/>
    <cellStyle name="40% - Accent3" xfId="12" xr:uid="{00000000-0005-0000-0000-00000B000000}"/>
    <cellStyle name="40% - Accent4" xfId="13" xr:uid="{00000000-0005-0000-0000-00000C000000}"/>
    <cellStyle name="40% - Accent5" xfId="14" xr:uid="{00000000-0005-0000-0000-00000D000000}"/>
    <cellStyle name="40% - Accent6" xfId="15" xr:uid="{00000000-0005-0000-0000-00000E000000}"/>
    <cellStyle name="60% - Accent1" xfId="16" xr:uid="{00000000-0005-0000-0000-00000F000000}"/>
    <cellStyle name="60% - Accent2" xfId="17" xr:uid="{00000000-0005-0000-0000-000010000000}"/>
    <cellStyle name="60% - Accent3" xfId="18" xr:uid="{00000000-0005-0000-0000-000011000000}"/>
    <cellStyle name="60% - Accent4" xfId="19" xr:uid="{00000000-0005-0000-0000-000012000000}"/>
    <cellStyle name="60% - Accent5" xfId="20" xr:uid="{00000000-0005-0000-0000-000013000000}"/>
    <cellStyle name="60% - Accent6" xfId="21" xr:uid="{00000000-0005-0000-0000-000014000000}"/>
    <cellStyle name="Accent1" xfId="22" xr:uid="{00000000-0005-0000-0000-000015000000}"/>
    <cellStyle name="Accent2" xfId="23" xr:uid="{00000000-0005-0000-0000-000016000000}"/>
    <cellStyle name="Accent3" xfId="24" xr:uid="{00000000-0005-0000-0000-000017000000}"/>
    <cellStyle name="Accent4" xfId="25" xr:uid="{00000000-0005-0000-0000-000018000000}"/>
    <cellStyle name="Accent5" xfId="26" xr:uid="{00000000-0005-0000-0000-000019000000}"/>
    <cellStyle name="Accent6" xfId="27" xr:uid="{00000000-0005-0000-0000-00001A000000}"/>
    <cellStyle name="AeE- [0]_Co´e0124" xfId="28" xr:uid="{00000000-0005-0000-0000-00001B000000}"/>
    <cellStyle name="AeE-_Co´e0124" xfId="29" xr:uid="{00000000-0005-0000-0000-00001C000000}"/>
    <cellStyle name="AT，¶ [0]_Co´e0124" xfId="30" xr:uid="{00000000-0005-0000-0000-00001D000000}"/>
    <cellStyle name="AT，¶_Co´e0124" xfId="31" xr:uid="{00000000-0005-0000-0000-00001E000000}"/>
    <cellStyle name="Bad" xfId="32" xr:uid="{00000000-0005-0000-0000-00001F000000}"/>
    <cellStyle name="BD標準" xfId="33" xr:uid="{00000000-0005-0000-0000-000020000000}"/>
    <cellStyle name="C\AO_Co´e0124" xfId="34" xr:uid="{00000000-0005-0000-0000-000021000000}"/>
    <cellStyle name="Calc Currency (0)" xfId="35" xr:uid="{00000000-0005-0000-0000-000022000000}"/>
    <cellStyle name="Calculation" xfId="36" xr:uid="{00000000-0005-0000-0000-000023000000}"/>
    <cellStyle name="category" xfId="37" xr:uid="{00000000-0005-0000-0000-000024000000}"/>
    <cellStyle name="Check Cell" xfId="38" xr:uid="{00000000-0005-0000-0000-000025000000}"/>
    <cellStyle name="Comma [0]_1995" xfId="39" xr:uid="{00000000-0005-0000-0000-000026000000}"/>
    <cellStyle name="Comma_1995" xfId="40" xr:uid="{00000000-0005-0000-0000-000027000000}"/>
    <cellStyle name="Comma0 - Modelo1" xfId="41" xr:uid="{00000000-0005-0000-0000-000028000000}"/>
    <cellStyle name="Comma0 - Style1" xfId="42" xr:uid="{00000000-0005-0000-0000-000029000000}"/>
    <cellStyle name="Comma1 - Modelo2" xfId="43" xr:uid="{00000000-0005-0000-0000-00002A000000}"/>
    <cellStyle name="Comma1 - Style2" xfId="44" xr:uid="{00000000-0005-0000-0000-00002B000000}"/>
    <cellStyle name="Currency [0]_1995" xfId="45" xr:uid="{00000000-0005-0000-0000-00002C000000}"/>
    <cellStyle name="Currency_1995" xfId="46" xr:uid="{00000000-0005-0000-0000-00002D000000}"/>
    <cellStyle name="Dia" xfId="47" xr:uid="{00000000-0005-0000-0000-00002E000000}"/>
    <cellStyle name="Encabez1" xfId="48" xr:uid="{00000000-0005-0000-0000-00002F000000}"/>
    <cellStyle name="Encabez2" xfId="49" xr:uid="{00000000-0005-0000-0000-000030000000}"/>
    <cellStyle name="entry" xfId="50" xr:uid="{00000000-0005-0000-0000-000031000000}"/>
    <cellStyle name="Explanatory Text" xfId="51" xr:uid="{00000000-0005-0000-0000-000032000000}"/>
    <cellStyle name="F2" xfId="52" xr:uid="{00000000-0005-0000-0000-000033000000}"/>
    <cellStyle name="F3" xfId="53" xr:uid="{00000000-0005-0000-0000-000034000000}"/>
    <cellStyle name="F4" xfId="54" xr:uid="{00000000-0005-0000-0000-000035000000}"/>
    <cellStyle name="F5" xfId="55" xr:uid="{00000000-0005-0000-0000-000036000000}"/>
    <cellStyle name="F6" xfId="56" xr:uid="{00000000-0005-0000-0000-000037000000}"/>
    <cellStyle name="F7" xfId="57" xr:uid="{00000000-0005-0000-0000-000038000000}"/>
    <cellStyle name="F8" xfId="58" xr:uid="{00000000-0005-0000-0000-000039000000}"/>
    <cellStyle name="Fijo" xfId="59" xr:uid="{00000000-0005-0000-0000-00003A000000}"/>
    <cellStyle name="Financiero" xfId="60" xr:uid="{00000000-0005-0000-0000-00003B000000}"/>
    <cellStyle name="Good" xfId="61" xr:uid="{00000000-0005-0000-0000-00003C000000}"/>
    <cellStyle name="Grey" xfId="62" xr:uid="{00000000-0005-0000-0000-00003D000000}"/>
    <cellStyle name="HEADER" xfId="63" xr:uid="{00000000-0005-0000-0000-00003E000000}"/>
    <cellStyle name="Header 1" xfId="64" xr:uid="{00000000-0005-0000-0000-00003F000000}"/>
    <cellStyle name="Header 2" xfId="65" xr:uid="{00000000-0005-0000-0000-000040000000}"/>
    <cellStyle name="Header Center" xfId="66" xr:uid="{00000000-0005-0000-0000-000041000000}"/>
    <cellStyle name="Header1" xfId="67" xr:uid="{00000000-0005-0000-0000-000042000000}"/>
    <cellStyle name="Header2" xfId="68" xr:uid="{00000000-0005-0000-0000-000043000000}"/>
    <cellStyle name="Heading 1" xfId="69" xr:uid="{00000000-0005-0000-0000-000044000000}"/>
    <cellStyle name="Heading 2" xfId="70" xr:uid="{00000000-0005-0000-0000-000045000000}"/>
    <cellStyle name="Heading 3" xfId="71" xr:uid="{00000000-0005-0000-0000-000046000000}"/>
    <cellStyle name="Heading 4" xfId="72" xr:uid="{00000000-0005-0000-0000-000047000000}"/>
    <cellStyle name="HP Logo" xfId="73" xr:uid="{00000000-0005-0000-0000-000048000000}"/>
    <cellStyle name="Hyperlink 2" xfId="74" xr:uid="{00000000-0005-0000-0000-000049000000}"/>
    <cellStyle name="IBM(401K)" xfId="75" xr:uid="{00000000-0005-0000-0000-00004A000000}"/>
    <cellStyle name="Input" xfId="76" xr:uid="{00000000-0005-0000-0000-00004B000000}"/>
    <cellStyle name="Input [yellow]" xfId="77" xr:uid="{00000000-0005-0000-0000-00004C000000}"/>
    <cellStyle name="J401K" xfId="78" xr:uid="{00000000-0005-0000-0000-00004D000000}"/>
    <cellStyle name="Linked Cell" xfId="79" xr:uid="{00000000-0005-0000-0000-00004E000000}"/>
    <cellStyle name="MFPStyle_Title" xfId="80" xr:uid="{00000000-0005-0000-0000-00004F000000}"/>
    <cellStyle name="Millares [0]_10 AVERIAS MASIVAS + ANT" xfId="81" xr:uid="{00000000-0005-0000-0000-000050000000}"/>
    <cellStyle name="Millares_10 AVERIAS MASIVAS + ANT" xfId="82" xr:uid="{00000000-0005-0000-0000-000051000000}"/>
    <cellStyle name="Model" xfId="83" xr:uid="{00000000-0005-0000-0000-000052000000}"/>
    <cellStyle name="Moneda [0]_10 AVERIAS MASIVAS + ANT" xfId="84" xr:uid="{00000000-0005-0000-0000-000053000000}"/>
    <cellStyle name="Moneda_10 AVERIAS MASIVAS + ANT" xfId="85" xr:uid="{00000000-0005-0000-0000-000054000000}"/>
    <cellStyle name="Monetario" xfId="86" xr:uid="{00000000-0005-0000-0000-000055000000}"/>
    <cellStyle name="Neutral" xfId="87" xr:uid="{00000000-0005-0000-0000-000056000000}"/>
    <cellStyle name="no dec" xfId="88" xr:uid="{00000000-0005-0000-0000-000057000000}"/>
    <cellStyle name="Normal - Style1" xfId="89" xr:uid="{00000000-0005-0000-0000-000058000000}"/>
    <cellStyle name="Normal 2" xfId="90" xr:uid="{00000000-0005-0000-0000-000059000000}"/>
    <cellStyle name="Normal_#10-Headcount" xfId="91" xr:uid="{00000000-0005-0000-0000-00005A000000}"/>
    <cellStyle name="Normale_2000S TPI TARIFF" xfId="92" xr:uid="{00000000-0005-0000-0000-00005B000000}"/>
    <cellStyle name="Note" xfId="93" xr:uid="{00000000-0005-0000-0000-00005C000000}"/>
    <cellStyle name="NUMERO" xfId="94" xr:uid="{00000000-0005-0000-0000-00005D000000}"/>
    <cellStyle name="Output" xfId="95" xr:uid="{00000000-0005-0000-0000-00005E000000}"/>
    <cellStyle name="Percent [2]" xfId="96" xr:uid="{00000000-0005-0000-0000-00005F000000}"/>
    <cellStyle name="Porcentaje" xfId="97" xr:uid="{00000000-0005-0000-0000-000060000000}"/>
    <cellStyle name="price" xfId="98" xr:uid="{00000000-0005-0000-0000-000061000000}"/>
    <cellStyle name="PSChar" xfId="99" xr:uid="{00000000-0005-0000-0000-000062000000}"/>
    <cellStyle name="PSHeading" xfId="100" xr:uid="{00000000-0005-0000-0000-000063000000}"/>
    <cellStyle name="revised" xfId="101" xr:uid="{00000000-0005-0000-0000-000064000000}"/>
    <cellStyle name="RM" xfId="102" xr:uid="{00000000-0005-0000-0000-000065000000}"/>
    <cellStyle name="section" xfId="103" xr:uid="{00000000-0005-0000-0000-000066000000}"/>
    <cellStyle name="SPOl" xfId="104" xr:uid="{00000000-0005-0000-0000-000067000000}"/>
    <cellStyle name="subhead" xfId="105" xr:uid="{00000000-0005-0000-0000-000068000000}"/>
    <cellStyle name="Table Entry" xfId="106" xr:uid="{00000000-0005-0000-0000-000069000000}"/>
    <cellStyle name="Table Heading" xfId="107" xr:uid="{00000000-0005-0000-0000-00006A000000}"/>
    <cellStyle name="Table Heading Center" xfId="108" xr:uid="{00000000-0005-0000-0000-00006B000000}"/>
    <cellStyle name="Table Medium" xfId="109" xr:uid="{00000000-0005-0000-0000-00006C000000}"/>
    <cellStyle name="Table Normal" xfId="110" xr:uid="{00000000-0005-0000-0000-00006D000000}"/>
    <cellStyle name="Table Small" xfId="111" xr:uid="{00000000-0005-0000-0000-00006E000000}"/>
    <cellStyle name="Table Small Bold" xfId="112" xr:uid="{00000000-0005-0000-0000-00006F000000}"/>
    <cellStyle name="Table Small Center" xfId="113" xr:uid="{00000000-0005-0000-0000-000070000000}"/>
    <cellStyle name="Table Title" xfId="114" xr:uid="{00000000-0005-0000-0000-000071000000}"/>
    <cellStyle name="Title" xfId="115" xr:uid="{00000000-0005-0000-0000-000072000000}"/>
    <cellStyle name="Total" xfId="116" xr:uid="{00000000-0005-0000-0000-000073000000}"/>
    <cellStyle name="Warning Text" xfId="117" xr:uid="{00000000-0005-0000-0000-000074000000}"/>
    <cellStyle name="ハイパーリンク" xfId="118" builtinId="8"/>
    <cellStyle name="ハイパーリンク 2" xfId="119" xr:uid="{00000000-0005-0000-0000-000076000000}"/>
    <cellStyle name="ハイパーリンク 2 2" xfId="120" xr:uid="{00000000-0005-0000-0000-000077000000}"/>
    <cellStyle name="ハイパーリンク 2 2 2" xfId="121" xr:uid="{00000000-0005-0000-0000-000078000000}"/>
    <cellStyle name="下点線" xfId="122" xr:uid="{00000000-0005-0000-0000-000079000000}"/>
    <cellStyle name="価格桁区切り" xfId="123" xr:uid="{00000000-0005-0000-0000-00007A000000}"/>
    <cellStyle name="貨物標準" xfId="124" xr:uid="{00000000-0005-0000-0000-00007B000000}"/>
    <cellStyle name="型番" xfId="125" xr:uid="{00000000-0005-0000-0000-00007C000000}"/>
    <cellStyle name="桁区切り [##.##]" xfId="126" xr:uid="{00000000-0005-0000-0000-00007D000000}"/>
    <cellStyle name="見出し" xfId="127" xr:uid="{00000000-0005-0000-0000-00007E000000}"/>
    <cellStyle name="見出し 1 2" xfId="128" xr:uid="{00000000-0005-0000-0000-00007F000000}"/>
    <cellStyle name="常规_【NWエリア検索】 住所探索画面-API" xfId="129" xr:uid="{00000000-0005-0000-0000-000080000000}"/>
    <cellStyle name="常规_仕掛中0805_FMCオンライン向けAPIパラメータ一覧" xfId="130" xr:uid="{00000000-0005-0000-0000-000081000000}"/>
    <cellStyle name="人月" xfId="131" xr:uid="{00000000-0005-0000-0000-000082000000}"/>
    <cellStyle name="数値" xfId="132" xr:uid="{00000000-0005-0000-0000-000083000000}"/>
    <cellStyle name="数値（桁区切り）" xfId="133" xr:uid="{00000000-0005-0000-0000-000084000000}"/>
    <cellStyle name="数値_4-2-00%28UQSVC%29" xfId="134" xr:uid="{00000000-0005-0000-0000-000085000000}"/>
    <cellStyle name="製品通知&quot;-&quot;" xfId="135" xr:uid="{00000000-0005-0000-0000-000086000000}"/>
    <cellStyle name="製品通知価格" xfId="136" xr:uid="{00000000-0005-0000-0000-000087000000}"/>
    <cellStyle name="製品通知日付" xfId="137" xr:uid="{00000000-0005-0000-0000-000088000000}"/>
    <cellStyle name="製品通知文字列" xfId="138" xr:uid="{00000000-0005-0000-0000-000089000000}"/>
    <cellStyle name="通貨 2" xfId="139" xr:uid="{00000000-0005-0000-0000-00008A000000}"/>
    <cellStyle name="日付" xfId="140" xr:uid="{00000000-0005-0000-0000-00008B000000}"/>
    <cellStyle name="年月日" xfId="141" xr:uid="{00000000-0005-0000-0000-00008C000000}"/>
    <cellStyle name="標・_HTL99S" xfId="142" xr:uid="{00000000-0005-0000-0000-00008D000000}"/>
    <cellStyle name="標準" xfId="0" builtinId="0"/>
    <cellStyle name="標準 10" xfId="143" xr:uid="{00000000-0005-0000-0000-00008F000000}"/>
    <cellStyle name="標準 11" xfId="144" xr:uid="{00000000-0005-0000-0000-000090000000}"/>
    <cellStyle name="標準 12" xfId="145" xr:uid="{00000000-0005-0000-0000-000091000000}"/>
    <cellStyle name="標準 13" xfId="146" xr:uid="{00000000-0005-0000-0000-000092000000}"/>
    <cellStyle name="標準 13 2" xfId="147" xr:uid="{00000000-0005-0000-0000-000093000000}"/>
    <cellStyle name="標準 14" xfId="148" xr:uid="{00000000-0005-0000-0000-000094000000}"/>
    <cellStyle name="標準 14 2" xfId="149" xr:uid="{00000000-0005-0000-0000-000095000000}"/>
    <cellStyle name="標準 15" xfId="150" xr:uid="{00000000-0005-0000-0000-000096000000}"/>
    <cellStyle name="標準 16" xfId="151" xr:uid="{00000000-0005-0000-0000-000097000000}"/>
    <cellStyle name="標準 17" xfId="152" xr:uid="{00000000-0005-0000-0000-000098000000}"/>
    <cellStyle name="標準 18" xfId="153" xr:uid="{00000000-0005-0000-0000-000099000000}"/>
    <cellStyle name="標準 19" xfId="154" xr:uid="{00000000-0005-0000-0000-00009A000000}"/>
    <cellStyle name="標準 2" xfId="155" xr:uid="{00000000-0005-0000-0000-00009B000000}"/>
    <cellStyle name="標準 2 2" xfId="156" xr:uid="{00000000-0005-0000-0000-00009C000000}"/>
    <cellStyle name="標準 2 3" xfId="157" xr:uid="{00000000-0005-0000-0000-00009D000000}"/>
    <cellStyle name="標準 2 3 2" xfId="158" xr:uid="{00000000-0005-0000-0000-00009E000000}"/>
    <cellStyle name="標準 20" xfId="159" xr:uid="{00000000-0005-0000-0000-00009F000000}"/>
    <cellStyle name="標準 21" xfId="160" xr:uid="{00000000-0005-0000-0000-0000A0000000}"/>
    <cellStyle name="標準 22" xfId="161" xr:uid="{00000000-0005-0000-0000-0000A1000000}"/>
    <cellStyle name="標準 23" xfId="162" xr:uid="{00000000-0005-0000-0000-0000A2000000}"/>
    <cellStyle name="標準 24" xfId="163" xr:uid="{00000000-0005-0000-0000-0000A3000000}"/>
    <cellStyle name="標準 25" xfId="164" xr:uid="{00000000-0005-0000-0000-0000A4000000}"/>
    <cellStyle name="標準 26" xfId="165" xr:uid="{00000000-0005-0000-0000-0000A5000000}"/>
    <cellStyle name="標準 27" xfId="166" xr:uid="{00000000-0005-0000-0000-0000A6000000}"/>
    <cellStyle name="標準 28" xfId="167" xr:uid="{00000000-0005-0000-0000-0000A7000000}"/>
    <cellStyle name="標準 29" xfId="168" xr:uid="{00000000-0005-0000-0000-0000A8000000}"/>
    <cellStyle name="標準 3" xfId="169" xr:uid="{00000000-0005-0000-0000-0000A9000000}"/>
    <cellStyle name="標準 3 2" xfId="170" xr:uid="{00000000-0005-0000-0000-0000AA000000}"/>
    <cellStyle name="標準 30" xfId="171" xr:uid="{00000000-0005-0000-0000-0000AB000000}"/>
    <cellStyle name="標準 31" xfId="172" xr:uid="{00000000-0005-0000-0000-0000AC000000}"/>
    <cellStyle name="標準 32" xfId="173" xr:uid="{00000000-0005-0000-0000-0000AD000000}"/>
    <cellStyle name="標準 33" xfId="174" xr:uid="{00000000-0005-0000-0000-0000AE000000}"/>
    <cellStyle name="標準 34" xfId="175" xr:uid="{00000000-0005-0000-0000-0000AF000000}"/>
    <cellStyle name="標準 35" xfId="176" xr:uid="{00000000-0005-0000-0000-0000B0000000}"/>
    <cellStyle name="標準 36" xfId="177" xr:uid="{00000000-0005-0000-0000-0000B1000000}"/>
    <cellStyle name="標準 37" xfId="178" xr:uid="{00000000-0005-0000-0000-0000B2000000}"/>
    <cellStyle name="標準 38" xfId="179" xr:uid="{00000000-0005-0000-0000-0000B3000000}"/>
    <cellStyle name="標準 39" xfId="180" xr:uid="{00000000-0005-0000-0000-0000B4000000}"/>
    <cellStyle name="標準 4" xfId="181" xr:uid="{00000000-0005-0000-0000-0000B5000000}"/>
    <cellStyle name="標準 4 2" xfId="182" xr:uid="{00000000-0005-0000-0000-0000B6000000}"/>
    <cellStyle name="標準 40" xfId="183" xr:uid="{00000000-0005-0000-0000-0000B7000000}"/>
    <cellStyle name="標準 41" xfId="184" xr:uid="{00000000-0005-0000-0000-0000B8000000}"/>
    <cellStyle name="標準 42" xfId="185" xr:uid="{00000000-0005-0000-0000-0000B9000000}"/>
    <cellStyle name="標準 43" xfId="186" xr:uid="{00000000-0005-0000-0000-0000BA000000}"/>
    <cellStyle name="標準 5" xfId="187" xr:uid="{00000000-0005-0000-0000-0000BB000000}"/>
    <cellStyle name="標準 5 2" xfId="188" xr:uid="{00000000-0005-0000-0000-0000BC000000}"/>
    <cellStyle name="標準 6" xfId="189" xr:uid="{00000000-0005-0000-0000-0000BD000000}"/>
    <cellStyle name="標準 6 2" xfId="190" xr:uid="{00000000-0005-0000-0000-0000BE000000}"/>
    <cellStyle name="標準 7" xfId="191" xr:uid="{00000000-0005-0000-0000-0000BF000000}"/>
    <cellStyle name="標準 8" xfId="192" xr:uid="{00000000-0005-0000-0000-0000C0000000}"/>
    <cellStyle name="標準 9" xfId="193" xr:uid="{00000000-0005-0000-0000-0000C1000000}"/>
    <cellStyle name="標準 9 2" xfId="194" xr:uid="{00000000-0005-0000-0000-0000C2000000}"/>
    <cellStyle name="標準_結合試験項目書【ｵﾝﾗｲﾝ】(au契約者" xfId="195" xr:uid="{00000000-0005-0000-0000-0000C3000000}"/>
    <cellStyle name="表題" xfId="196" xr:uid="{00000000-0005-0000-0000-0000C4000000}"/>
    <cellStyle name="文字列" xfId="197" xr:uid="{00000000-0005-0000-0000-0000C5000000}"/>
    <cellStyle name="未定義" xfId="198" xr:uid="{00000000-0005-0000-0000-0000C6000000}"/>
    <cellStyle name="網かけ" xfId="199" xr:uid="{00000000-0005-0000-0000-0000C7000000}"/>
    <cellStyle name="網掛け" xfId="200" xr:uid="{00000000-0005-0000-0000-0000C8000000}"/>
    <cellStyle name="樘準_購－表紙 (2)_1_型－PRINT_ＳＩ型番 (2)_構成明細  (原調込み） (2)" xfId="201" xr:uid="{00000000-0005-0000-0000-0000C9000000}"/>
  </cellStyles>
  <dxfs count="4599">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5.xml"/><Relationship Id="rId58" Type="http://schemas.openxmlformats.org/officeDocument/2006/relationships/externalLink" Target="externalLinks/externalLink10.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1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8.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externalLink" Target="externalLinks/externalLink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1.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6.xml"/><Relationship Id="rId62" Type="http://schemas.openxmlformats.org/officeDocument/2006/relationships/externalLink" Target="externalLinks/externalLink14.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externalLink" Target="externalLinks/externalLink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4.xml"/><Relationship Id="rId60" Type="http://schemas.openxmlformats.org/officeDocument/2006/relationships/externalLink" Target="externalLinks/externalLink12.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externalLink" Target="externalLinks/externalLink2.xml"/><Relationship Id="rId55" Type="http://schemas.openxmlformats.org/officeDocument/2006/relationships/externalLink" Target="externalLinks/externalLink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1</xdr:col>
      <xdr:colOff>9524</xdr:colOff>
      <xdr:row>30</xdr:row>
      <xdr:rowOff>19049</xdr:rowOff>
    </xdr:from>
    <xdr:to>
      <xdr:col>16</xdr:col>
      <xdr:colOff>0</xdr:colOff>
      <xdr:row>144</xdr:row>
      <xdr:rowOff>123826</xdr:rowOff>
    </xdr:to>
    <xdr:sp macro="" textlink="">
      <xdr:nvSpPr>
        <xdr:cNvPr id="2077" name="Text Box 29">
          <a:extLst>
            <a:ext uri="{FF2B5EF4-FFF2-40B4-BE49-F238E27FC236}">
              <a16:creationId xmlns:a16="http://schemas.microsoft.com/office/drawing/2014/main" id="{00000000-0008-0000-2D00-00001D080000}"/>
            </a:ext>
          </a:extLst>
        </xdr:cNvPr>
        <xdr:cNvSpPr txBox="1">
          <a:spLocks noChangeArrowheads="1"/>
        </xdr:cNvSpPr>
      </xdr:nvSpPr>
      <xdr:spPr bwMode="auto">
        <a:xfrm>
          <a:off x="695324" y="4648199"/>
          <a:ext cx="10277476" cy="19659601"/>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ctr" rtl="0">
            <a:lnSpc>
              <a:spcPts val="1900"/>
            </a:lnSpc>
            <a:defRPr sz="1000"/>
          </a:pPr>
          <a:endParaRPr lang="en-US" altLang="ja-JP" sz="1600" b="1" i="0" u="none" strike="noStrike" baseline="0">
            <a:solidFill>
              <a:srgbClr val="000000"/>
            </a:solidFill>
            <a:latin typeface="+mj-ea"/>
            <a:ea typeface="+mj-ea"/>
          </a:endParaRPr>
        </a:p>
        <a:p>
          <a:pPr algn="ctr" rtl="0">
            <a:lnSpc>
              <a:spcPts val="1900"/>
            </a:lnSpc>
            <a:defRPr sz="1000"/>
          </a:pPr>
          <a:r>
            <a:rPr lang="ja-JP" altLang="en-US" sz="1600" b="1" i="0" u="none" strike="noStrike" baseline="0">
              <a:solidFill>
                <a:srgbClr val="000000"/>
              </a:solidFill>
              <a:latin typeface="+mj-ea"/>
              <a:ea typeface="+mj-ea"/>
            </a:rPr>
            <a:t>利用手順</a:t>
          </a:r>
          <a:br>
            <a:rPr lang="en-US" altLang="ja-JP" sz="1100" b="1" i="0" u="none" strike="noStrike" baseline="0">
              <a:solidFill>
                <a:srgbClr val="000000"/>
              </a:solidFill>
              <a:latin typeface="+mj-ea"/>
              <a:ea typeface="+mj-ea"/>
            </a:rPr>
          </a:br>
          <a:endParaRPr lang="en-US" altLang="ja-JP" sz="1600" b="1" i="0" u="none" strike="noStrike" baseline="0">
            <a:solidFill>
              <a:srgbClr val="000000"/>
            </a:solidFill>
            <a:latin typeface="+mj-ea"/>
            <a:ea typeface="+mj-ea"/>
          </a:endParaRPr>
        </a:p>
        <a:p>
          <a:pPr algn="l" rtl="0">
            <a:lnSpc>
              <a:spcPts val="1300"/>
            </a:lnSpc>
            <a:defRPr sz="1000"/>
          </a:pPr>
          <a:r>
            <a:rPr lang="en-US" altLang="ja-JP" sz="1100" b="1" i="0" u="none" strike="noStrike" baseline="0">
              <a:solidFill>
                <a:srgbClr val="000000"/>
              </a:solidFill>
              <a:latin typeface="+mj-ea"/>
              <a:ea typeface="+mj-ea"/>
            </a:rPr>
            <a:t>1</a:t>
          </a:r>
          <a:r>
            <a:rPr lang="ja-JP" altLang="en-US" sz="1100" b="1" i="0" u="none" strike="noStrike" baseline="0">
              <a:solidFill>
                <a:srgbClr val="000000"/>
              </a:solidFill>
              <a:latin typeface="+mj-ea"/>
              <a:ea typeface="+mj-ea"/>
            </a:rPr>
            <a:t>、</a:t>
          </a:r>
          <a:r>
            <a:rPr lang="en-US" altLang="ja-JP" sz="1100" b="1" i="0" u="none" strike="noStrike" baseline="0">
              <a:solidFill>
                <a:srgbClr val="000000"/>
              </a:solidFill>
              <a:latin typeface="+mj-ea"/>
              <a:ea typeface="+mj-ea"/>
            </a:rPr>
            <a:t>APIIF</a:t>
          </a:r>
          <a:r>
            <a:rPr lang="ja-JP" altLang="en-US" sz="1100" b="1" i="0" u="none" strike="noStrike" baseline="0">
              <a:solidFill>
                <a:srgbClr val="000000"/>
              </a:solidFill>
              <a:latin typeface="+mj-ea"/>
              <a:ea typeface="+mj-ea"/>
            </a:rPr>
            <a:t>仕様書の項目定義シートをこのツールにコピーする。</a:t>
          </a:r>
          <a:endParaRPr lang="en-US" altLang="ja-JP" sz="1100" b="1" i="0" u="none" strike="noStrike" baseline="0">
            <a:solidFill>
              <a:srgbClr val="000000"/>
            </a:solidFill>
            <a:latin typeface="+mj-ea"/>
            <a:ea typeface="+mj-ea"/>
          </a:endParaRPr>
        </a:p>
        <a:p>
          <a:pPr algn="l" rtl="0">
            <a:lnSpc>
              <a:spcPts val="1300"/>
            </a:lnSpc>
            <a:defRPr sz="1000"/>
          </a:pPr>
          <a:r>
            <a:rPr lang="ja-JP" altLang="en-US" sz="1100" b="0" i="0" u="none" strike="noStrike" baseline="0">
              <a:solidFill>
                <a:srgbClr val="000000"/>
              </a:solidFill>
              <a:latin typeface="+mj-ea"/>
              <a:ea typeface="+mj-ea"/>
            </a:rPr>
            <a:t>　　</a:t>
          </a:r>
          <a:r>
            <a:rPr lang="en-US" altLang="ja-JP" sz="1100" b="0" i="0" u="none" strike="noStrike" baseline="0">
              <a:solidFill>
                <a:srgbClr val="000000"/>
              </a:solidFill>
              <a:latin typeface="+mj-ea"/>
              <a:ea typeface="+mj-ea"/>
            </a:rPr>
            <a:t>※</a:t>
          </a:r>
          <a:r>
            <a:rPr lang="ja-JP" altLang="en-US" sz="1100" b="0" i="0" u="none" strike="noStrike" baseline="0">
              <a:solidFill>
                <a:srgbClr val="000000"/>
              </a:solidFill>
              <a:latin typeface="+mj-ea"/>
              <a:ea typeface="+mj-ea"/>
            </a:rPr>
            <a:t>シート名：</a:t>
          </a:r>
          <a:r>
            <a:rPr lang="en-US" altLang="ja-JP" sz="1100" b="0" i="0" u="none" strike="noStrike" baseline="0">
              <a:solidFill>
                <a:srgbClr val="000000"/>
              </a:solidFill>
              <a:latin typeface="+mj-ea"/>
              <a:ea typeface="+mj-ea"/>
            </a:rPr>
            <a:t>API-ID</a:t>
          </a:r>
          <a:r>
            <a:rPr lang="ja-JP" altLang="en-US" sz="1100" b="0" i="0" u="none" strike="noStrike" baseline="0">
              <a:solidFill>
                <a:srgbClr val="000000"/>
              </a:solidFill>
              <a:latin typeface="+mj-ea"/>
              <a:ea typeface="+mj-ea"/>
            </a:rPr>
            <a:t>（例えば、</a:t>
          </a:r>
          <a:r>
            <a:rPr lang="en-US" altLang="ja-JP" sz="1100" b="0" i="0" u="none" strike="noStrike" baseline="0">
              <a:solidFill>
                <a:srgbClr val="000000"/>
              </a:solidFill>
              <a:latin typeface="+mj-ea"/>
              <a:ea typeface="+mj-ea"/>
            </a:rPr>
            <a:t>B006</a:t>
          </a:r>
          <a:r>
            <a:rPr lang="ja-JP" altLang="en-US" sz="1100" b="0" i="0" u="none" strike="noStrike" baseline="0">
              <a:solidFill>
                <a:srgbClr val="000000"/>
              </a:solidFill>
              <a:latin typeface="+mj-ea"/>
              <a:ea typeface="+mj-ea"/>
            </a:rPr>
            <a:t>）</a:t>
          </a:r>
          <a:endParaRPr lang="en-US" altLang="ja-JP" sz="1100" b="0" i="0" u="none" strike="noStrike" baseline="0">
            <a:solidFill>
              <a:srgbClr val="000000"/>
            </a:solidFill>
            <a:latin typeface="+mj-ea"/>
            <a:ea typeface="+mj-ea"/>
          </a:endParaRPr>
        </a:p>
        <a:p>
          <a:pPr algn="l" rtl="0">
            <a:lnSpc>
              <a:spcPts val="1300"/>
            </a:lnSpc>
            <a:defRPr sz="1000"/>
          </a:pPr>
          <a:endParaRPr lang="en-US" altLang="ja-JP" sz="1100" b="0" i="0" u="none" strike="noStrike" baseline="0">
            <a:solidFill>
              <a:srgbClr val="000000"/>
            </a:solidFill>
            <a:latin typeface="+mj-ea"/>
            <a:ea typeface="+mj-ea"/>
          </a:endParaRPr>
        </a:p>
        <a:p>
          <a:pPr algn="l" rtl="0">
            <a:lnSpc>
              <a:spcPts val="1200"/>
            </a:lnSpc>
            <a:defRPr sz="1000"/>
          </a:pPr>
          <a:r>
            <a:rPr lang="ja-JP" altLang="en-US" sz="1100" b="1" i="0" u="none" strike="noStrike" baseline="0">
              <a:solidFill>
                <a:srgbClr val="000000"/>
              </a:solidFill>
              <a:latin typeface="+mj-ea"/>
              <a:ea typeface="+mj-ea"/>
            </a:rPr>
            <a:t>２．各項目を設定する</a:t>
          </a:r>
          <a:br>
            <a:rPr lang="en-US" altLang="ja-JP" sz="1100" b="0" i="0" u="none" strike="noStrike" baseline="0">
              <a:solidFill>
                <a:srgbClr val="000000"/>
              </a:solidFill>
              <a:latin typeface="+mj-ea"/>
              <a:ea typeface="+mj-ea"/>
            </a:rPr>
          </a:br>
          <a:r>
            <a:rPr lang="ja-JP" altLang="en-US" sz="1100" b="0" i="0" u="none" strike="noStrike" baseline="0">
              <a:solidFill>
                <a:srgbClr val="000000"/>
              </a:solidFill>
              <a:latin typeface="+mj-ea"/>
              <a:ea typeface="+mj-ea"/>
            </a:rPr>
            <a:t>　　</a:t>
          </a:r>
          <a:r>
            <a:rPr lang="ja-JP" altLang="en-US" sz="1100" b="1" i="0" u="none" strike="noStrike" baseline="0">
              <a:solidFill>
                <a:srgbClr val="000000"/>
              </a:solidFill>
              <a:latin typeface="+mj-ea"/>
              <a:ea typeface="+mj-ea"/>
            </a:rPr>
            <a:t>①　</a:t>
          </a:r>
          <a:r>
            <a:rPr lang="en-US" altLang="ja-JP" sz="1100" b="1" i="0">
              <a:latin typeface="+mj-ea"/>
              <a:ea typeface="+mj-ea"/>
              <a:cs typeface="+mn-cs"/>
            </a:rPr>
            <a:t>APISheetName</a:t>
          </a:r>
          <a:r>
            <a:rPr lang="ja-JP" altLang="en-US" sz="1100" b="1" i="0">
              <a:latin typeface="+mj-ea"/>
              <a:ea typeface="+mj-ea"/>
              <a:cs typeface="+mn-cs"/>
            </a:rPr>
            <a:t>　</a:t>
          </a:r>
          <a:endParaRPr lang="en-US" altLang="ja-JP" sz="1100" b="1" i="0">
            <a:latin typeface="+mj-ea"/>
            <a:ea typeface="+mj-ea"/>
            <a:cs typeface="+mn-cs"/>
          </a:endParaRPr>
        </a:p>
        <a:p>
          <a:pPr algn="l" rtl="0">
            <a:lnSpc>
              <a:spcPts val="1300"/>
            </a:lnSpc>
            <a:defRPr sz="1000"/>
          </a:pPr>
          <a:r>
            <a:rPr lang="ja-JP" altLang="en-US" sz="1100" b="0" i="0">
              <a:latin typeface="+mj-ea"/>
              <a:ea typeface="+mj-ea"/>
              <a:cs typeface="+mn-cs"/>
            </a:rPr>
            <a:t>　　　　</a:t>
          </a:r>
          <a:r>
            <a:rPr lang="ja-JP" altLang="ja-JP" sz="1100" b="0" i="0">
              <a:latin typeface="+mj-ea"/>
              <a:ea typeface="+mj-ea"/>
              <a:cs typeface="+mn-cs"/>
            </a:rPr>
            <a:t>対象シート名</a:t>
          </a:r>
          <a:r>
            <a:rPr lang="ja-JP" altLang="en-US" sz="1100" b="0" i="0">
              <a:latin typeface="+mj-ea"/>
              <a:ea typeface="+mj-ea"/>
              <a:cs typeface="+mn-cs"/>
            </a:rPr>
            <a:t>（</a:t>
          </a:r>
          <a:r>
            <a:rPr lang="ja-JP" altLang="ja-JP" sz="1100" b="0" i="0">
              <a:latin typeface="+mj-ea"/>
              <a:ea typeface="+mj-ea"/>
              <a:cs typeface="+mn-cs"/>
            </a:rPr>
            <a:t>必須</a:t>
          </a:r>
          <a:r>
            <a:rPr lang="ja-JP" altLang="en-US" sz="1100" b="0" i="0">
              <a:latin typeface="+mj-ea"/>
              <a:ea typeface="+mj-ea"/>
              <a:cs typeface="+mn-cs"/>
            </a:rPr>
            <a:t>）　</a:t>
          </a:r>
          <a:endParaRPr lang="en-US" altLang="ja-JP" sz="1100" b="0" i="0">
            <a:latin typeface="+mj-ea"/>
            <a:ea typeface="+mj-ea"/>
            <a:cs typeface="+mn-cs"/>
          </a:endParaRPr>
        </a:p>
        <a:p>
          <a:pPr algn="l" rtl="0">
            <a:lnSpc>
              <a:spcPts val="1200"/>
            </a:lnSpc>
            <a:defRPr sz="1000"/>
          </a:pPr>
          <a:r>
            <a:rPr lang="ja-JP" altLang="en-US" sz="1100" b="0" i="0" u="none" strike="noStrike" baseline="0">
              <a:solidFill>
                <a:srgbClr val="000000"/>
              </a:solidFill>
              <a:latin typeface="+mj-ea"/>
              <a:ea typeface="+mj-ea"/>
              <a:cs typeface="+mn-cs"/>
            </a:rPr>
            <a:t>　　　　■</a:t>
          </a:r>
          <a:r>
            <a:rPr lang="ja-JP" altLang="ja-JP" sz="1100" b="0" i="0" baseline="0">
              <a:latin typeface="+mj-ea"/>
              <a:ea typeface="+mj-ea"/>
              <a:cs typeface="+mn-cs"/>
            </a:rPr>
            <a:t>例えば、</a:t>
          </a:r>
          <a:r>
            <a:rPr lang="en-US" altLang="ja-JP" sz="1100" b="0" i="0" baseline="0">
              <a:latin typeface="+mj-ea"/>
              <a:ea typeface="+mj-ea"/>
              <a:cs typeface="+mn-cs"/>
            </a:rPr>
            <a:t>B006</a:t>
          </a:r>
        </a:p>
        <a:p>
          <a:pPr algn="l" rtl="0">
            <a:lnSpc>
              <a:spcPts val="1300"/>
            </a:lnSpc>
            <a:defRPr sz="1000"/>
          </a:pPr>
          <a:endParaRPr lang="en-US" altLang="ja-JP" sz="1100" b="0" i="0" baseline="0">
            <a:latin typeface="+mj-ea"/>
            <a:ea typeface="+mj-ea"/>
            <a:cs typeface="+mn-cs"/>
          </a:endParaRPr>
        </a:p>
        <a:p>
          <a:pPr algn="l" rtl="0">
            <a:lnSpc>
              <a:spcPts val="1200"/>
            </a:lnSpc>
            <a:defRPr sz="1000"/>
          </a:pPr>
          <a:r>
            <a:rPr lang="ja-JP" altLang="en-US" sz="1100" b="1" i="0" u="none" strike="noStrike" baseline="0">
              <a:solidFill>
                <a:srgbClr val="000000"/>
              </a:solidFill>
              <a:latin typeface="+mj-ea"/>
              <a:ea typeface="+mj-ea"/>
              <a:cs typeface="+mn-cs"/>
            </a:rPr>
            <a:t>　　②　</a:t>
          </a:r>
          <a:r>
            <a:rPr lang="en-US" altLang="ja-JP" sz="1100" b="1" i="0" u="none" strike="noStrike">
              <a:latin typeface="+mj-ea"/>
              <a:ea typeface="+mj-ea"/>
              <a:cs typeface="+mn-cs"/>
            </a:rPr>
            <a:t>CaseNo</a:t>
          </a:r>
        </a:p>
        <a:p>
          <a:pPr algn="l" rtl="0">
            <a:lnSpc>
              <a:spcPts val="1300"/>
            </a:lnSpc>
            <a:defRPr sz="1000"/>
          </a:pPr>
          <a:r>
            <a:rPr lang="ja-JP" altLang="en-US" sz="1100" b="0" i="0" u="none" strike="noStrike">
              <a:latin typeface="+mj-ea"/>
              <a:ea typeface="+mj-ea"/>
              <a:cs typeface="+mn-cs"/>
            </a:rPr>
            <a:t>　　　　</a:t>
          </a:r>
          <a:r>
            <a:rPr lang="ja-JP" altLang="ja-JP" sz="1100" b="0" i="0">
              <a:latin typeface="+mj-ea"/>
              <a:ea typeface="+mj-ea"/>
              <a:cs typeface="+mn-cs"/>
            </a:rPr>
            <a:t>対象ケース名（非必須）　</a:t>
          </a:r>
          <a:endParaRPr lang="en-US" altLang="ja-JP" sz="1100" b="0" i="0" u="none" strike="noStrike">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u="none" strike="noStrike">
              <a:latin typeface="+mj-ea"/>
              <a:ea typeface="+mj-ea"/>
              <a:cs typeface="+mn-cs"/>
            </a:rPr>
            <a:t>　　　　</a:t>
          </a:r>
          <a:r>
            <a:rPr lang="ja-JP" altLang="ja-JP" sz="1100" b="0" i="0" baseline="0">
              <a:latin typeface="+mj-ea"/>
              <a:ea typeface="+mj-ea"/>
              <a:cs typeface="+mn-cs"/>
            </a:rPr>
            <a:t>■例えば、</a:t>
          </a:r>
          <a:r>
            <a:rPr lang="en-US" altLang="ja-JP" sz="1100" b="0" i="0">
              <a:latin typeface="+mj-ea"/>
              <a:ea typeface="+mj-ea"/>
              <a:cs typeface="+mn-cs"/>
            </a:rPr>
            <a:t>ID0001</a:t>
          </a:r>
          <a:r>
            <a:rPr lang="ja-JP" altLang="en-US" sz="1100" b="0" i="0">
              <a:latin typeface="+mj-ea"/>
              <a:ea typeface="+mj-ea"/>
              <a:cs typeface="+mn-cs"/>
            </a:rPr>
            <a:t>（テストケースの７行目の</a:t>
          </a:r>
          <a:r>
            <a:rPr lang="en-US" altLang="ja-JP" sz="1100" b="0" i="0">
              <a:latin typeface="+mj-ea"/>
              <a:ea typeface="+mj-ea"/>
              <a:cs typeface="+mn-cs"/>
            </a:rPr>
            <a:t>ID</a:t>
          </a:r>
          <a:r>
            <a:rPr lang="ja-JP" altLang="en-US" sz="1100" b="0" i="0">
              <a:latin typeface="+mj-ea"/>
              <a:ea typeface="+mj-ea"/>
              <a:cs typeface="+mn-cs"/>
            </a:rPr>
            <a:t>番号、</a:t>
          </a:r>
          <a:r>
            <a:rPr lang="en-US" altLang="ja-JP" sz="1100" b="0" i="0">
              <a:latin typeface="+mj-ea"/>
              <a:ea typeface="+mj-ea"/>
              <a:cs typeface="+mn-cs"/>
            </a:rPr>
            <a:t>IDXXXX</a:t>
          </a:r>
          <a:r>
            <a:rPr lang="ja-JP" altLang="en-US" sz="1100" b="0" i="0">
              <a:latin typeface="+mj-ea"/>
              <a:ea typeface="+mj-ea"/>
              <a:cs typeface="+mn-cs"/>
            </a:rPr>
            <a:t>形式）</a:t>
          </a:r>
          <a:endParaRPr lang="en-US" altLang="ja-JP" sz="1100" b="0" i="0">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a:latin typeface="+mj-ea"/>
              <a:ea typeface="+mj-ea"/>
              <a:cs typeface="+mn-cs"/>
            </a:rPr>
            <a:t>　　　　</a:t>
          </a:r>
          <a:r>
            <a:rPr lang="en-US" altLang="ja-JP" sz="1100" b="0" i="0">
              <a:latin typeface="+mj-ea"/>
              <a:ea typeface="+mj-ea"/>
              <a:cs typeface="+mn-cs"/>
            </a:rPr>
            <a:t>※</a:t>
          </a:r>
          <a:r>
            <a:rPr lang="ja-JP" altLang="en-US" sz="1100" b="0" i="0">
              <a:solidFill>
                <a:schemeClr val="tx1"/>
              </a:solidFill>
              <a:latin typeface="+mj-ea"/>
              <a:ea typeface="+mj-ea"/>
              <a:cs typeface="+mn-cs"/>
            </a:rPr>
            <a:t>③の</a:t>
          </a:r>
          <a:r>
            <a:rPr lang="en-US" altLang="ja-JP" sz="1100" b="1" i="0">
              <a:solidFill>
                <a:schemeClr val="tx1"/>
              </a:solidFill>
              <a:latin typeface="+mj-ea"/>
              <a:ea typeface="+mj-ea"/>
              <a:cs typeface="+mn-cs"/>
            </a:rPr>
            <a:t>CaseStartCol</a:t>
          </a:r>
          <a:r>
            <a:rPr lang="ja-JP" altLang="ja-JP" sz="1100" b="0" i="0">
              <a:solidFill>
                <a:schemeClr val="tx1"/>
              </a:solidFill>
              <a:latin typeface="+mj-ea"/>
              <a:ea typeface="+mj-ea"/>
              <a:cs typeface="+mn-cs"/>
            </a:rPr>
            <a:t>以降</a:t>
          </a:r>
          <a:r>
            <a:rPr lang="ja-JP" altLang="en-US" sz="1100" b="0" i="0">
              <a:solidFill>
                <a:schemeClr val="tx1"/>
              </a:solidFill>
              <a:latin typeface="+mj-ea"/>
              <a:ea typeface="+mj-ea"/>
              <a:cs typeface="+mn-cs"/>
            </a:rPr>
            <a:t>の列で</a:t>
          </a:r>
          <a:r>
            <a:rPr lang="ja-JP" altLang="ja-JP" sz="1100" b="0" i="0">
              <a:latin typeface="+mj-ea"/>
              <a:ea typeface="+mj-ea"/>
              <a:cs typeface="+mn-cs"/>
            </a:rPr>
            <a:t>設定</a:t>
          </a:r>
          <a:r>
            <a:rPr lang="ja-JP" altLang="en-US" sz="1100" b="0" i="0">
              <a:latin typeface="+mj-ea"/>
              <a:ea typeface="+mj-ea"/>
              <a:cs typeface="+mn-cs"/>
            </a:rPr>
            <a:t>する</a:t>
          </a:r>
          <a:r>
            <a:rPr lang="ja-JP" altLang="ja-JP" sz="1100" b="0" i="0">
              <a:latin typeface="+mj-ea"/>
              <a:ea typeface="+mj-ea"/>
              <a:cs typeface="+mn-cs"/>
            </a:rPr>
            <a:t>ケース</a:t>
          </a:r>
          <a:r>
            <a:rPr lang="ja-JP" altLang="en-US" sz="1100" b="0" i="0">
              <a:latin typeface="+mj-ea"/>
              <a:ea typeface="+mj-ea"/>
              <a:cs typeface="+mn-cs"/>
            </a:rPr>
            <a:t>の</a:t>
          </a:r>
          <a:r>
            <a:rPr lang="ja-JP" altLang="ja-JP" sz="1100" b="0" i="0">
              <a:latin typeface="+mj-ea"/>
              <a:ea typeface="+mj-ea"/>
              <a:cs typeface="+mn-cs"/>
            </a:rPr>
            <a:t>名</a:t>
          </a:r>
          <a:r>
            <a:rPr lang="ja-JP" altLang="en-US" sz="1100" b="0" i="0">
              <a:latin typeface="+mj-ea"/>
              <a:ea typeface="+mj-ea"/>
              <a:cs typeface="+mn-cs"/>
            </a:rPr>
            <a:t>を指定する</a:t>
          </a:r>
          <a:r>
            <a:rPr lang="ja-JP" altLang="ja-JP" sz="1100" b="0" i="0">
              <a:solidFill>
                <a:srgbClr val="FF0000"/>
              </a:solidFill>
              <a:latin typeface="+mj-ea"/>
              <a:ea typeface="+mj-ea"/>
              <a:cs typeface="+mn-cs"/>
            </a:rPr>
            <a:t>。</a:t>
          </a:r>
          <a:endParaRPr lang="en-US" altLang="ja-JP" sz="1100" b="0" i="0">
            <a:solidFill>
              <a:srgbClr val="FF0000"/>
            </a:solidFill>
            <a:latin typeface="+mj-ea"/>
            <a:ea typeface="+mj-ea"/>
            <a:cs typeface="+mn-cs"/>
          </a:endParaRPr>
        </a:p>
        <a:p>
          <a:pPr marL="0" marR="0" indent="0" algn="l" defTabSz="914400" rtl="0" eaLnBrk="1" fontAlgn="auto" latinLnBrk="0" hangingPunct="1">
            <a:lnSpc>
              <a:spcPts val="1300"/>
            </a:lnSpc>
            <a:spcBef>
              <a:spcPts val="0"/>
            </a:spcBef>
            <a:spcAft>
              <a:spcPts val="0"/>
            </a:spcAft>
            <a:buClrTx/>
            <a:buSzTx/>
            <a:buFontTx/>
            <a:buNone/>
            <a:tabLst/>
            <a:defRPr sz="1000"/>
          </a:pPr>
          <a:r>
            <a:rPr lang="ja-JP" altLang="en-US" sz="1100" b="0" i="0">
              <a:latin typeface="+mj-ea"/>
              <a:ea typeface="+mj-ea"/>
              <a:cs typeface="+mn-cs"/>
            </a:rPr>
            <a:t>　　　　　</a:t>
          </a:r>
          <a:r>
            <a:rPr lang="ja-JP" altLang="ja-JP" sz="1100" b="0" i="0">
              <a:latin typeface="+mj-ea"/>
              <a:ea typeface="+mj-ea"/>
              <a:cs typeface="+mn-cs"/>
            </a:rPr>
            <a:t>複数のケースは入力不可</a:t>
          </a:r>
          <a:endParaRPr lang="en-US" altLang="ja-JP" sz="1100" b="0" i="0">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baseline="0">
              <a:latin typeface="+mj-ea"/>
              <a:ea typeface="+mj-ea"/>
              <a:cs typeface="+mn-cs"/>
            </a:rPr>
            <a:t>　　　　　未設定の場合、ケース全体を対象となる。　</a:t>
          </a:r>
          <a:endParaRPr lang="en-US" altLang="ja-JP" sz="1100" b="0" i="0" baseline="0">
            <a:latin typeface="+mj-ea"/>
            <a:ea typeface="+mj-ea"/>
            <a:cs typeface="+mn-cs"/>
          </a:endParaRPr>
        </a:p>
        <a:p>
          <a:pPr marL="0" marR="0" indent="0" algn="l" defTabSz="914400" rtl="0" eaLnBrk="1" fontAlgn="auto" latinLnBrk="0" hangingPunct="1">
            <a:lnSpc>
              <a:spcPts val="1300"/>
            </a:lnSpc>
            <a:spcBef>
              <a:spcPts val="0"/>
            </a:spcBef>
            <a:spcAft>
              <a:spcPts val="0"/>
            </a:spcAft>
            <a:buClrTx/>
            <a:buSzTx/>
            <a:buFontTx/>
            <a:buNone/>
            <a:tabLst/>
            <a:defRPr sz="1000"/>
          </a:pPr>
          <a:endParaRPr lang="en-US" altLang="ja-JP" sz="1100" b="0" i="0" u="none" strike="noStrike">
            <a:latin typeface="+mj-ea"/>
            <a:ea typeface="+mj-ea"/>
            <a:cs typeface="+mn-cs"/>
          </a:endParaRPr>
        </a:p>
        <a:p>
          <a:pPr algn="l" rtl="0">
            <a:lnSpc>
              <a:spcPts val="1200"/>
            </a:lnSpc>
            <a:defRPr sz="1000"/>
          </a:pPr>
          <a:r>
            <a:rPr lang="ja-JP" altLang="en-US" sz="1100" b="1" i="0" u="none" strike="noStrike">
              <a:latin typeface="+mj-ea"/>
              <a:ea typeface="+mj-ea"/>
              <a:cs typeface="+mn-cs"/>
            </a:rPr>
            <a:t>　　③　</a:t>
          </a:r>
          <a:r>
            <a:rPr lang="en-US" altLang="ja-JP" sz="1100" b="1" i="0" u="none" strike="noStrike">
              <a:latin typeface="+mj-ea"/>
              <a:ea typeface="+mj-ea"/>
              <a:cs typeface="+mn-cs"/>
            </a:rPr>
            <a:t>CaseStartCol</a:t>
          </a:r>
          <a:endParaRPr lang="en-US" altLang="ja-JP" sz="1100" b="0" i="0" u="none" strike="noStrike">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ja-JP" altLang="ja-JP" sz="1100" b="0" i="0">
              <a:latin typeface="+mj-ea"/>
              <a:ea typeface="+mj-ea"/>
              <a:cs typeface="+mn-cs"/>
            </a:rPr>
            <a:t>テストデータ</a:t>
          </a:r>
          <a:r>
            <a:rPr lang="ja-JP" altLang="en-US" sz="1100" b="0" i="0">
              <a:latin typeface="+mj-ea"/>
              <a:ea typeface="+mj-ea"/>
              <a:cs typeface="+mn-cs"/>
            </a:rPr>
            <a:t>が</a:t>
          </a:r>
          <a:r>
            <a:rPr lang="ja-JP" altLang="en-US" sz="1100" b="0" i="0" u="none" strike="noStrike">
              <a:latin typeface="+mj-ea"/>
              <a:ea typeface="+mj-ea"/>
              <a:cs typeface="+mn-cs"/>
            </a:rPr>
            <a:t>どの列から設定するの</a:t>
          </a:r>
          <a:r>
            <a:rPr lang="ja-JP" altLang="en-US" sz="1100" b="0" i="0">
              <a:latin typeface="+mj-ea"/>
              <a:ea typeface="+mj-ea"/>
              <a:cs typeface="+mn-cs"/>
            </a:rPr>
            <a:t>を表す。</a:t>
          </a:r>
          <a:r>
            <a:rPr lang="ja-JP" altLang="ja-JP" sz="1100" b="0" i="0">
              <a:latin typeface="+mj-ea"/>
              <a:ea typeface="+mj-ea"/>
              <a:cs typeface="+mn-cs"/>
            </a:rPr>
            <a:t>（必須）</a:t>
          </a:r>
          <a:endParaRPr lang="en-US" altLang="ja-JP" sz="1100" b="0" i="0" u="none" strike="noStrike">
            <a:latin typeface="+mj-ea"/>
            <a:ea typeface="+mj-ea"/>
            <a:cs typeface="+mn-cs"/>
          </a:endParaRPr>
        </a:p>
        <a:p>
          <a:pPr algn="l" rtl="0">
            <a:lnSpc>
              <a:spcPts val="1300"/>
            </a:lnSpc>
            <a:defRPr sz="1000"/>
          </a:pPr>
          <a:r>
            <a:rPr lang="ja-JP" altLang="en-US" sz="1100" b="0" i="0" baseline="0">
              <a:latin typeface="+mj-ea"/>
              <a:ea typeface="+mj-ea"/>
              <a:cs typeface="+mn-cs"/>
            </a:rPr>
            <a:t>　　　　</a:t>
          </a:r>
          <a:r>
            <a:rPr lang="ja-JP" altLang="ja-JP" sz="1100" b="0" i="0" baseline="0">
              <a:latin typeface="+mj-ea"/>
              <a:ea typeface="+mj-ea"/>
              <a:cs typeface="+mn-cs"/>
            </a:rPr>
            <a:t>■例えば、</a:t>
          </a:r>
          <a:r>
            <a:rPr lang="en-US" altLang="ja-JP" sz="1100" b="0" i="0" u="none" strike="noStrike">
              <a:latin typeface="+mj-ea"/>
              <a:ea typeface="+mj-ea"/>
              <a:cs typeface="+mn-cs"/>
            </a:rPr>
            <a:t>CaseNo</a:t>
          </a:r>
          <a:r>
            <a:rPr lang="ja-JP" altLang="en-US" sz="1100" b="0" i="0" u="none" strike="noStrike">
              <a:latin typeface="+mj-ea"/>
              <a:ea typeface="+mj-ea"/>
              <a:cs typeface="+mn-cs"/>
            </a:rPr>
            <a:t>：</a:t>
          </a:r>
          <a:r>
            <a:rPr lang="en-US" altLang="ja-JP" sz="1100" b="0" i="0" u="none" strike="noStrike">
              <a:latin typeface="+mj-ea"/>
              <a:ea typeface="+mj-ea"/>
              <a:cs typeface="+mn-cs"/>
            </a:rPr>
            <a:t>ID0003</a:t>
          </a:r>
          <a:r>
            <a:rPr lang="ja-JP" altLang="en-US" sz="1100" b="0" i="0" u="none" strike="noStrike">
              <a:latin typeface="+mj-ea"/>
              <a:ea typeface="+mj-ea"/>
              <a:cs typeface="+mn-cs"/>
            </a:rPr>
            <a:t>、</a:t>
          </a:r>
          <a:r>
            <a:rPr lang="en-US" altLang="ja-JP" sz="1100" b="0" i="0" u="none" strike="noStrike">
              <a:latin typeface="+mj-ea"/>
              <a:ea typeface="+mj-ea"/>
              <a:cs typeface="+mn-cs"/>
            </a:rPr>
            <a:t>CaseStartCol</a:t>
          </a:r>
          <a:r>
            <a:rPr lang="ja-JP" altLang="en-US" sz="1100" b="0" i="0" u="none" strike="noStrike">
              <a:latin typeface="+mj-ea"/>
              <a:ea typeface="+mj-ea"/>
              <a:cs typeface="+mn-cs"/>
            </a:rPr>
            <a:t>：</a:t>
          </a:r>
          <a:r>
            <a:rPr lang="en-US" altLang="ja-JP" sz="1100" b="0" i="0" u="none" strike="noStrike">
              <a:latin typeface="+mj-ea"/>
              <a:ea typeface="+mj-ea"/>
              <a:cs typeface="+mn-cs"/>
            </a:rPr>
            <a:t>AD</a:t>
          </a:r>
        </a:p>
        <a:p>
          <a:pPr algn="l" rtl="0">
            <a:lnSpc>
              <a:spcPts val="1200"/>
            </a:lnSpc>
            <a:defRPr sz="1000"/>
          </a:pPr>
          <a:r>
            <a:rPr lang="ja-JP" altLang="en-US" sz="1100" b="0" i="0" u="none" strike="noStrike">
              <a:latin typeface="+mj-ea"/>
              <a:ea typeface="+mj-ea"/>
              <a:cs typeface="+mn-cs"/>
            </a:rPr>
            <a:t>　　　　　　　　　　意味：列</a:t>
          </a:r>
          <a:r>
            <a:rPr lang="en-US" altLang="ja-JP" sz="1100" b="0" i="0" u="none" strike="noStrike">
              <a:latin typeface="+mj-ea"/>
              <a:ea typeface="+mj-ea"/>
              <a:cs typeface="+mn-cs"/>
            </a:rPr>
            <a:t>AD</a:t>
          </a:r>
          <a:r>
            <a:rPr lang="ja-JP" altLang="en-US" sz="1100" b="0" i="0" u="none" strike="noStrike">
              <a:latin typeface="+mj-ea"/>
              <a:ea typeface="+mj-ea"/>
              <a:cs typeface="+mn-cs"/>
            </a:rPr>
            <a:t>から</a:t>
          </a:r>
          <a:r>
            <a:rPr lang="en-US" altLang="ja-JP" sz="1100" b="0" i="0" u="none" strike="noStrike">
              <a:latin typeface="+mj-ea"/>
              <a:ea typeface="+mj-ea"/>
              <a:cs typeface="+mn-cs"/>
            </a:rPr>
            <a:t>CaseNo</a:t>
          </a:r>
          <a:r>
            <a:rPr lang="ja-JP" altLang="en-US" sz="1100" b="0" i="0" u="none" strike="noStrike">
              <a:latin typeface="+mj-ea"/>
              <a:ea typeface="+mj-ea"/>
              <a:cs typeface="+mn-cs"/>
            </a:rPr>
            <a:t>を探し，</a:t>
          </a:r>
          <a:r>
            <a:rPr lang="en-US" altLang="ja-JP" sz="1100" b="0" i="0" u="none" strike="noStrike">
              <a:latin typeface="+mj-ea"/>
              <a:ea typeface="+mj-ea"/>
              <a:cs typeface="+mn-cs"/>
            </a:rPr>
            <a:t>ID0003</a:t>
          </a:r>
          <a:r>
            <a:rPr lang="ja-JP" altLang="en-US" sz="1100" b="0" i="0" u="none" strike="noStrike">
              <a:latin typeface="+mj-ea"/>
              <a:ea typeface="+mj-ea"/>
              <a:cs typeface="+mn-cs"/>
            </a:rPr>
            <a:t>のデータを生成する。</a:t>
          </a:r>
          <a:endParaRPr lang="en-US" altLang="ja-JP" sz="1100" b="0" i="0" u="none" strike="noStrike">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u="none" strike="noStrike">
              <a:latin typeface="+mj-ea"/>
              <a:ea typeface="+mj-ea"/>
              <a:cs typeface="+mn-cs"/>
            </a:rPr>
            <a:t>　　　　</a:t>
          </a:r>
          <a:r>
            <a:rPr lang="en-US" altLang="ja-JP" sz="1100" b="0" i="0">
              <a:latin typeface="+mj-ea"/>
              <a:ea typeface="+mj-ea"/>
              <a:cs typeface="+mn-cs"/>
            </a:rPr>
            <a:t>※</a:t>
          </a:r>
          <a:r>
            <a:rPr lang="ja-JP" altLang="en-US" sz="1100" b="0" i="0">
              <a:latin typeface="+mj-ea"/>
              <a:ea typeface="+mj-ea"/>
              <a:cs typeface="+mn-cs"/>
            </a:rPr>
            <a:t>一般的に、</a:t>
          </a:r>
          <a:r>
            <a:rPr lang="en-US" altLang="ja-JP" sz="1100" b="0" i="0">
              <a:latin typeface="+mj-ea"/>
              <a:ea typeface="+mj-ea"/>
              <a:cs typeface="+mn-cs"/>
            </a:rPr>
            <a:t>AD</a:t>
          </a:r>
          <a:r>
            <a:rPr lang="ja-JP" altLang="en-US" sz="1100" b="0" i="0">
              <a:latin typeface="+mj-ea"/>
              <a:ea typeface="+mj-ea"/>
              <a:cs typeface="+mn-cs"/>
            </a:rPr>
            <a:t>以降の列を設定する。</a:t>
          </a:r>
          <a:endParaRPr lang="en-US" altLang="ja-JP" sz="1100" b="0" i="0">
            <a:latin typeface="+mj-ea"/>
            <a:ea typeface="+mj-ea"/>
            <a:cs typeface="+mn-cs"/>
          </a:endParaRPr>
        </a:p>
        <a:p>
          <a:pPr algn="l" rtl="0">
            <a:lnSpc>
              <a:spcPts val="1300"/>
            </a:lnSpc>
            <a:defRPr sz="1000"/>
          </a:pPr>
          <a:endParaRPr lang="en-US" altLang="ja-JP" sz="1100" b="0" i="0" u="none" strike="noStrike">
            <a:latin typeface="+mj-ea"/>
            <a:ea typeface="+mj-ea"/>
            <a:cs typeface="+mn-cs"/>
          </a:endParaRPr>
        </a:p>
        <a:p>
          <a:pPr algn="l" rtl="0">
            <a:lnSpc>
              <a:spcPts val="1200"/>
            </a:lnSpc>
            <a:defRPr sz="1000"/>
          </a:pPr>
          <a:r>
            <a:rPr lang="ja-JP" altLang="en-US" sz="1100" b="1" i="0" u="none" strike="noStrike">
              <a:latin typeface="+mj-ea"/>
              <a:ea typeface="+mj-ea"/>
              <a:cs typeface="+mn-cs"/>
            </a:rPr>
            <a:t>　　④　</a:t>
          </a:r>
          <a:r>
            <a:rPr lang="en-US" altLang="ja-JP" sz="1100" b="1" i="0" u="none" strike="noStrike">
              <a:latin typeface="+mj-ea"/>
              <a:ea typeface="+mj-ea"/>
              <a:cs typeface="+mn-cs"/>
            </a:rPr>
            <a:t>Request file path</a:t>
          </a:r>
          <a:endParaRPr lang="en-US" altLang="ja-JP" sz="1100" b="0" i="0" u="none" strike="noStrike">
            <a:latin typeface="+mj-ea"/>
            <a:ea typeface="+mj-ea"/>
            <a:cs typeface="+mn-cs"/>
          </a:endParaRPr>
        </a:p>
        <a:p>
          <a:pPr algn="l" rtl="0">
            <a:lnSpc>
              <a:spcPts val="1300"/>
            </a:lnSpc>
            <a:defRPr sz="1000"/>
          </a:pPr>
          <a:r>
            <a:rPr lang="ja-JP" altLang="en-US" sz="1100" b="0" i="0" u="none" strike="noStrike">
              <a:latin typeface="+mj-ea"/>
              <a:ea typeface="+mj-ea"/>
              <a:cs typeface="+mn-cs"/>
            </a:rPr>
            <a:t>　　　　生成した要求電文・</a:t>
          </a:r>
          <a:r>
            <a:rPr lang="en-US" altLang="ja-JP" sz="1100" b="0" i="0" u="none" strike="noStrike">
              <a:latin typeface="+mj-ea"/>
              <a:ea typeface="+mj-ea"/>
              <a:cs typeface="+mn-cs"/>
            </a:rPr>
            <a:t>XML</a:t>
          </a:r>
          <a:r>
            <a:rPr lang="ja-JP" altLang="en-US" sz="1100" b="0" i="0">
              <a:latin typeface="+mj-ea"/>
              <a:ea typeface="+mj-ea"/>
              <a:cs typeface="+mn-cs"/>
            </a:rPr>
            <a:t>ファイルの</a:t>
          </a:r>
          <a:r>
            <a:rPr lang="ja-JP" altLang="en-US" sz="1100" b="0" i="0" u="none" strike="noStrike">
              <a:latin typeface="+mj-ea"/>
              <a:ea typeface="+mj-ea"/>
              <a:cs typeface="+mn-cs"/>
            </a:rPr>
            <a:t>格納場所。</a:t>
          </a:r>
          <a:r>
            <a:rPr lang="ja-JP" altLang="ja-JP" sz="1100" b="0" i="0">
              <a:latin typeface="+mj-ea"/>
              <a:ea typeface="+mj-ea"/>
              <a:cs typeface="+mn-cs"/>
            </a:rPr>
            <a:t>（非必須）　</a:t>
          </a:r>
          <a:endParaRPr lang="en-US" altLang="ja-JP" sz="1100" b="0" i="0">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en-US" altLang="ja-JP" sz="1100" b="0" i="0">
              <a:latin typeface="+mj-ea"/>
              <a:ea typeface="+mj-ea"/>
              <a:cs typeface="+mn-cs"/>
            </a:rPr>
            <a:t>※</a:t>
          </a:r>
          <a:r>
            <a:rPr lang="ja-JP" altLang="ja-JP" sz="1100" b="0" i="0" baseline="0">
              <a:latin typeface="+mj-ea"/>
              <a:ea typeface="+mj-ea"/>
              <a:cs typeface="+mn-cs"/>
            </a:rPr>
            <a:t>未設定の場合、</a:t>
          </a:r>
          <a:r>
            <a:rPr lang="ja-JP" altLang="en-US" sz="1100" b="0" i="0" baseline="0">
              <a:latin typeface="+mj-ea"/>
              <a:ea typeface="+mj-ea"/>
              <a:cs typeface="+mn-cs"/>
            </a:rPr>
            <a:t>このツールの</a:t>
          </a:r>
          <a:r>
            <a:rPr lang="ja-JP" altLang="ja-JP" sz="1100" b="0" i="0">
              <a:latin typeface="+mj-ea"/>
              <a:ea typeface="+mj-ea"/>
              <a:cs typeface="+mn-cs"/>
            </a:rPr>
            <a:t>格納場所</a:t>
          </a:r>
          <a:r>
            <a:rPr lang="ja-JP" altLang="en-US" sz="1100" b="0" i="0">
              <a:latin typeface="+mj-ea"/>
              <a:ea typeface="+mj-ea"/>
              <a:cs typeface="+mn-cs"/>
            </a:rPr>
            <a:t>と同じ。</a:t>
          </a:r>
          <a:endParaRPr lang="en-US" altLang="ja-JP" sz="1100" b="0" i="0">
            <a:latin typeface="+mj-ea"/>
            <a:ea typeface="+mj-ea"/>
            <a:cs typeface="+mn-cs"/>
          </a:endParaRPr>
        </a:p>
        <a:p>
          <a:pPr algn="l" rtl="0">
            <a:lnSpc>
              <a:spcPts val="1200"/>
            </a:lnSpc>
            <a:defRPr sz="1000"/>
          </a:pPr>
          <a:endParaRPr lang="en-US" altLang="ja-JP" sz="1100" b="0" i="0" u="none" strike="noStrike">
            <a:latin typeface="+mj-ea"/>
            <a:ea typeface="+mj-ea"/>
            <a:cs typeface="+mn-cs"/>
          </a:endParaRPr>
        </a:p>
        <a:p>
          <a:pPr algn="l" rtl="0">
            <a:lnSpc>
              <a:spcPts val="1300"/>
            </a:lnSpc>
            <a:defRPr sz="1000"/>
          </a:pPr>
          <a:r>
            <a:rPr lang="ja-JP" altLang="en-US" sz="1100" b="1" i="0" u="none" strike="noStrike">
              <a:latin typeface="+mj-ea"/>
              <a:ea typeface="+mj-ea"/>
              <a:cs typeface="+mn-cs"/>
            </a:rPr>
            <a:t>　　⑤　</a:t>
          </a:r>
          <a:r>
            <a:rPr lang="en-US" altLang="ja-JP" sz="1100" b="1" i="0" u="none" strike="noStrike">
              <a:latin typeface="+mj-ea"/>
              <a:ea typeface="+mj-ea"/>
              <a:cs typeface="+mn-cs"/>
            </a:rPr>
            <a:t>Response file path</a:t>
          </a:r>
          <a:endParaRPr lang="en-US" altLang="ja-JP" sz="1100" b="0" i="0" u="none" strike="noStrike">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ja-JP" altLang="ja-JP" sz="1100" b="0" i="0">
              <a:latin typeface="+mj-ea"/>
              <a:ea typeface="+mj-ea"/>
              <a:cs typeface="+mn-cs"/>
            </a:rPr>
            <a:t>解析</a:t>
          </a:r>
          <a:r>
            <a:rPr lang="ja-JP" altLang="en-US" sz="1100" b="0" i="0">
              <a:latin typeface="+mj-ea"/>
              <a:ea typeface="+mj-ea"/>
              <a:cs typeface="+mn-cs"/>
            </a:rPr>
            <a:t>したい</a:t>
          </a:r>
          <a:r>
            <a:rPr lang="ja-JP" altLang="en-US" sz="1100" b="0" i="0" u="none" strike="noStrike">
              <a:latin typeface="+mj-ea"/>
              <a:ea typeface="+mj-ea"/>
              <a:cs typeface="+mn-cs"/>
            </a:rPr>
            <a:t>応答</a:t>
          </a:r>
          <a:r>
            <a:rPr lang="ja-JP" altLang="ja-JP" sz="1100" b="0" i="0">
              <a:latin typeface="+mj-ea"/>
              <a:ea typeface="+mj-ea"/>
              <a:cs typeface="+mn-cs"/>
            </a:rPr>
            <a:t>電文</a:t>
          </a:r>
          <a:r>
            <a:rPr lang="ja-JP" altLang="en-US" sz="1100" b="0" i="0">
              <a:latin typeface="+mj-ea"/>
              <a:ea typeface="+mj-ea"/>
              <a:cs typeface="+mn-cs"/>
            </a:rPr>
            <a:t>の</a:t>
          </a:r>
          <a:r>
            <a:rPr lang="ja-JP" altLang="ja-JP" sz="1100" b="0" i="0">
              <a:latin typeface="+mj-ea"/>
              <a:ea typeface="+mj-ea"/>
              <a:cs typeface="+mn-cs"/>
            </a:rPr>
            <a:t>格納場所（</a:t>
          </a:r>
          <a:r>
            <a:rPr lang="en-US" sz="1000" b="0" i="0">
              <a:solidFill>
                <a:srgbClr val="FF0000"/>
              </a:solidFill>
              <a:latin typeface="+mn-lt"/>
              <a:ea typeface="+mn-ea"/>
              <a:cs typeface="+mn-cs"/>
            </a:rPr>
            <a:t>ResponseStream</a:t>
          </a:r>
          <a:r>
            <a:rPr lang="ja-JP" altLang="en-US" sz="1000" b="0" i="0">
              <a:solidFill>
                <a:srgbClr val="FF0000"/>
              </a:solidFill>
              <a:latin typeface="+mn-lt"/>
              <a:ea typeface="+mn-ea"/>
              <a:cs typeface="+mn-cs"/>
            </a:rPr>
            <a:t>は未入力時</a:t>
          </a:r>
          <a:r>
            <a:rPr lang="ja-JP" altLang="ja-JP" sz="1100" b="0" i="0">
              <a:solidFill>
                <a:srgbClr val="FF0000"/>
              </a:solidFill>
              <a:latin typeface="+mj-ea"/>
              <a:ea typeface="+mj-ea"/>
              <a:cs typeface="+mn-cs"/>
            </a:rPr>
            <a:t>必須</a:t>
          </a:r>
          <a:r>
            <a:rPr lang="ja-JP" altLang="ja-JP" sz="1100" b="0" i="0">
              <a:latin typeface="+mj-ea"/>
              <a:ea typeface="+mj-ea"/>
              <a:cs typeface="+mn-cs"/>
            </a:rPr>
            <a:t>）　</a:t>
          </a:r>
          <a:endParaRPr lang="en-US" altLang="ja-JP" sz="1100" b="0" i="0">
            <a:latin typeface="+mj-ea"/>
            <a:ea typeface="+mj-ea"/>
            <a:cs typeface="+mn-cs"/>
          </a:endParaRPr>
        </a:p>
        <a:p>
          <a:pPr marL="0" marR="0" indent="0" algn="l" defTabSz="914400" rtl="0" eaLnBrk="1" fontAlgn="auto" latinLnBrk="0" hangingPunct="1">
            <a:lnSpc>
              <a:spcPts val="1300"/>
            </a:lnSpc>
            <a:spcBef>
              <a:spcPts val="0"/>
            </a:spcBef>
            <a:spcAft>
              <a:spcPts val="0"/>
            </a:spcAft>
            <a:buClrTx/>
            <a:buSzTx/>
            <a:buFontTx/>
            <a:buNone/>
            <a:tabLst/>
            <a:defRPr sz="1000"/>
          </a:pPr>
          <a:r>
            <a:rPr lang="ja-JP" altLang="ja-JP" sz="1100" b="0" i="0">
              <a:latin typeface="+mj-ea"/>
              <a:ea typeface="+mj-ea"/>
              <a:cs typeface="+mn-cs"/>
            </a:rPr>
            <a:t>　　　　</a:t>
          </a:r>
          <a:endParaRPr lang="en-US" altLang="ja-JP" sz="1100" b="0" i="0">
            <a:latin typeface="+mj-ea"/>
            <a:ea typeface="+mj-ea"/>
            <a:cs typeface="+mn-cs"/>
          </a:endParaRPr>
        </a:p>
        <a:p>
          <a:pPr algn="l" rtl="0">
            <a:lnSpc>
              <a:spcPts val="1200"/>
            </a:lnSpc>
            <a:defRPr sz="1000"/>
          </a:pPr>
          <a:r>
            <a:rPr lang="ja-JP" altLang="en-US" sz="1100" b="1" i="0" u="none" strike="noStrike">
              <a:latin typeface="+mj-ea"/>
              <a:ea typeface="+mj-ea"/>
              <a:cs typeface="+mn-cs"/>
            </a:rPr>
            <a:t>　　⑥　</a:t>
          </a:r>
          <a:r>
            <a:rPr lang="en-US" altLang="ja-JP" sz="1100" b="1" i="0" u="none" strike="noStrike">
              <a:latin typeface="+mj-ea"/>
              <a:ea typeface="+mj-ea"/>
              <a:cs typeface="+mn-cs"/>
            </a:rPr>
            <a:t>ResponseStream</a:t>
          </a:r>
          <a:endParaRPr lang="en-US" altLang="ja-JP" sz="1100" b="0" i="0" u="none" strike="noStrike">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ja-JP" altLang="ja-JP" sz="1100" b="0" i="0">
              <a:latin typeface="+mj-ea"/>
              <a:ea typeface="+mj-ea"/>
              <a:cs typeface="+mn-cs"/>
            </a:rPr>
            <a:t>解析したい応答電文</a:t>
          </a:r>
          <a:r>
            <a:rPr lang="ja-JP" altLang="en-US" sz="1100" b="0" i="0">
              <a:latin typeface="+mj-ea"/>
              <a:ea typeface="+mj-ea"/>
              <a:cs typeface="+mn-cs"/>
            </a:rPr>
            <a:t>そのものである。</a:t>
          </a:r>
          <a:r>
            <a:rPr lang="ja-JP" altLang="ja-JP" sz="1100" b="0" i="0">
              <a:latin typeface="+mj-ea"/>
              <a:ea typeface="+mj-ea"/>
              <a:cs typeface="+mn-cs"/>
            </a:rPr>
            <a:t>（非必須）　</a:t>
          </a:r>
          <a:endParaRPr lang="en-US" altLang="ja-JP" sz="1100" b="0">
            <a:latin typeface="+mj-ea"/>
            <a:ea typeface="+mj-ea"/>
          </a:endParaRPr>
        </a:p>
        <a:p>
          <a:pPr algn="l" rtl="0">
            <a:lnSpc>
              <a:spcPts val="1300"/>
            </a:lnSpc>
            <a:defRPr sz="1000"/>
          </a:pPr>
          <a:r>
            <a:rPr lang="ja-JP" altLang="en-US" sz="1100" b="0" i="0" u="none" strike="noStrike">
              <a:latin typeface="+mj-ea"/>
              <a:ea typeface="+mj-ea"/>
              <a:cs typeface="+mn-cs"/>
            </a:rPr>
            <a:t>　　　　</a:t>
          </a:r>
          <a:r>
            <a:rPr lang="en-US" altLang="ja-JP" sz="1100" b="0" i="0" u="none" strike="noStrike">
              <a:latin typeface="+mj-ea"/>
              <a:ea typeface="+mj-ea"/>
              <a:cs typeface="+mn-cs"/>
            </a:rPr>
            <a:t>※</a:t>
          </a:r>
          <a:r>
            <a:rPr lang="ja-JP" altLang="en-US" sz="1100" b="0" i="0" u="none" strike="noStrike">
              <a:latin typeface="+mj-ea"/>
              <a:ea typeface="+mj-ea"/>
              <a:cs typeface="+mn-cs"/>
            </a:rPr>
            <a:t>⑤、⑥同時入力</a:t>
          </a:r>
          <a:r>
            <a:rPr lang="ja-JP" altLang="en-US" sz="1100" b="0" i="0" u="none" strike="noStrike">
              <a:solidFill>
                <a:srgbClr val="FF0000"/>
              </a:solidFill>
              <a:latin typeface="+mj-ea"/>
              <a:ea typeface="+mj-ea"/>
              <a:cs typeface="+mn-cs"/>
            </a:rPr>
            <a:t>したら、⑥は無効になる</a:t>
          </a:r>
          <a:r>
            <a:rPr lang="ja-JP" altLang="en-US" sz="1100" b="0" i="0" u="none" strike="noStrike">
              <a:latin typeface="+mj-ea"/>
              <a:ea typeface="+mj-ea"/>
              <a:cs typeface="+mn-cs"/>
            </a:rPr>
            <a:t>。</a:t>
          </a:r>
          <a:r>
            <a:rPr lang="ja-JP" altLang="en-US" sz="1100" b="0">
              <a:latin typeface="+mj-ea"/>
              <a:ea typeface="+mj-ea"/>
            </a:rPr>
            <a:t> </a:t>
          </a:r>
          <a:endParaRPr lang="en-US" altLang="ja-JP" sz="1100" b="0">
            <a:latin typeface="+mj-ea"/>
            <a:ea typeface="+mj-ea"/>
          </a:endParaRPr>
        </a:p>
        <a:p>
          <a:pPr algn="l" rtl="0">
            <a:lnSpc>
              <a:spcPts val="1200"/>
            </a:lnSpc>
            <a:defRPr sz="1000"/>
          </a:pPr>
          <a:endParaRPr lang="en-US" altLang="ja-JP" sz="1100" b="0" i="0" u="none" strike="noStrike" baseline="0">
            <a:solidFill>
              <a:srgbClr val="000000"/>
            </a:solidFill>
            <a:latin typeface="+mj-ea"/>
            <a:ea typeface="+mj-ea"/>
          </a:endParaRPr>
        </a:p>
        <a:p>
          <a:pPr algn="l" rtl="0">
            <a:lnSpc>
              <a:spcPts val="1200"/>
            </a:lnSpc>
            <a:defRPr sz="1000"/>
          </a:pPr>
          <a:r>
            <a:rPr lang="ja-JP" altLang="en-US" sz="1100" b="1" i="0" u="none" strike="noStrike" baseline="0">
              <a:solidFill>
                <a:srgbClr val="000000"/>
              </a:solidFill>
              <a:latin typeface="+mj-ea"/>
              <a:ea typeface="+mj-ea"/>
            </a:rPr>
            <a:t>３．下記の場合に応じて、各ボタンを押下する。</a:t>
          </a:r>
          <a:endParaRPr lang="en-US" altLang="ja-JP" sz="1100" b="1" i="0" u="none" strike="noStrike" baseline="0">
            <a:solidFill>
              <a:srgbClr val="000000"/>
            </a:solidFill>
            <a:latin typeface="+mj-ea"/>
            <a:ea typeface="+mj-ea"/>
          </a:endParaRPr>
        </a:p>
        <a:p>
          <a:pPr algn="l" rtl="0">
            <a:lnSpc>
              <a:spcPts val="1300"/>
            </a:lnSpc>
            <a:defRPr sz="1000"/>
          </a:pPr>
          <a:r>
            <a:rPr lang="ja-JP" altLang="en-US" sz="1100" b="1" i="0" u="none" strike="noStrike" baseline="0">
              <a:solidFill>
                <a:srgbClr val="000000"/>
              </a:solidFill>
              <a:latin typeface="+mj-ea"/>
              <a:ea typeface="+mj-ea"/>
            </a:rPr>
            <a:t>　　①要求電文を生成するなら　　⇒　　「</a:t>
          </a:r>
          <a:r>
            <a:rPr lang="en-US" altLang="ja-JP" sz="1100" b="1" i="0" u="none" strike="noStrike" baseline="0">
              <a:solidFill>
                <a:srgbClr val="000000"/>
              </a:solidFill>
              <a:latin typeface="+mj-ea"/>
              <a:ea typeface="+mj-ea"/>
            </a:rPr>
            <a:t>Generate-IN</a:t>
          </a:r>
          <a:r>
            <a:rPr lang="ja-JP" altLang="ja-JP" sz="1100" b="1" i="0" baseline="0">
              <a:latin typeface="+mj-ea"/>
              <a:ea typeface="+mj-ea"/>
              <a:cs typeface="+mn-cs"/>
            </a:rPr>
            <a:t>」ボタン</a:t>
          </a:r>
          <a:endParaRPr lang="en-US" altLang="ja-JP" sz="1100" b="1" i="0" baseline="0">
            <a:latin typeface="+mj-ea"/>
            <a:ea typeface="+mj-ea"/>
            <a:cs typeface="+mn-cs"/>
          </a:endParaRPr>
        </a:p>
        <a:p>
          <a:pPr algn="l" rtl="0">
            <a:lnSpc>
              <a:spcPts val="1200"/>
            </a:lnSpc>
            <a:defRPr sz="1000"/>
          </a:pPr>
          <a:r>
            <a:rPr lang="ja-JP" altLang="en-US" sz="1100" b="1" i="0" u="none" strike="noStrike" baseline="0">
              <a:solidFill>
                <a:srgbClr val="000000"/>
              </a:solidFill>
              <a:latin typeface="+mj-ea"/>
              <a:ea typeface="+mj-ea"/>
              <a:cs typeface="+mn-cs"/>
            </a:rPr>
            <a:t>　　　</a:t>
          </a:r>
          <a:r>
            <a:rPr lang="ja-JP" altLang="en-US" sz="1100" b="0" i="0" u="none" strike="noStrike" baseline="0">
              <a:solidFill>
                <a:srgbClr val="000000"/>
              </a:solidFill>
              <a:latin typeface="+mj-ea"/>
              <a:ea typeface="+mj-ea"/>
            </a:rPr>
            <a:t>　</a:t>
          </a:r>
          <a:r>
            <a:rPr lang="en-US" altLang="ja-JP" sz="1100" b="0" i="0" u="none" strike="noStrike" baseline="0">
              <a:solidFill>
                <a:srgbClr val="000000"/>
              </a:solidFill>
              <a:latin typeface="+mj-ea"/>
              <a:ea typeface="+mj-ea"/>
            </a:rPr>
            <a:t>(1)</a:t>
          </a:r>
          <a:r>
            <a:rPr lang="ja-JP" altLang="en-US" sz="1100" b="0" i="0" u="none" strike="noStrike" baseline="0">
              <a:solidFill>
                <a:srgbClr val="000000"/>
              </a:solidFill>
              <a:latin typeface="+mj-ea"/>
              <a:ea typeface="+mj-ea"/>
            </a:rPr>
            <a:t>　一件生成</a:t>
          </a:r>
          <a:r>
            <a:rPr lang="ja-JP" altLang="ja-JP" sz="1100" b="0" i="0" baseline="0">
              <a:latin typeface="+mj-ea"/>
              <a:ea typeface="+mj-ea"/>
              <a:cs typeface="+mn-cs"/>
            </a:rPr>
            <a:t>（</a:t>
          </a:r>
          <a:r>
            <a:rPr lang="en-US" altLang="ja-JP" sz="1100" b="0" i="0" baseline="0">
              <a:latin typeface="+mj-ea"/>
              <a:ea typeface="+mj-ea"/>
              <a:cs typeface="+mn-cs"/>
            </a:rPr>
            <a:t>CaseNo</a:t>
          </a:r>
          <a:r>
            <a:rPr lang="ja-JP" altLang="en-US" sz="1100" b="0" i="0" baseline="0">
              <a:latin typeface="+mj-ea"/>
              <a:ea typeface="+mj-ea"/>
              <a:cs typeface="+mn-cs"/>
            </a:rPr>
            <a:t>を</a:t>
          </a:r>
          <a:r>
            <a:rPr lang="ja-JP" altLang="ja-JP" sz="1100" b="0" i="0" baseline="0">
              <a:latin typeface="+mj-ea"/>
              <a:ea typeface="+mj-ea"/>
              <a:cs typeface="+mn-cs"/>
            </a:rPr>
            <a:t>設定</a:t>
          </a:r>
          <a:r>
            <a:rPr lang="ja-JP" altLang="en-US" sz="1100" b="0" i="0" baseline="0">
              <a:latin typeface="+mj-ea"/>
              <a:ea typeface="+mj-ea"/>
              <a:cs typeface="+mn-cs"/>
            </a:rPr>
            <a:t>する</a:t>
          </a:r>
          <a:r>
            <a:rPr lang="ja-JP" altLang="ja-JP" sz="1100" b="0" i="0" baseline="0">
              <a:latin typeface="+mj-ea"/>
              <a:ea typeface="+mj-ea"/>
              <a:cs typeface="+mn-cs"/>
            </a:rPr>
            <a:t>）</a:t>
          </a:r>
          <a:r>
            <a:rPr lang="ja-JP" altLang="en-US" sz="1100" b="0" i="0" u="none" strike="noStrike" baseline="0">
              <a:solidFill>
                <a:srgbClr val="000000"/>
              </a:solidFill>
              <a:latin typeface="+mj-ea"/>
              <a:ea typeface="+mj-ea"/>
            </a:rPr>
            <a:t>									</a:t>
          </a:r>
        </a:p>
        <a:p>
          <a:pPr algn="l" rtl="0">
            <a:lnSpc>
              <a:spcPts val="1300"/>
            </a:lnSpc>
            <a:defRPr sz="1000"/>
          </a:pPr>
          <a:r>
            <a:rPr lang="ja-JP" altLang="en-US" sz="1100" b="0" i="0" u="none" strike="noStrike" baseline="0">
              <a:solidFill>
                <a:srgbClr val="000000"/>
              </a:solidFill>
              <a:latin typeface="+mj-ea"/>
              <a:ea typeface="+mj-ea"/>
            </a:rPr>
            <a:t>　　　　　　　例：</a:t>
          </a:r>
          <a:r>
            <a:rPr lang="en-US" altLang="ja-JP" sz="1100" b="0" i="0" u="none" strike="noStrike" baseline="0">
              <a:solidFill>
                <a:srgbClr val="000000"/>
              </a:solidFill>
              <a:latin typeface="+mj-ea"/>
              <a:ea typeface="+mj-ea"/>
            </a:rPr>
            <a:t>【</a:t>
          </a:r>
          <a:r>
            <a:rPr lang="ja-JP" altLang="en-US" sz="1100" b="0" i="0" u="none" strike="noStrike" baseline="0">
              <a:solidFill>
                <a:srgbClr val="000000"/>
              </a:solidFill>
              <a:latin typeface="+mj-ea"/>
              <a:ea typeface="+mj-ea"/>
            </a:rPr>
            <a:t>項目設定</a:t>
          </a:r>
          <a:r>
            <a:rPr lang="en-US" altLang="ja-JP" sz="1100" b="0" i="0" baseline="0">
              <a:latin typeface="+mj-ea"/>
              <a:ea typeface="+mj-ea"/>
              <a:cs typeface="+mn-cs"/>
            </a:rPr>
            <a:t>】</a:t>
          </a:r>
        </a:p>
        <a:p>
          <a:pPr algn="l" rtl="0">
            <a:lnSpc>
              <a:spcPts val="1200"/>
            </a:lnSpc>
            <a:defRPr sz="1000"/>
          </a:pPr>
          <a:r>
            <a:rPr lang="ja-JP" altLang="en-US" sz="1100" b="0" i="0" u="none" strike="noStrike" baseline="0">
              <a:solidFill>
                <a:srgbClr val="000000"/>
              </a:solidFill>
              <a:latin typeface="+mj-ea"/>
              <a:ea typeface="+mj-ea"/>
              <a:cs typeface="+mn-cs"/>
            </a:rPr>
            <a:t>　　　　　　　　　　・</a:t>
          </a:r>
          <a:r>
            <a:rPr lang="en-US" altLang="ja-JP" sz="1100" b="0" i="0" u="none" strike="noStrike" baseline="0">
              <a:solidFill>
                <a:srgbClr val="000000"/>
              </a:solidFill>
              <a:latin typeface="+mj-ea"/>
              <a:ea typeface="+mj-ea"/>
            </a:rPr>
            <a:t>APISheetName</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B006 </a:t>
          </a:r>
        </a:p>
        <a:p>
          <a:pPr algn="l" rtl="0">
            <a:lnSpc>
              <a:spcPts val="1200"/>
            </a:lnSpc>
            <a:defRPr sz="1000"/>
          </a:pPr>
          <a:r>
            <a:rPr lang="ja-JP" altLang="en-US" sz="1100" b="0" i="0" u="none" strike="noStrike" baseline="0">
              <a:solidFill>
                <a:srgbClr val="000000"/>
              </a:solidFill>
              <a:latin typeface="+mj-ea"/>
              <a:ea typeface="+mj-ea"/>
            </a:rPr>
            <a:t>　　　　　　　　　　</a:t>
          </a:r>
          <a:r>
            <a:rPr lang="ja-JP" altLang="ja-JP" sz="1100" b="0" i="0" baseline="0">
              <a:latin typeface="+mj-ea"/>
              <a:ea typeface="+mj-ea"/>
              <a:cs typeface="+mn-cs"/>
            </a:rPr>
            <a:t>・</a:t>
          </a:r>
          <a:r>
            <a:rPr lang="en-US" altLang="ja-JP" sz="1100" b="0" i="0" u="none" strike="noStrike" baseline="0">
              <a:solidFill>
                <a:srgbClr val="000000"/>
              </a:solidFill>
              <a:latin typeface="+mj-ea"/>
              <a:ea typeface="+mj-ea"/>
            </a:rPr>
            <a:t>CaseNo</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ID0003 </a:t>
          </a:r>
        </a:p>
        <a:p>
          <a:pPr algn="l" rtl="0">
            <a:defRPr sz="1000"/>
          </a:pPr>
          <a:r>
            <a:rPr lang="ja-JP" altLang="en-US" sz="1100" b="0" i="0" u="none" strike="noStrike" baseline="0">
              <a:solidFill>
                <a:srgbClr val="000000"/>
              </a:solidFill>
              <a:latin typeface="+mj-ea"/>
              <a:ea typeface="+mj-ea"/>
            </a:rPr>
            <a:t>　　　　　　　　　　</a:t>
          </a:r>
          <a:r>
            <a:rPr lang="ja-JP" altLang="ja-JP" sz="1100" b="0" i="0" baseline="0">
              <a:latin typeface="+mj-ea"/>
              <a:ea typeface="+mj-ea"/>
              <a:cs typeface="+mn-cs"/>
            </a:rPr>
            <a:t>・</a:t>
          </a:r>
          <a:r>
            <a:rPr lang="en-US" altLang="ja-JP" sz="1100" b="0" i="0" u="none" strike="noStrike" baseline="0">
              <a:solidFill>
                <a:srgbClr val="000000"/>
              </a:solidFill>
              <a:latin typeface="+mj-ea"/>
              <a:ea typeface="+mj-ea"/>
            </a:rPr>
            <a:t>CaseStartCol</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AD  </a:t>
          </a:r>
        </a:p>
        <a:p>
          <a:pPr algn="l" rtl="0">
            <a:lnSpc>
              <a:spcPts val="1200"/>
            </a:lnSpc>
            <a:defRPr sz="1000"/>
          </a:pPr>
          <a:r>
            <a:rPr lang="ja-JP" altLang="en-US" sz="1100" b="0" i="0" u="none" strike="noStrike" baseline="0">
              <a:solidFill>
                <a:srgbClr val="000000"/>
              </a:solidFill>
              <a:latin typeface="+mj-ea"/>
              <a:ea typeface="+mj-ea"/>
            </a:rPr>
            <a:t>　　　　　　　　　　</a:t>
          </a:r>
          <a:r>
            <a:rPr lang="ja-JP" altLang="ja-JP" sz="1100" b="0" i="0" baseline="0">
              <a:latin typeface="+mj-ea"/>
              <a:ea typeface="+mj-ea"/>
              <a:cs typeface="+mn-cs"/>
            </a:rPr>
            <a:t>・</a:t>
          </a:r>
          <a:r>
            <a:rPr lang="en-US" altLang="ja-JP" sz="1100" b="0" i="0" u="none" strike="noStrike" baseline="0">
              <a:solidFill>
                <a:srgbClr val="000000"/>
              </a:solidFill>
              <a:latin typeface="+mj-ea"/>
              <a:ea typeface="+mj-ea"/>
            </a:rPr>
            <a:t>Request file path</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C:\sample</a:t>
          </a:r>
        </a:p>
        <a:p>
          <a:pPr algn="l" rtl="0">
            <a:lnSpc>
              <a:spcPts val="1300"/>
            </a:lnSpc>
            <a:defRPr sz="1000"/>
          </a:pPr>
          <a:r>
            <a:rPr lang="ja-JP" altLang="en-US" sz="1100" b="0" i="0" u="none" strike="noStrike" baseline="0">
              <a:solidFill>
                <a:srgbClr val="000000"/>
              </a:solidFill>
              <a:latin typeface="+mj-ea"/>
              <a:ea typeface="+mj-ea"/>
            </a:rPr>
            <a:t>　　　　　　　　　</a:t>
          </a:r>
          <a:r>
            <a:rPr lang="en-US" altLang="ja-JP" sz="1100" b="0" i="0" baseline="0">
              <a:latin typeface="+mj-ea"/>
              <a:ea typeface="+mj-ea"/>
              <a:cs typeface="+mn-cs"/>
            </a:rPr>
            <a:t>【</a:t>
          </a:r>
          <a:r>
            <a:rPr lang="ja-JP" altLang="en-US" sz="1100" b="0" i="0" baseline="0">
              <a:latin typeface="+mj-ea"/>
              <a:ea typeface="+mj-ea"/>
              <a:cs typeface="+mn-cs"/>
            </a:rPr>
            <a:t>実行結果</a:t>
          </a:r>
          <a:r>
            <a:rPr lang="en-US" altLang="ja-JP" sz="1100" b="0" i="0" baseline="0">
              <a:latin typeface="+mj-ea"/>
              <a:ea typeface="+mj-ea"/>
              <a:cs typeface="+mn-cs"/>
            </a:rPr>
            <a:t>】</a:t>
          </a:r>
          <a:endParaRPr lang="en-US" altLang="ja-JP" sz="1100" b="0" i="0" u="none" strike="noStrike" baseline="0">
            <a:solidFill>
              <a:srgbClr val="000000"/>
            </a:solidFill>
            <a:latin typeface="+mj-ea"/>
            <a:ea typeface="+mj-ea"/>
          </a:endParaRPr>
        </a:p>
        <a:p>
          <a:pPr algn="l" rtl="0">
            <a:lnSpc>
              <a:spcPts val="1200"/>
            </a:lnSpc>
            <a:defRPr sz="1000"/>
          </a:pPr>
          <a:r>
            <a:rPr lang="ja-JP" altLang="en-US" sz="1100" b="0" i="0" u="none" strike="noStrike" baseline="0">
              <a:solidFill>
                <a:srgbClr val="000000"/>
              </a:solidFill>
              <a:latin typeface="+mj-ea"/>
              <a:ea typeface="+mj-ea"/>
            </a:rPr>
            <a:t>　　　　　　　　　　・</a:t>
          </a:r>
          <a:r>
            <a:rPr lang="en-US" altLang="ja-JP" sz="1100" b="0" i="0" baseline="0">
              <a:latin typeface="+mj-ea"/>
              <a:ea typeface="+mj-ea"/>
              <a:cs typeface="+mn-cs"/>
            </a:rPr>
            <a:t>C:\sample</a:t>
          </a:r>
          <a:r>
            <a:rPr lang="ja-JP" altLang="en-US" sz="1100" b="0" i="0" baseline="0">
              <a:latin typeface="+mj-ea"/>
              <a:ea typeface="+mj-ea"/>
              <a:cs typeface="+mn-cs"/>
            </a:rPr>
            <a:t>配下に要求電文</a:t>
          </a:r>
          <a:r>
            <a:rPr lang="ja-JP" altLang="ja-JP" sz="1100" b="0" i="0" baseline="0">
              <a:latin typeface="+mj-ea"/>
              <a:ea typeface="+mj-ea"/>
              <a:cs typeface="+mn-cs"/>
            </a:rPr>
            <a:t>ファイル</a:t>
          </a:r>
          <a:r>
            <a:rPr lang="ja-JP" altLang="en-US" sz="1100" b="0" i="0" baseline="0">
              <a:latin typeface="+mj-ea"/>
              <a:ea typeface="+mj-ea"/>
              <a:cs typeface="+mn-cs"/>
            </a:rPr>
            <a:t>の</a:t>
          </a:r>
          <a:r>
            <a:rPr lang="en-US" altLang="ja-JP" sz="1100" b="0" i="0" u="none" strike="noStrike" baseline="0">
              <a:solidFill>
                <a:srgbClr val="000000"/>
              </a:solidFill>
              <a:latin typeface="+mj-ea"/>
              <a:ea typeface="+mj-ea"/>
            </a:rPr>
            <a:t>B006_in_ID0003.txt</a:t>
          </a:r>
          <a:r>
            <a:rPr lang="ja-JP" altLang="en-US" sz="1100" b="0" i="0" u="none" strike="noStrike" baseline="0">
              <a:solidFill>
                <a:srgbClr val="000000"/>
              </a:solidFill>
              <a:latin typeface="+mj-ea"/>
              <a:ea typeface="+mj-ea"/>
            </a:rPr>
            <a:t>を生成する。				</a:t>
          </a:r>
        </a:p>
        <a:p>
          <a:pPr algn="l" rtl="0">
            <a:lnSpc>
              <a:spcPts val="1200"/>
            </a:lnSpc>
            <a:defRPr sz="1000"/>
          </a:pPr>
          <a:r>
            <a:rPr lang="ja-JP" altLang="en-US" sz="1100" b="0" i="0" u="none" strike="noStrike" baseline="0">
              <a:solidFill>
                <a:srgbClr val="000000"/>
              </a:solidFill>
              <a:latin typeface="+mj-ea"/>
              <a:ea typeface="+mj-ea"/>
            </a:rPr>
            <a:t>							</a:t>
          </a:r>
        </a:p>
        <a:p>
          <a:pPr algn="l" rtl="0">
            <a:defRPr sz="1000"/>
          </a:pPr>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(2)</a:t>
          </a:r>
          <a:r>
            <a:rPr lang="ja-JP" altLang="ja-JP" sz="1100" b="0" i="0" baseline="0">
              <a:latin typeface="+mj-ea"/>
              <a:ea typeface="+mj-ea"/>
              <a:cs typeface="+mn-cs"/>
            </a:rPr>
            <a:t>　</a:t>
          </a:r>
          <a:r>
            <a:rPr lang="ja-JP" altLang="en-US" sz="1100" b="0" i="0" u="none" strike="noStrike" baseline="0">
              <a:solidFill>
                <a:srgbClr val="000000"/>
              </a:solidFill>
              <a:latin typeface="+mj-ea"/>
              <a:ea typeface="+mj-ea"/>
            </a:rPr>
            <a:t>一括生成（</a:t>
          </a:r>
          <a:r>
            <a:rPr lang="en-US" altLang="ja-JP" sz="1100" b="0" i="0" u="none" strike="noStrike" baseline="0">
              <a:solidFill>
                <a:srgbClr val="000000"/>
              </a:solidFill>
              <a:latin typeface="+mj-ea"/>
              <a:ea typeface="+mj-ea"/>
            </a:rPr>
            <a:t>CaseNo</a:t>
          </a:r>
          <a:r>
            <a:rPr lang="ja-JP" altLang="en-US" sz="1100" b="0" i="0" u="none" strike="noStrike" baseline="0">
              <a:solidFill>
                <a:srgbClr val="000000"/>
              </a:solidFill>
              <a:latin typeface="+mj-ea"/>
              <a:ea typeface="+mj-ea"/>
            </a:rPr>
            <a:t>設定しない）</a:t>
          </a:r>
          <a:endParaRPr lang="en-US" altLang="ja-JP" sz="1100" b="0" i="0" u="none" strike="noStrike" baseline="0">
            <a:solidFill>
              <a:srgbClr val="000000"/>
            </a:solidFill>
            <a:latin typeface="+mj-ea"/>
            <a:ea typeface="+mj-ea"/>
          </a:endParaRPr>
        </a:p>
        <a:p>
          <a:pPr rtl="0">
            <a:lnSpc>
              <a:spcPts val="1200"/>
            </a:lnSpc>
          </a:pPr>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endParaRPr>
        </a:p>
        <a:p>
          <a:pPr rtl="0"/>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ja-JP" altLang="en-US" sz="1100" b="0" i="0" baseline="0">
              <a:latin typeface="+mj-ea"/>
              <a:ea typeface="+mj-ea"/>
              <a:cs typeface="+mn-cs"/>
            </a:rPr>
            <a:t>（空白）</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endParaRPr>
        </a:p>
        <a:p>
          <a:pPr rtl="0">
            <a:lnSpc>
              <a:spcPts val="1300"/>
            </a:lnSpc>
          </a:pPr>
          <a:r>
            <a:rPr lang="ja-JP" altLang="ja-JP" sz="1100" b="0" i="0" baseline="0">
              <a:latin typeface="+mj-ea"/>
              <a:ea typeface="+mj-ea"/>
              <a:cs typeface="+mn-cs"/>
            </a:rPr>
            <a:t>　　　　　　　　　　・</a:t>
          </a:r>
          <a:r>
            <a:rPr lang="en-US" altLang="ja-JP" sz="1100" b="0" i="0" baseline="0">
              <a:latin typeface="+mj-ea"/>
              <a:ea typeface="+mj-ea"/>
              <a:cs typeface="+mn-cs"/>
            </a:rPr>
            <a:t>Request file path</a:t>
          </a:r>
          <a:r>
            <a:rPr lang="ja-JP" altLang="ja-JP" sz="1100" b="0" i="0" baseline="0">
              <a:latin typeface="+mj-ea"/>
              <a:ea typeface="+mj-ea"/>
              <a:cs typeface="+mn-cs"/>
            </a:rPr>
            <a:t>：</a:t>
          </a:r>
          <a:r>
            <a:rPr lang="en-US" altLang="ja-JP" sz="1100" b="0" i="0" baseline="0">
              <a:latin typeface="+mj-ea"/>
              <a:ea typeface="+mj-ea"/>
              <a:cs typeface="+mn-cs"/>
            </a:rPr>
            <a:t>C:\sample</a:t>
          </a:r>
          <a:endParaRPr lang="ja-JP" altLang="ja-JP" sz="1100">
            <a:latin typeface="+mj-ea"/>
            <a:ea typeface="+mj-ea"/>
          </a:endParaRPr>
        </a:p>
        <a:p>
          <a:pPr rtl="0" fontAlgn="base">
            <a:lnSpc>
              <a:spcPts val="12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p>
        <a:p>
          <a:pPr>
            <a:lnSpc>
              <a:spcPts val="1200"/>
            </a:lnSpc>
          </a:pPr>
          <a:r>
            <a:rPr lang="ja-JP" altLang="ja-JP" sz="1100" b="0" i="0" baseline="0">
              <a:latin typeface="+mj-ea"/>
              <a:ea typeface="+mj-ea"/>
              <a:cs typeface="+mn-cs"/>
            </a:rPr>
            <a:t>　　　　　　　　　　・</a:t>
          </a:r>
          <a:r>
            <a:rPr lang="en-US" altLang="ja-JP" sz="1100" b="0" i="0" baseline="0">
              <a:latin typeface="+mj-ea"/>
              <a:ea typeface="+mj-ea"/>
              <a:cs typeface="+mn-cs"/>
            </a:rPr>
            <a:t>C:\sample</a:t>
          </a:r>
          <a:r>
            <a:rPr lang="ja-JP" altLang="ja-JP" sz="1100" b="0" i="0" baseline="0">
              <a:latin typeface="+mj-ea"/>
              <a:ea typeface="+mj-ea"/>
              <a:cs typeface="+mn-cs"/>
            </a:rPr>
            <a:t>配下に要求電文ファイル</a:t>
          </a:r>
          <a:r>
            <a:rPr lang="ja-JP" altLang="en-US" sz="1100" b="0" i="0" baseline="0">
              <a:latin typeface="+mj-ea"/>
              <a:ea typeface="+mj-ea"/>
              <a:cs typeface="+mn-cs"/>
            </a:rPr>
            <a:t>全体（</a:t>
          </a:r>
          <a:r>
            <a:rPr lang="en-US" altLang="ja-JP" sz="1100" b="0" i="0" baseline="0">
              <a:latin typeface="+mj-ea"/>
              <a:ea typeface="+mj-ea"/>
              <a:cs typeface="+mn-cs"/>
            </a:rPr>
            <a:t>B006_in_ID0001.txt</a:t>
          </a:r>
          <a:r>
            <a:rPr lang="ja-JP" altLang="ja-JP" sz="1100" b="0" i="0" baseline="0">
              <a:latin typeface="+mj-ea"/>
              <a:ea typeface="+mj-ea"/>
              <a:cs typeface="+mn-cs"/>
            </a:rPr>
            <a:t>，</a:t>
          </a:r>
          <a:r>
            <a:rPr lang="en-US" altLang="ja-JP" sz="1100" b="0" i="0" baseline="0">
              <a:latin typeface="+mj-ea"/>
              <a:ea typeface="+mj-ea"/>
              <a:cs typeface="+mn-cs"/>
            </a:rPr>
            <a:t>B006_in_ID0002.txt</a:t>
          </a:r>
          <a:r>
            <a:rPr lang="ja-JP" altLang="ja-JP" sz="1100" b="0" i="0" baseline="0">
              <a:latin typeface="+mj-ea"/>
              <a:ea typeface="+mj-ea"/>
              <a:cs typeface="+mn-cs"/>
            </a:rPr>
            <a:t>，</a:t>
          </a:r>
          <a:r>
            <a:rPr lang="en-US" altLang="ja-JP" sz="1100" b="0" i="0" baseline="0">
              <a:latin typeface="+mj-ea"/>
              <a:ea typeface="+mj-ea"/>
              <a:cs typeface="+mn-cs"/>
            </a:rPr>
            <a:t>B006_in_ID0003.txt</a:t>
          </a:r>
          <a:r>
            <a:rPr lang="ja-JP" altLang="ja-JP" sz="1100" b="0" i="0" baseline="0">
              <a:latin typeface="+mj-ea"/>
              <a:ea typeface="+mj-ea"/>
              <a:cs typeface="+mn-cs"/>
            </a:rPr>
            <a:t>など</a:t>
          </a:r>
          <a:r>
            <a:rPr lang="ja-JP" altLang="en-US" sz="1100" b="0" i="0" baseline="0">
              <a:latin typeface="+mj-ea"/>
              <a:ea typeface="+mj-ea"/>
              <a:cs typeface="+mn-cs"/>
            </a:rPr>
            <a:t>）</a:t>
          </a:r>
          <a:r>
            <a:rPr lang="ja-JP" altLang="ja-JP" sz="1100" b="0" i="0" baseline="0">
              <a:latin typeface="+mj-ea"/>
              <a:ea typeface="+mj-ea"/>
              <a:cs typeface="+mn-cs"/>
            </a:rPr>
            <a:t>を生成する。</a:t>
          </a:r>
          <a:r>
            <a:rPr lang="ja-JP" altLang="en-US" sz="1100" b="0" i="0" u="none" strike="noStrike" baseline="0">
              <a:solidFill>
                <a:srgbClr val="000000"/>
              </a:solidFill>
              <a:latin typeface="+mj-ea"/>
              <a:ea typeface="+mj-ea"/>
            </a:rPr>
            <a:t>			</a:t>
          </a:r>
          <a:endParaRPr lang="en-US" altLang="ja-JP" sz="1100" b="1" i="0" u="none" strike="noStrike" baseline="0">
            <a:solidFill>
              <a:srgbClr val="000000"/>
            </a:solidFill>
            <a:latin typeface="+mj-ea"/>
            <a:ea typeface="+mj-ea"/>
          </a:endParaRPr>
        </a:p>
        <a:p>
          <a:pPr algn="l" rtl="0">
            <a:defRPr sz="1000"/>
          </a:pPr>
          <a:r>
            <a:rPr lang="ja-JP" altLang="en-US" sz="1100" b="1" i="0" u="none" strike="noStrike" baseline="0">
              <a:solidFill>
                <a:srgbClr val="000000"/>
              </a:solidFill>
              <a:latin typeface="+mj-ea"/>
              <a:ea typeface="+mj-ea"/>
            </a:rPr>
            <a:t>　　②応答内容を解析</a:t>
          </a:r>
          <a:r>
            <a:rPr lang="ja-JP" altLang="ja-JP" sz="1100" b="1" i="0" baseline="0">
              <a:latin typeface="+mj-ea"/>
              <a:ea typeface="+mj-ea"/>
              <a:cs typeface="+mn-cs"/>
            </a:rPr>
            <a:t>するなら　　⇒　　「</a:t>
          </a:r>
          <a:r>
            <a:rPr lang="en-US" altLang="ja-JP" sz="1100" b="1" i="0" baseline="0">
              <a:latin typeface="+mj-ea"/>
              <a:ea typeface="+mj-ea"/>
              <a:cs typeface="+mn-cs"/>
            </a:rPr>
            <a:t>Analyze-OUT</a:t>
          </a:r>
          <a:r>
            <a:rPr lang="ja-JP" altLang="ja-JP" sz="1100" b="1" i="0" baseline="0">
              <a:latin typeface="+mj-ea"/>
              <a:ea typeface="+mj-ea"/>
              <a:cs typeface="+mn-cs"/>
            </a:rPr>
            <a:t>」</a:t>
          </a:r>
          <a:r>
            <a:rPr lang="ja-JP" altLang="en-US" sz="1100" b="1" i="0" baseline="0">
              <a:latin typeface="+mj-ea"/>
              <a:ea typeface="+mj-ea"/>
              <a:cs typeface="+mn-cs"/>
            </a:rPr>
            <a:t>、「</a:t>
          </a:r>
          <a:r>
            <a:rPr lang="en-US" altLang="ja-JP" sz="1100" b="1" i="0" baseline="0">
              <a:latin typeface="+mj-ea"/>
              <a:ea typeface="+mj-ea"/>
              <a:cs typeface="+mn-cs"/>
            </a:rPr>
            <a:t>Analyze-OUTXML</a:t>
          </a:r>
          <a:r>
            <a:rPr lang="ja-JP" altLang="en-US" sz="1100" b="1" i="0" baseline="0">
              <a:latin typeface="+mj-ea"/>
              <a:ea typeface="+mj-ea"/>
              <a:cs typeface="+mn-cs"/>
            </a:rPr>
            <a:t>」</a:t>
          </a:r>
          <a:r>
            <a:rPr lang="ja-JP" altLang="ja-JP" sz="1100" b="1" i="0" baseline="0">
              <a:latin typeface="+mj-ea"/>
              <a:ea typeface="+mj-ea"/>
              <a:cs typeface="+mn-cs"/>
            </a:rPr>
            <a:t>ボタン</a:t>
          </a:r>
          <a:endParaRPr lang="en-US" altLang="ja-JP" sz="1100" b="1" i="0" baseline="0">
            <a:latin typeface="+mj-ea"/>
            <a:ea typeface="+mj-ea"/>
            <a:cs typeface="+mn-cs"/>
          </a:endParaRPr>
        </a:p>
        <a:p>
          <a:pPr algn="l" rtl="0">
            <a:lnSpc>
              <a:spcPts val="1200"/>
            </a:lnSpc>
            <a:defRPr sz="1000"/>
          </a:pPr>
          <a:r>
            <a:rPr lang="ja-JP" altLang="en-US" sz="1100" b="0" i="0" u="none" strike="noStrike" baseline="0">
              <a:solidFill>
                <a:srgbClr val="000000"/>
              </a:solidFill>
              <a:latin typeface="+mj-ea"/>
              <a:ea typeface="+mj-ea"/>
              <a:cs typeface="+mn-cs"/>
            </a:rPr>
            <a:t>　　　　</a:t>
          </a:r>
          <a:r>
            <a:rPr lang="en-US" altLang="ja-JP" sz="1100" b="0" i="0" u="none" strike="noStrike" baseline="0">
              <a:solidFill>
                <a:srgbClr val="000000"/>
              </a:solidFill>
              <a:latin typeface="+mj-ea"/>
              <a:ea typeface="+mj-ea"/>
              <a:cs typeface="+mn-cs"/>
            </a:rPr>
            <a:t>※</a:t>
          </a:r>
          <a:r>
            <a:rPr lang="ja-JP" altLang="ja-JP" sz="1100" b="0" i="0" baseline="0">
              <a:latin typeface="+mj-ea"/>
              <a:ea typeface="+mj-ea"/>
              <a:cs typeface="+mn-cs"/>
            </a:rPr>
            <a:t>解析結果を指定した</a:t>
          </a:r>
          <a:r>
            <a:rPr lang="en-US" altLang="ja-JP" sz="1100" b="0" i="0" baseline="0">
              <a:latin typeface="+mj-ea"/>
              <a:ea typeface="+mj-ea"/>
              <a:cs typeface="+mn-cs"/>
            </a:rPr>
            <a:t>【APISheetName】</a:t>
          </a:r>
          <a:r>
            <a:rPr lang="ja-JP" altLang="ja-JP" sz="1100" b="0" i="0" baseline="0">
              <a:latin typeface="+mj-ea"/>
              <a:ea typeface="+mj-ea"/>
              <a:cs typeface="+mn-cs"/>
            </a:rPr>
            <a:t>に保存する</a:t>
          </a:r>
          <a:r>
            <a:rPr lang="ja-JP" altLang="en-US" sz="1100" b="0" i="0" baseline="0">
              <a:latin typeface="+mj-ea"/>
              <a:ea typeface="+mj-ea"/>
              <a:cs typeface="+mn-cs"/>
            </a:rPr>
            <a:t>。</a:t>
          </a:r>
          <a:endParaRPr lang="en-US" altLang="ja-JP" sz="1100" b="0" i="0" baseline="0">
            <a:latin typeface="+mj-ea"/>
            <a:ea typeface="+mj-ea"/>
            <a:cs typeface="+mn-cs"/>
          </a:endParaRPr>
        </a:p>
        <a:p>
          <a:pPr rtl="0"/>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(1)</a:t>
          </a:r>
          <a:r>
            <a:rPr lang="ja-JP" altLang="ja-JP" sz="1100" b="0" i="0" baseline="0">
              <a:latin typeface="+mj-ea"/>
              <a:ea typeface="+mj-ea"/>
              <a:cs typeface="+mn-cs"/>
            </a:rPr>
            <a:t>　一件生成（</a:t>
          </a:r>
          <a:r>
            <a:rPr lang="en-US" altLang="ja-JP" sz="1100" b="0" i="0" baseline="0">
              <a:latin typeface="+mj-ea"/>
              <a:ea typeface="+mj-ea"/>
              <a:cs typeface="+mn-cs"/>
            </a:rPr>
            <a:t>CaseNo</a:t>
          </a:r>
          <a:r>
            <a:rPr lang="ja-JP" altLang="ja-JP" sz="1100" b="0" i="0" baseline="0">
              <a:latin typeface="+mj-ea"/>
              <a:ea typeface="+mj-ea"/>
              <a:cs typeface="+mn-cs"/>
            </a:rPr>
            <a:t>を設定する）							</a:t>
          </a:r>
          <a:endParaRPr lang="ja-JP" altLang="ja-JP" sz="1100">
            <a:latin typeface="+mj-ea"/>
            <a:ea typeface="+mj-ea"/>
          </a:endParaRPr>
        </a:p>
        <a:p>
          <a:pPr rtl="0">
            <a:lnSpc>
              <a:spcPts val="1200"/>
            </a:lnSpc>
          </a:pPr>
          <a:r>
            <a:rPr lang="ja-JP" altLang="ja-JP" sz="1100" b="0" i="0" baseline="0">
              <a:latin typeface="+mj-ea"/>
              <a:ea typeface="+mj-ea"/>
              <a:cs typeface="+mn-cs"/>
            </a:rPr>
            <a:t>　　　　　　　例</a:t>
          </a:r>
          <a:r>
            <a:rPr lang="ja-JP" altLang="en-US" sz="1100" b="0" i="0" baseline="0">
              <a:latin typeface="+mj-ea"/>
              <a:ea typeface="+mj-ea"/>
              <a:cs typeface="+mn-cs"/>
            </a:rPr>
            <a:t>１</a:t>
          </a:r>
          <a:r>
            <a:rPr lang="ja-JP" altLang="ja-JP" sz="1100" b="0" i="0" baseline="0">
              <a:latin typeface="+mj-ea"/>
              <a:ea typeface="+mj-ea"/>
              <a:cs typeface="+mn-cs"/>
            </a:rPr>
            <a:t>：</a:t>
          </a:r>
          <a:r>
            <a:rPr lang="ja-JP" altLang="en-US" sz="1100" b="0" i="0" baseline="0">
              <a:latin typeface="+mj-ea"/>
              <a:ea typeface="+mj-ea"/>
              <a:cs typeface="+mn-cs"/>
            </a:rPr>
            <a:t>ファイルから読込みのパターン</a:t>
          </a:r>
          <a:endParaRPr lang="en-US" altLang="ja-JP" sz="1100" b="0" i="0" baseline="0">
            <a:latin typeface="+mj-ea"/>
            <a:ea typeface="+mj-ea"/>
            <a:cs typeface="+mn-cs"/>
          </a:endParaRPr>
        </a:p>
        <a:p>
          <a:pPr rtl="0">
            <a:lnSpc>
              <a:spcPts val="1200"/>
            </a:lnSpc>
          </a:pPr>
          <a:r>
            <a:rPr lang="ja-JP" altLang="en-US"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endParaRPr>
        </a:p>
        <a:p>
          <a:pPr rtl="0"/>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en-US" altLang="ja-JP" sz="1100" b="0" i="0" baseline="0">
              <a:latin typeface="+mj-ea"/>
              <a:ea typeface="+mj-ea"/>
              <a:cs typeface="+mn-cs"/>
            </a:rPr>
            <a:t>ID0003 </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endParaRPr>
        </a:p>
        <a:p>
          <a:pPr rtl="0"/>
          <a:r>
            <a:rPr lang="ja-JP" altLang="ja-JP" sz="1100" b="0" i="0" baseline="0">
              <a:latin typeface="+mj-ea"/>
              <a:ea typeface="+mj-ea"/>
              <a:cs typeface="+mn-cs"/>
            </a:rPr>
            <a:t>　　　　　　　　　　・</a:t>
          </a:r>
          <a:r>
            <a:rPr lang="en-US" altLang="ja-JP" sz="1100" b="0" i="0" baseline="0">
              <a:latin typeface="+mj-ea"/>
              <a:ea typeface="+mj-ea"/>
              <a:cs typeface="+mn-cs"/>
            </a:rPr>
            <a:t>Response file path</a:t>
          </a:r>
          <a:r>
            <a:rPr lang="ja-JP" altLang="ja-JP" sz="1100" b="0" i="0" baseline="0">
              <a:latin typeface="+mj-ea"/>
              <a:ea typeface="+mj-ea"/>
              <a:cs typeface="+mn-cs"/>
            </a:rPr>
            <a:t>：</a:t>
          </a:r>
          <a:r>
            <a:rPr lang="en-US" altLang="ja-JP" sz="1100" b="0" i="0" baseline="0">
              <a:latin typeface="+mj-ea"/>
              <a:ea typeface="+mj-ea"/>
              <a:cs typeface="+mn-cs"/>
            </a:rPr>
            <a:t>C:\sample\B006_out_ID0003.txt</a:t>
          </a: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ResponseStream</a:t>
          </a:r>
          <a:r>
            <a:rPr lang="ja-JP" altLang="en-US" sz="1100" b="0" i="0" baseline="0">
              <a:latin typeface="+mj-ea"/>
              <a:ea typeface="+mj-ea"/>
              <a:cs typeface="+mn-cs"/>
            </a:rPr>
            <a:t>：（空白）</a:t>
          </a:r>
          <a:endParaRPr lang="ja-JP" altLang="ja-JP" sz="1100">
            <a:latin typeface="+mj-ea"/>
            <a:ea typeface="+mj-ea"/>
          </a:endParaRPr>
        </a:p>
        <a:p>
          <a:pPr rtl="0" fontAlgn="base">
            <a:lnSpc>
              <a:spcPts val="13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C:\sample\B006_out_ID0003.txt</a:t>
          </a:r>
          <a:r>
            <a:rPr lang="ja-JP" altLang="en-US" sz="1100" b="0" i="0" baseline="0">
              <a:latin typeface="+mj-ea"/>
              <a:ea typeface="+mj-ea"/>
              <a:cs typeface="+mn-cs"/>
            </a:rPr>
            <a:t>にある</a:t>
          </a:r>
          <a:r>
            <a:rPr lang="ja-JP" altLang="ja-JP" sz="1100" b="0" i="0" baseline="0">
              <a:latin typeface="+mj-ea"/>
              <a:ea typeface="+mj-ea"/>
              <a:cs typeface="+mn-cs"/>
            </a:rPr>
            <a:t>応答電文</a:t>
          </a:r>
          <a:r>
            <a:rPr lang="ja-JP" altLang="en-US" sz="1100" b="0" i="0" baseline="0">
              <a:latin typeface="+mj-ea"/>
              <a:ea typeface="+mj-ea"/>
              <a:cs typeface="+mn-cs"/>
            </a:rPr>
            <a:t>を読込み、</a:t>
          </a:r>
          <a:r>
            <a:rPr lang="ja-JP" altLang="ja-JP" sz="1100" b="0" i="0" baseline="0">
              <a:latin typeface="+mj-ea"/>
              <a:ea typeface="+mj-ea"/>
              <a:cs typeface="+mn-cs"/>
            </a:rPr>
            <a:t>解析</a:t>
          </a:r>
          <a:r>
            <a:rPr lang="ja-JP" altLang="en-US" sz="1100" b="0" i="0" baseline="0">
              <a:latin typeface="+mj-ea"/>
              <a:ea typeface="+mj-ea"/>
              <a:cs typeface="+mn-cs"/>
            </a:rPr>
            <a:t>した</a:t>
          </a:r>
          <a:r>
            <a:rPr lang="ja-JP" altLang="ja-JP" sz="1100" b="0" i="0" baseline="0">
              <a:latin typeface="+mj-ea"/>
              <a:ea typeface="+mj-ea"/>
              <a:cs typeface="+mn-cs"/>
            </a:rPr>
            <a:t>結果</a:t>
          </a:r>
          <a:r>
            <a:rPr lang="ja-JP" altLang="en-US" sz="1100" b="0" i="0" baseline="0">
              <a:latin typeface="+mj-ea"/>
              <a:ea typeface="+mj-ea"/>
              <a:cs typeface="+mn-cs"/>
            </a:rPr>
            <a:t>を</a:t>
          </a:r>
          <a:r>
            <a:rPr lang="ja-JP" altLang="ja-JP" sz="1100" b="0" i="0" baseline="0">
              <a:latin typeface="+mj-ea"/>
              <a:ea typeface="+mj-ea"/>
              <a:cs typeface="+mn-cs"/>
            </a:rPr>
            <a:t>シート</a:t>
          </a:r>
          <a:r>
            <a:rPr lang="en-US" altLang="ja-JP" sz="1100" b="0" i="0" baseline="0">
              <a:latin typeface="+mj-ea"/>
              <a:ea typeface="+mj-ea"/>
              <a:cs typeface="+mn-cs"/>
            </a:rPr>
            <a:t>B006</a:t>
          </a:r>
          <a:r>
            <a:rPr lang="ja-JP" altLang="en-US" sz="1100" b="0" i="0" baseline="0">
              <a:latin typeface="+mj-ea"/>
              <a:ea typeface="+mj-ea"/>
              <a:cs typeface="+mn-cs"/>
            </a:rPr>
            <a:t>の</a:t>
          </a:r>
          <a:r>
            <a:rPr lang="en-US" altLang="ja-JP" sz="1100" b="0" i="0" baseline="0">
              <a:latin typeface="+mj-ea"/>
              <a:ea typeface="+mj-ea"/>
              <a:cs typeface="+mn-cs"/>
            </a:rPr>
            <a:t>ID0003</a:t>
          </a:r>
          <a:r>
            <a:rPr lang="ja-JP" altLang="en-US" sz="1100" b="0" i="0" baseline="0">
              <a:latin typeface="+mj-ea"/>
              <a:ea typeface="+mj-ea"/>
              <a:cs typeface="+mn-cs"/>
            </a:rPr>
            <a:t>に相応する</a:t>
          </a:r>
          <a:r>
            <a:rPr lang="ja-JP" altLang="ja-JP" sz="1100" b="0" i="0" baseline="0">
              <a:latin typeface="+mj-ea"/>
              <a:ea typeface="+mj-ea"/>
              <a:cs typeface="+mn-cs"/>
            </a:rPr>
            <a:t>列に</a:t>
          </a:r>
          <a:r>
            <a:rPr lang="ja-JP" altLang="en-US" sz="1100" b="0" i="0" baseline="0">
              <a:latin typeface="+mj-ea"/>
              <a:ea typeface="+mj-ea"/>
              <a:cs typeface="+mn-cs"/>
            </a:rPr>
            <a:t>反映する</a:t>
          </a:r>
          <a:r>
            <a:rPr lang="ja-JP" altLang="ja-JP" sz="1100" b="0" i="0" baseline="0">
              <a:latin typeface="+mj-ea"/>
              <a:ea typeface="+mj-ea"/>
              <a:cs typeface="+mn-cs"/>
            </a:rPr>
            <a:t>。</a:t>
          </a:r>
          <a:endParaRPr lang="en-US" altLang="ja-JP" sz="1100" b="0" i="0" baseline="0">
            <a:latin typeface="+mj-ea"/>
            <a:ea typeface="+mj-ea"/>
            <a:cs typeface="+mn-cs"/>
          </a:endParaRPr>
        </a:p>
        <a:p>
          <a:pPr rtl="0">
            <a:lnSpc>
              <a:spcPts val="1200"/>
            </a:lnSpc>
          </a:pPr>
          <a:r>
            <a:rPr lang="ja-JP" altLang="ja-JP" sz="1100" b="0" i="0" baseline="0">
              <a:latin typeface="+mj-ea"/>
              <a:ea typeface="+mj-ea"/>
              <a:cs typeface="+mn-cs"/>
            </a:rPr>
            <a:t>　　　　　　　例</a:t>
          </a:r>
          <a:r>
            <a:rPr lang="ja-JP" altLang="en-US" sz="1100" b="0" i="0" baseline="0">
              <a:latin typeface="+mj-ea"/>
              <a:ea typeface="+mj-ea"/>
              <a:cs typeface="+mn-cs"/>
            </a:rPr>
            <a:t>２</a:t>
          </a:r>
          <a:r>
            <a:rPr lang="ja-JP" altLang="ja-JP" sz="1100" b="0" i="0" baseline="0">
              <a:latin typeface="+mj-ea"/>
              <a:ea typeface="+mj-ea"/>
              <a:cs typeface="+mn-cs"/>
            </a:rPr>
            <a:t>：</a:t>
          </a:r>
          <a:r>
            <a:rPr lang="ja-JP" altLang="en-US" sz="1100" b="0" i="0" baseline="0">
              <a:latin typeface="+mj-ea"/>
              <a:ea typeface="+mj-ea"/>
              <a:cs typeface="+mn-cs"/>
            </a:rPr>
            <a:t>直接解析</a:t>
          </a:r>
          <a:r>
            <a:rPr lang="ja-JP" altLang="ja-JP" sz="1100" b="0" i="0" baseline="0">
              <a:latin typeface="+mj-ea"/>
              <a:ea typeface="+mj-ea"/>
              <a:cs typeface="+mn-cs"/>
            </a:rPr>
            <a:t>のパターン</a:t>
          </a:r>
          <a:endParaRPr lang="en-US" altLang="ja-JP" sz="1100" b="0" i="0" baseline="0">
            <a:latin typeface="+mj-ea"/>
            <a:ea typeface="+mj-ea"/>
            <a:cs typeface="+mn-cs"/>
          </a:endParaRPr>
        </a:p>
        <a:p>
          <a:pPr rtl="0"/>
          <a:r>
            <a:rPr lang="ja-JP" altLang="en-US"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en-US" altLang="ja-JP" sz="1100" b="0" i="0" baseline="0">
              <a:latin typeface="+mj-ea"/>
              <a:ea typeface="+mj-ea"/>
              <a:cs typeface="+mn-cs"/>
            </a:rPr>
            <a:t>ID0003 </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Response file path</a:t>
          </a:r>
          <a:r>
            <a:rPr lang="ja-JP" altLang="ja-JP" sz="1100" b="0" i="0" baseline="0">
              <a:latin typeface="+mj-ea"/>
              <a:ea typeface="+mj-ea"/>
              <a:cs typeface="+mn-cs"/>
            </a:rPr>
            <a:t>：</a:t>
          </a:r>
          <a:r>
            <a:rPr lang="ja-JP" altLang="en-US" sz="1100" b="0" i="0" baseline="0">
              <a:latin typeface="+mj-ea"/>
              <a:ea typeface="+mj-ea"/>
              <a:cs typeface="+mn-cs"/>
            </a:rPr>
            <a:t>（空白）</a:t>
          </a:r>
          <a:endParaRPr lang="en-US" altLang="ja-JP" sz="1100" b="0" i="0" baseline="0">
            <a:latin typeface="+mj-ea"/>
            <a:ea typeface="+mj-ea"/>
            <a:cs typeface="+mn-cs"/>
          </a:endParaRPr>
        </a:p>
        <a:p>
          <a:pPr rtl="0">
            <a:lnSpc>
              <a:spcPts val="1300"/>
            </a:lnSpc>
          </a:pPr>
          <a:r>
            <a:rPr lang="ja-JP" altLang="en-US" sz="1100" b="0" i="0" baseline="0">
              <a:latin typeface="+mj-ea"/>
              <a:ea typeface="+mj-ea"/>
              <a:cs typeface="+mn-cs"/>
            </a:rPr>
            <a:t>　　　　　　　　　　</a:t>
          </a:r>
          <a:r>
            <a:rPr lang="ja-JP" altLang="ja-JP" sz="1100" b="0" i="0" baseline="0">
              <a:latin typeface="+mj-ea"/>
              <a:ea typeface="+mj-ea"/>
              <a:cs typeface="+mn-cs"/>
            </a:rPr>
            <a:t>・</a:t>
          </a:r>
          <a:r>
            <a:rPr lang="en-US" altLang="ja-JP" sz="1100" b="0" i="0" baseline="0">
              <a:latin typeface="+mj-ea"/>
              <a:ea typeface="+mj-ea"/>
              <a:cs typeface="+mn-cs"/>
            </a:rPr>
            <a:t>ResponseStream</a:t>
          </a:r>
          <a:r>
            <a:rPr lang="ja-JP" altLang="en-US" sz="1100" b="0" i="0" baseline="0">
              <a:latin typeface="+mj-ea"/>
              <a:ea typeface="+mj-ea"/>
              <a:cs typeface="+mn-cs"/>
            </a:rPr>
            <a:t>：</a:t>
          </a:r>
          <a:r>
            <a:rPr lang="ja-JP" altLang="ja-JP" sz="1100" b="0" i="0" baseline="0">
              <a:latin typeface="+mj-ea"/>
              <a:ea typeface="+mj-ea"/>
              <a:cs typeface="+mn-cs"/>
            </a:rPr>
            <a:t>応答</a:t>
          </a:r>
          <a:r>
            <a:rPr lang="ja-JP" altLang="en-US" sz="1100" b="0" i="0" baseline="0">
              <a:latin typeface="+mj-ea"/>
              <a:ea typeface="+mj-ea"/>
              <a:cs typeface="+mn-cs"/>
            </a:rPr>
            <a:t>電文</a:t>
          </a:r>
          <a:r>
            <a:rPr lang="ja-JP" altLang="ja-JP" sz="1100" b="0" i="0" baseline="0">
              <a:latin typeface="+mj-ea"/>
              <a:ea typeface="+mj-ea"/>
              <a:cs typeface="+mn-cs"/>
            </a:rPr>
            <a:t>そのもの</a:t>
          </a:r>
          <a:endParaRPr lang="ja-JP" altLang="ja-JP" sz="1100">
            <a:latin typeface="+mj-ea"/>
            <a:ea typeface="+mj-ea"/>
            <a:cs typeface="+mn-cs"/>
          </a:endParaRPr>
        </a:p>
        <a:p>
          <a:pPr rtl="0" fontAlgn="base">
            <a:lnSpc>
              <a:spcPts val="12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endParaRPr>
        </a:p>
        <a:p>
          <a:pPr rtl="0" fontAlgn="base">
            <a:lnSpc>
              <a:spcPts val="1200"/>
            </a:lnSpc>
          </a:pPr>
          <a:r>
            <a:rPr lang="ja-JP" altLang="ja-JP" sz="1100" b="0" i="0" baseline="0">
              <a:latin typeface="+mj-ea"/>
              <a:ea typeface="+mj-ea"/>
              <a:cs typeface="+mn-cs"/>
            </a:rPr>
            <a:t>　　　　　　　　　　・応答電文を解析した結果を、シート</a:t>
          </a:r>
          <a:r>
            <a:rPr lang="en-US" altLang="ja-JP" sz="1100" b="0" i="0" baseline="0">
              <a:latin typeface="+mj-ea"/>
              <a:ea typeface="+mj-ea"/>
              <a:cs typeface="+mn-cs"/>
            </a:rPr>
            <a:t>B006</a:t>
          </a:r>
          <a:r>
            <a:rPr lang="ja-JP" altLang="ja-JP" sz="1100" b="0" i="0" baseline="0">
              <a:latin typeface="+mj-ea"/>
              <a:ea typeface="+mj-ea"/>
              <a:cs typeface="+mn-cs"/>
            </a:rPr>
            <a:t>の</a:t>
          </a:r>
          <a:r>
            <a:rPr lang="en-US" altLang="ja-JP" sz="1100" b="0" i="0" baseline="0">
              <a:latin typeface="+mj-ea"/>
              <a:ea typeface="+mj-ea"/>
              <a:cs typeface="+mn-cs"/>
            </a:rPr>
            <a:t>ID0003</a:t>
          </a:r>
          <a:r>
            <a:rPr lang="ja-JP" altLang="ja-JP" sz="1100" b="0" i="0" baseline="0">
              <a:latin typeface="+mj-ea"/>
              <a:ea typeface="+mj-ea"/>
              <a:cs typeface="+mn-cs"/>
            </a:rPr>
            <a:t>が存在する列に反映する。				</a:t>
          </a:r>
          <a:endParaRPr lang="ja-JP" altLang="ja-JP" sz="1100">
            <a:latin typeface="+mj-ea"/>
            <a:ea typeface="+mj-ea"/>
          </a:endParaRPr>
        </a:p>
        <a:p>
          <a:pPr rtl="0"/>
          <a:r>
            <a:rPr lang="ja-JP" altLang="ja-JP" sz="1100" b="0" i="0" baseline="0">
              <a:latin typeface="+mj-ea"/>
              <a:ea typeface="+mj-ea"/>
              <a:cs typeface="+mn-cs"/>
            </a:rPr>
            <a:t>							</a:t>
          </a:r>
          <a:endParaRPr lang="ja-JP" altLang="ja-JP" sz="1100">
            <a:latin typeface="+mj-ea"/>
            <a:ea typeface="+mj-ea"/>
          </a:endParaRPr>
        </a:p>
        <a:p>
          <a:pPr rtl="0" fontAlgn="base">
            <a:lnSpc>
              <a:spcPts val="1200"/>
            </a:lnSpc>
          </a:pPr>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(2)</a:t>
          </a:r>
          <a:r>
            <a:rPr lang="ja-JP" altLang="ja-JP" sz="1100" b="0" i="0" baseline="0">
              <a:latin typeface="+mj-ea"/>
              <a:ea typeface="+mj-ea"/>
              <a:cs typeface="+mn-cs"/>
            </a:rPr>
            <a:t>　一括生成（</a:t>
          </a:r>
          <a:r>
            <a:rPr lang="en-US" altLang="ja-JP" sz="1100" b="0" i="0" baseline="0">
              <a:latin typeface="+mj-ea"/>
              <a:ea typeface="+mj-ea"/>
              <a:cs typeface="+mn-cs"/>
            </a:rPr>
            <a:t>CaseNo</a:t>
          </a:r>
          <a:r>
            <a:rPr lang="ja-JP" altLang="ja-JP" sz="1100" b="0" i="0" baseline="0">
              <a:latin typeface="+mj-ea"/>
              <a:ea typeface="+mj-ea"/>
              <a:cs typeface="+mn-cs"/>
            </a:rPr>
            <a:t>設定しない）</a:t>
          </a:r>
          <a:endParaRPr lang="en-US" altLang="ja-JP" sz="1100" b="0" i="0" baseline="0">
            <a:latin typeface="+mj-ea"/>
            <a:ea typeface="+mj-ea"/>
            <a:cs typeface="+mn-cs"/>
          </a:endParaRPr>
        </a:p>
        <a:p>
          <a:pPr rtl="0"/>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：（空白）</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Response file path</a:t>
          </a:r>
          <a:r>
            <a:rPr lang="ja-JP" altLang="ja-JP" sz="1100" b="0" i="0" baseline="0">
              <a:latin typeface="+mj-ea"/>
              <a:ea typeface="+mj-ea"/>
              <a:cs typeface="+mn-cs"/>
            </a:rPr>
            <a:t>：</a:t>
          </a:r>
          <a:r>
            <a:rPr lang="en-US" altLang="ja-JP" sz="1100" b="0" i="0" baseline="0">
              <a:latin typeface="+mj-ea"/>
              <a:ea typeface="+mj-ea"/>
              <a:cs typeface="+mn-cs"/>
            </a:rPr>
            <a:t>C:\sample</a:t>
          </a:r>
          <a:endParaRPr lang="ja-JP" altLang="ja-JP" sz="1100">
            <a:latin typeface="+mj-ea"/>
            <a:ea typeface="+mj-ea"/>
            <a:cs typeface="+mn-cs"/>
          </a:endParaRPr>
        </a:p>
        <a:p>
          <a:pPr rtl="0" fontAlgn="base">
            <a:lnSpc>
              <a:spcPts val="13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endParaRPr>
        </a:p>
        <a:p>
          <a:pPr>
            <a:lnSpc>
              <a:spcPts val="1100"/>
            </a:lnSpc>
          </a:pPr>
          <a:r>
            <a:rPr lang="ja-JP" altLang="ja-JP" sz="1100" b="0" i="0" baseline="0">
              <a:solidFill>
                <a:srgbClr val="FF0000"/>
              </a:solidFill>
              <a:latin typeface="+mj-ea"/>
              <a:ea typeface="+mj-ea"/>
              <a:cs typeface="+mn-cs"/>
            </a:rPr>
            <a:t>　　　　　　　　　</a:t>
          </a:r>
          <a:r>
            <a:rPr lang="ja-JP" altLang="ja-JP" sz="1100" b="0" i="0" baseline="0">
              <a:solidFill>
                <a:sysClr val="windowText" lastClr="000000"/>
              </a:solidFill>
              <a:latin typeface="+mj-ea"/>
              <a:ea typeface="+mj-ea"/>
              <a:cs typeface="+mn-cs"/>
            </a:rPr>
            <a:t>　・</a:t>
          </a:r>
          <a:r>
            <a:rPr lang="en-US" altLang="ja-JP" sz="1100" b="0" i="0" baseline="0">
              <a:solidFill>
                <a:sysClr val="windowText" lastClr="000000"/>
              </a:solidFill>
              <a:latin typeface="+mj-ea"/>
              <a:ea typeface="+mj-ea"/>
              <a:cs typeface="+mn-cs"/>
            </a:rPr>
            <a:t>C:\sample</a:t>
          </a:r>
          <a:r>
            <a:rPr lang="ja-JP" altLang="en-US" sz="1100" b="0" i="0" baseline="0">
              <a:solidFill>
                <a:sysClr val="windowText" lastClr="000000"/>
              </a:solidFill>
              <a:latin typeface="+mj-ea"/>
              <a:ea typeface="+mj-ea"/>
              <a:cs typeface="+mn-cs"/>
            </a:rPr>
            <a:t>配下すべての</a:t>
          </a:r>
          <a:r>
            <a:rPr lang="en-US" altLang="ja-JP" sz="1100" b="0" i="0" baseline="0">
              <a:solidFill>
                <a:sysClr val="windowText" lastClr="000000"/>
              </a:solidFill>
              <a:latin typeface="+mj-ea"/>
              <a:ea typeface="+mj-ea"/>
              <a:cs typeface="+mn-cs"/>
            </a:rPr>
            <a:t>B006_out_IDXXXX.txt</a:t>
          </a:r>
          <a:r>
            <a:rPr lang="ja-JP" altLang="en-US" sz="1100" b="0" i="0" baseline="0">
              <a:solidFill>
                <a:sysClr val="windowText" lastClr="000000"/>
              </a:solidFill>
              <a:latin typeface="+mj-ea"/>
              <a:ea typeface="+mj-ea"/>
              <a:cs typeface="+mn-cs"/>
            </a:rPr>
            <a:t>形式のファイルを読込み、</a:t>
          </a:r>
          <a:r>
            <a:rPr lang="ja-JP" altLang="ja-JP" sz="1100" b="0" i="0" baseline="0">
              <a:solidFill>
                <a:sysClr val="windowText" lastClr="000000"/>
              </a:solidFill>
              <a:latin typeface="+mj-ea"/>
              <a:ea typeface="+mj-ea"/>
              <a:cs typeface="+mn-cs"/>
            </a:rPr>
            <a:t>解析した結果それぞれをシート</a:t>
          </a:r>
          <a:r>
            <a:rPr lang="en-US" altLang="ja-JP" sz="1100" b="0" i="0" baseline="0">
              <a:solidFill>
                <a:sysClr val="windowText" lastClr="000000"/>
              </a:solidFill>
              <a:latin typeface="+mj-ea"/>
              <a:ea typeface="+mj-ea"/>
              <a:cs typeface="+mn-cs"/>
            </a:rPr>
            <a:t>B006</a:t>
          </a:r>
          <a:r>
            <a:rPr lang="ja-JP" altLang="ja-JP" sz="1100" b="0" i="0" baseline="0">
              <a:solidFill>
                <a:sysClr val="windowText" lastClr="000000"/>
              </a:solidFill>
              <a:latin typeface="+mj-ea"/>
              <a:ea typeface="+mj-ea"/>
              <a:cs typeface="+mn-cs"/>
            </a:rPr>
            <a:t>の</a:t>
          </a:r>
          <a:r>
            <a:rPr lang="en-US" altLang="ja-JP" sz="1100" b="0" i="0" baseline="0">
              <a:solidFill>
                <a:sysClr val="windowText" lastClr="000000"/>
              </a:solidFill>
              <a:latin typeface="+mj-ea"/>
              <a:ea typeface="+mj-ea"/>
              <a:cs typeface="+mn-cs"/>
            </a:rPr>
            <a:t>IDXXXX</a:t>
          </a:r>
          <a:r>
            <a:rPr lang="ja-JP" altLang="en-US" sz="1100" b="0" i="0" baseline="0">
              <a:solidFill>
                <a:sysClr val="windowText" lastClr="000000"/>
              </a:solidFill>
              <a:latin typeface="+mj-ea"/>
              <a:ea typeface="+mj-ea"/>
              <a:cs typeface="+mn-cs"/>
            </a:rPr>
            <a:t>に相応する</a:t>
          </a:r>
          <a:r>
            <a:rPr lang="ja-JP" altLang="ja-JP" sz="1100" b="0" i="0" baseline="0">
              <a:solidFill>
                <a:sysClr val="windowText" lastClr="000000"/>
              </a:solidFill>
              <a:latin typeface="+mj-ea"/>
              <a:ea typeface="+mj-ea"/>
              <a:cs typeface="+mn-cs"/>
            </a:rPr>
            <a:t>列に反映する。</a:t>
          </a:r>
          <a:endParaRPr lang="en-US" altLang="ja-JP" sz="1100" b="1" i="0" u="none" strike="noStrike" baseline="0">
            <a:solidFill>
              <a:srgbClr val="000000"/>
            </a:solidFill>
            <a:latin typeface="+mj-ea"/>
            <a:ea typeface="+mj-ea"/>
          </a:endParaRPr>
        </a:p>
        <a:p>
          <a:pPr algn="l" rtl="0">
            <a:lnSpc>
              <a:spcPts val="1200"/>
            </a:lnSpc>
            <a:defRPr sz="1000"/>
          </a:pPr>
          <a:endParaRPr lang="en-US" altLang="ja-JP" sz="1100" b="1" i="0" u="none" strike="noStrike" baseline="0">
            <a:solidFill>
              <a:srgbClr val="000000"/>
            </a:solidFill>
            <a:latin typeface="+mj-ea"/>
            <a:ea typeface="+mj-ea"/>
          </a:endParaRPr>
        </a:p>
        <a:p>
          <a:pPr algn="l" rtl="0">
            <a:defRPr sz="1000"/>
          </a:pPr>
          <a:r>
            <a:rPr lang="ja-JP" altLang="en-US" sz="1100" b="1" i="0" u="none" strike="noStrike" baseline="0">
              <a:solidFill>
                <a:srgbClr val="000000"/>
              </a:solidFill>
              <a:latin typeface="+mj-ea"/>
              <a:ea typeface="+mj-ea"/>
            </a:rPr>
            <a:t>　　③</a:t>
          </a:r>
          <a:r>
            <a:rPr lang="ja-JP" altLang="ja-JP" sz="1100" b="1" i="0">
              <a:latin typeface="+mj-ea"/>
              <a:ea typeface="+mj-ea"/>
              <a:cs typeface="+mn-cs"/>
            </a:rPr>
            <a:t>テストデータ</a:t>
          </a:r>
          <a:r>
            <a:rPr lang="ja-JP" altLang="en-US" sz="1100" b="1" i="0">
              <a:latin typeface="+mj-ea"/>
              <a:ea typeface="+mj-ea"/>
              <a:cs typeface="+mn-cs"/>
            </a:rPr>
            <a:t>を削除するなら</a:t>
          </a:r>
          <a:r>
            <a:rPr lang="ja-JP" altLang="ja-JP" sz="1100" b="1" i="0" baseline="0">
              <a:latin typeface="+mj-ea"/>
              <a:ea typeface="+mj-ea"/>
              <a:cs typeface="+mn-cs"/>
            </a:rPr>
            <a:t>　　⇒　　「</a:t>
          </a:r>
          <a:r>
            <a:rPr lang="en-US" altLang="ja-JP" sz="1100" b="1" i="0" baseline="0">
              <a:latin typeface="+mj-ea"/>
              <a:ea typeface="+mj-ea"/>
              <a:cs typeface="+mn-cs"/>
            </a:rPr>
            <a:t>ClearResult</a:t>
          </a:r>
          <a:r>
            <a:rPr lang="ja-JP" altLang="ja-JP" sz="1100" b="1" i="0" baseline="0">
              <a:latin typeface="+mj-ea"/>
              <a:ea typeface="+mj-ea"/>
              <a:cs typeface="+mn-cs"/>
            </a:rPr>
            <a:t>」ボタン</a:t>
          </a:r>
          <a:endParaRPr lang="en-US" altLang="ja-JP" sz="1100" b="1" i="0" baseline="0">
            <a:latin typeface="+mj-ea"/>
            <a:ea typeface="+mj-ea"/>
            <a:cs typeface="+mn-cs"/>
          </a:endParaRPr>
        </a:p>
        <a:p>
          <a:pPr rtl="0">
            <a:lnSpc>
              <a:spcPts val="1100"/>
            </a:lnSpc>
          </a:pPr>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(1)</a:t>
          </a:r>
          <a:r>
            <a:rPr lang="ja-JP" altLang="ja-JP" sz="1100" b="0" i="0" baseline="0">
              <a:latin typeface="+mj-ea"/>
              <a:ea typeface="+mj-ea"/>
              <a:cs typeface="+mn-cs"/>
            </a:rPr>
            <a:t>　一件</a:t>
          </a:r>
          <a:r>
            <a:rPr lang="ja-JP" altLang="en-US" sz="1100" b="0" i="0" baseline="0">
              <a:latin typeface="+mj-ea"/>
              <a:ea typeface="+mj-ea"/>
              <a:cs typeface="+mn-cs"/>
            </a:rPr>
            <a:t>削除</a:t>
          </a:r>
          <a:r>
            <a:rPr lang="ja-JP" altLang="ja-JP" sz="1100" b="0" i="0" baseline="0">
              <a:latin typeface="+mj-ea"/>
              <a:ea typeface="+mj-ea"/>
              <a:cs typeface="+mn-cs"/>
            </a:rPr>
            <a:t>（</a:t>
          </a:r>
          <a:r>
            <a:rPr lang="en-US" altLang="ja-JP" sz="1100" b="0" i="0" baseline="0">
              <a:latin typeface="+mj-ea"/>
              <a:ea typeface="+mj-ea"/>
              <a:cs typeface="+mn-cs"/>
            </a:rPr>
            <a:t>CaseNo</a:t>
          </a:r>
          <a:r>
            <a:rPr lang="ja-JP" altLang="ja-JP" sz="1100" b="0" i="0" baseline="0">
              <a:latin typeface="+mj-ea"/>
              <a:ea typeface="+mj-ea"/>
              <a:cs typeface="+mn-cs"/>
            </a:rPr>
            <a:t>を設定する）									</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en-US" altLang="ja-JP" sz="1100" b="0" i="0" baseline="0">
              <a:latin typeface="+mj-ea"/>
              <a:ea typeface="+mj-ea"/>
              <a:cs typeface="+mn-cs"/>
            </a:rPr>
            <a:t>ID0003 </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endParaRPr>
        </a:p>
        <a:p>
          <a:pPr rtl="0" fontAlgn="base">
            <a:lnSpc>
              <a:spcPts val="1200"/>
            </a:lnSpc>
          </a:pPr>
          <a:r>
            <a:rPr lang="ja-JP" altLang="ja-JP" sz="1100" b="0" i="0" baseline="0">
              <a:latin typeface="+mj-ea"/>
              <a:ea typeface="+mj-ea"/>
              <a:cs typeface="+mn-cs"/>
            </a:rPr>
            <a:t>　　　　　　　　　　・シート</a:t>
          </a:r>
          <a:r>
            <a:rPr lang="en-US" altLang="ja-JP" sz="1100" b="0" i="0" baseline="0">
              <a:latin typeface="+mj-ea"/>
              <a:ea typeface="+mj-ea"/>
              <a:cs typeface="+mn-cs"/>
            </a:rPr>
            <a:t>B006</a:t>
          </a:r>
          <a:r>
            <a:rPr lang="ja-JP" altLang="ja-JP" sz="1100" b="0" i="0" baseline="0">
              <a:latin typeface="+mj-ea"/>
              <a:ea typeface="+mj-ea"/>
              <a:cs typeface="+mn-cs"/>
            </a:rPr>
            <a:t>の</a:t>
          </a:r>
          <a:r>
            <a:rPr lang="en-US" altLang="ja-JP" sz="1100" b="0" i="0" baseline="0">
              <a:latin typeface="+mj-ea"/>
              <a:ea typeface="+mj-ea"/>
              <a:cs typeface="+mn-cs"/>
            </a:rPr>
            <a:t>ID0003</a:t>
          </a:r>
          <a:r>
            <a:rPr lang="ja-JP" altLang="ja-JP" sz="1100" b="0" i="0" baseline="0">
              <a:latin typeface="+mj-ea"/>
              <a:ea typeface="+mj-ea"/>
              <a:cs typeface="+mn-cs"/>
            </a:rPr>
            <a:t>に相応する</a:t>
          </a:r>
          <a:r>
            <a:rPr lang="ja-JP" altLang="en-US" sz="1100" b="0" i="0" baseline="0">
              <a:latin typeface="+mj-ea"/>
              <a:ea typeface="+mj-ea"/>
              <a:cs typeface="+mn-cs"/>
            </a:rPr>
            <a:t>列のデータを削除する</a:t>
          </a:r>
          <a:r>
            <a:rPr lang="ja-JP" altLang="ja-JP" sz="1100" b="0" i="0" baseline="0">
              <a:latin typeface="+mj-ea"/>
              <a:ea typeface="+mj-ea"/>
              <a:cs typeface="+mn-cs"/>
            </a:rPr>
            <a:t>。</a:t>
          </a:r>
          <a:endParaRPr lang="en-US" altLang="ja-JP" sz="1100" b="0" i="0" baseline="0">
            <a:latin typeface="+mj-ea"/>
            <a:ea typeface="+mj-ea"/>
            <a:cs typeface="+mn-cs"/>
          </a:endParaRPr>
        </a:p>
        <a:p>
          <a:pPr rtl="0"/>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(2)</a:t>
          </a:r>
          <a:r>
            <a:rPr lang="ja-JP" altLang="ja-JP" sz="1100" b="0" i="0" baseline="0">
              <a:latin typeface="+mj-ea"/>
              <a:ea typeface="+mj-ea"/>
              <a:cs typeface="+mn-cs"/>
            </a:rPr>
            <a:t>　</a:t>
          </a:r>
          <a:r>
            <a:rPr lang="ja-JP" altLang="en-US" sz="1100" b="0" i="0" baseline="0">
              <a:latin typeface="+mj-ea"/>
              <a:ea typeface="+mj-ea"/>
              <a:cs typeface="+mn-cs"/>
            </a:rPr>
            <a:t>一括</a:t>
          </a:r>
          <a:r>
            <a:rPr lang="ja-JP" altLang="ja-JP" sz="1100" b="0" i="0" baseline="0">
              <a:latin typeface="+mj-ea"/>
              <a:ea typeface="+mj-ea"/>
              <a:cs typeface="+mn-cs"/>
            </a:rPr>
            <a:t>削除（</a:t>
          </a:r>
          <a:r>
            <a:rPr lang="en-US" altLang="ja-JP" sz="1100" b="0" i="0" baseline="0">
              <a:latin typeface="+mj-ea"/>
              <a:ea typeface="+mj-ea"/>
              <a:cs typeface="+mn-cs"/>
            </a:rPr>
            <a:t>CaseNo</a:t>
          </a:r>
          <a:r>
            <a:rPr lang="ja-JP" altLang="ja-JP" sz="1100" b="0" i="0" baseline="0">
              <a:latin typeface="+mj-ea"/>
              <a:ea typeface="+mj-ea"/>
              <a:cs typeface="+mn-cs"/>
            </a:rPr>
            <a:t>を設定</a:t>
          </a:r>
          <a:r>
            <a:rPr lang="ja-JP" altLang="en-US" sz="1100" b="0" i="0" baseline="0">
              <a:latin typeface="+mj-ea"/>
              <a:ea typeface="+mj-ea"/>
              <a:cs typeface="+mn-cs"/>
            </a:rPr>
            <a:t>しない</a:t>
          </a:r>
          <a:r>
            <a:rPr lang="ja-JP" altLang="ja-JP" sz="1100" b="0" i="0" baseline="0">
              <a:latin typeface="+mj-ea"/>
              <a:ea typeface="+mj-ea"/>
              <a:cs typeface="+mn-cs"/>
            </a:rPr>
            <a:t>）									</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lnSpc>
              <a:spcPts val="13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ja-JP" altLang="en-US" sz="1100" b="0" i="0" baseline="0">
              <a:latin typeface="+mj-ea"/>
              <a:ea typeface="+mj-ea"/>
              <a:cs typeface="+mn-cs"/>
            </a:rPr>
            <a:t>（空白）</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fontAlgn="base"/>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・シート</a:t>
          </a:r>
          <a:r>
            <a:rPr lang="en-US" altLang="ja-JP" sz="1100" b="0" i="0" baseline="0">
              <a:latin typeface="+mj-ea"/>
              <a:ea typeface="+mj-ea"/>
              <a:cs typeface="+mn-cs"/>
            </a:rPr>
            <a:t>B006</a:t>
          </a:r>
          <a:r>
            <a:rPr lang="ja-JP" altLang="ja-JP" sz="1100" b="0" i="0" baseline="0">
              <a:latin typeface="+mj-ea"/>
              <a:ea typeface="+mj-ea"/>
              <a:cs typeface="+mn-cs"/>
            </a:rPr>
            <a:t>の</a:t>
          </a:r>
          <a:r>
            <a:rPr lang="en-US" altLang="ja-JP" sz="1100" b="0" i="0" baseline="0">
              <a:latin typeface="+mj-ea"/>
              <a:ea typeface="+mj-ea"/>
              <a:cs typeface="+mn-cs"/>
            </a:rPr>
            <a:t>AD</a:t>
          </a:r>
          <a:r>
            <a:rPr lang="ja-JP" altLang="en-US" sz="1100" b="0" i="0" baseline="0">
              <a:latin typeface="+mj-ea"/>
              <a:ea typeface="+mj-ea"/>
              <a:cs typeface="+mn-cs"/>
            </a:rPr>
            <a:t>列</a:t>
          </a:r>
          <a:r>
            <a:rPr lang="ja-JP" altLang="ja-JP" sz="1100" b="0" i="0" baseline="0">
              <a:latin typeface="+mj-ea"/>
              <a:ea typeface="+mj-ea"/>
              <a:cs typeface="+mn-cs"/>
            </a:rPr>
            <a:t>以降</a:t>
          </a:r>
          <a:r>
            <a:rPr lang="ja-JP" altLang="en-US" sz="1100" b="0" i="0" baseline="0">
              <a:latin typeface="+mj-ea"/>
              <a:ea typeface="+mj-ea"/>
              <a:cs typeface="+mn-cs"/>
            </a:rPr>
            <a:t>のデータ全件</a:t>
          </a:r>
          <a:r>
            <a:rPr lang="ja-JP" altLang="ja-JP" sz="1100" b="0" i="0" baseline="0">
              <a:latin typeface="+mj-ea"/>
              <a:ea typeface="+mj-ea"/>
              <a:cs typeface="+mn-cs"/>
            </a:rPr>
            <a:t>を削除する。</a:t>
          </a:r>
          <a:endParaRPr lang="en-US" altLang="ja-JP" sz="1100" b="0" i="0" baseline="0">
            <a:latin typeface="+mj-ea"/>
            <a:ea typeface="+mj-ea"/>
            <a:cs typeface="+mn-cs"/>
          </a:endParaRPr>
        </a:p>
        <a:p>
          <a:pPr algn="l" rtl="0">
            <a:lnSpc>
              <a:spcPts val="1200"/>
            </a:lnSpc>
            <a:defRPr sz="1000"/>
          </a:pPr>
          <a:endParaRPr lang="en-US" altLang="ja-JP" sz="1100" b="1" i="0" u="none" strike="noStrike" baseline="0">
            <a:solidFill>
              <a:srgbClr val="000000"/>
            </a:solidFill>
            <a:latin typeface="+mj-ea"/>
            <a:ea typeface="+mj-ea"/>
          </a:endParaRPr>
        </a:p>
        <a:p>
          <a:pPr algn="l" rtl="0">
            <a:defRPr sz="1000"/>
          </a:pPr>
          <a:r>
            <a:rPr lang="ja-JP" altLang="en-US" sz="1100" b="1" i="0" u="none" strike="noStrike" baseline="0">
              <a:solidFill>
                <a:srgbClr val="000000"/>
              </a:solidFill>
              <a:latin typeface="+mj-ea"/>
              <a:ea typeface="+mj-ea"/>
            </a:rPr>
            <a:t>　　④</a:t>
          </a:r>
          <a:r>
            <a:rPr lang="ja-JP" altLang="ja-JP" sz="1100" b="1" i="0" baseline="0">
              <a:latin typeface="+mj-ea"/>
              <a:ea typeface="+mj-ea"/>
              <a:cs typeface="+mn-cs"/>
            </a:rPr>
            <a:t>要求</a:t>
          </a:r>
          <a:r>
            <a:rPr lang="en-US" altLang="ja-JP" sz="1100" b="1" i="0" baseline="0">
              <a:latin typeface="+mj-ea"/>
              <a:ea typeface="+mj-ea"/>
              <a:cs typeface="+mn-cs"/>
            </a:rPr>
            <a:t>XML</a:t>
          </a:r>
          <a:r>
            <a:rPr lang="ja-JP" altLang="en-US" sz="1100" b="1" i="0" baseline="0">
              <a:latin typeface="+mj-ea"/>
              <a:ea typeface="+mj-ea"/>
              <a:cs typeface="+mn-cs"/>
            </a:rPr>
            <a:t>ファイル</a:t>
          </a:r>
          <a:r>
            <a:rPr lang="ja-JP" altLang="ja-JP" sz="1100" b="1" i="0" baseline="0">
              <a:latin typeface="+mj-ea"/>
              <a:ea typeface="+mj-ea"/>
              <a:cs typeface="+mn-cs"/>
            </a:rPr>
            <a:t>を生成するなら　　⇒　　</a:t>
          </a:r>
          <a:r>
            <a:rPr lang="ja-JP" altLang="en-US" sz="1100" b="1" i="0" baseline="0">
              <a:latin typeface="+mj-ea"/>
              <a:ea typeface="+mj-ea"/>
              <a:cs typeface="+mn-cs"/>
            </a:rPr>
            <a:t>「</a:t>
          </a:r>
          <a:r>
            <a:rPr lang="en-US" altLang="ja-JP" sz="1100" b="1" i="0" baseline="0">
              <a:latin typeface="+mj-ea"/>
              <a:ea typeface="+mj-ea"/>
              <a:cs typeface="+mn-cs"/>
            </a:rPr>
            <a:t>GenerateInXml</a:t>
          </a:r>
          <a:r>
            <a:rPr lang="ja-JP" altLang="en-US" sz="1100" b="1" i="0" baseline="0">
              <a:latin typeface="+mj-ea"/>
              <a:ea typeface="+mj-ea"/>
              <a:cs typeface="+mn-cs"/>
            </a:rPr>
            <a:t>」ボタン</a:t>
          </a:r>
          <a:endParaRPr lang="en-US" altLang="ja-JP" sz="1100" b="1" i="0" baseline="0">
            <a:latin typeface="+mj-ea"/>
            <a:ea typeface="+mj-ea"/>
            <a:cs typeface="+mn-cs"/>
          </a:endParaRPr>
        </a:p>
        <a:p>
          <a:pPr algn="l" rtl="0">
            <a:lnSpc>
              <a:spcPts val="1100"/>
            </a:lnSpc>
            <a:defRPr sz="1000"/>
          </a:pPr>
          <a:r>
            <a:rPr lang="ja-JP" altLang="en-US" sz="1100" b="0" i="0" u="none" strike="noStrike" baseline="0">
              <a:solidFill>
                <a:srgbClr val="000000"/>
              </a:solidFill>
              <a:latin typeface="+mj-ea"/>
              <a:ea typeface="+mj-ea"/>
            </a:rPr>
            <a:t>　　　　</a:t>
          </a:r>
          <a:r>
            <a:rPr lang="en-US" altLang="ja-JP" sz="1100" b="0" i="0" u="none" strike="noStrike" baseline="0">
              <a:solidFill>
                <a:srgbClr val="000000"/>
              </a:solidFill>
              <a:latin typeface="+mj-ea"/>
              <a:ea typeface="+mj-ea"/>
            </a:rPr>
            <a:t>※</a:t>
          </a:r>
          <a:r>
            <a:rPr lang="ja-JP" altLang="en-US" sz="1100" b="0" i="0" u="none" strike="noStrike" baseline="0">
              <a:solidFill>
                <a:srgbClr val="000000"/>
              </a:solidFill>
              <a:latin typeface="+mj-ea"/>
              <a:ea typeface="+mj-ea"/>
            </a:rPr>
            <a:t>項目</a:t>
          </a:r>
          <a:r>
            <a:rPr lang="ja-JP" altLang="ja-JP" sz="1100" b="0" i="0" baseline="0">
              <a:latin typeface="+mj-ea"/>
              <a:ea typeface="+mj-ea"/>
              <a:cs typeface="+mn-cs"/>
            </a:rPr>
            <a:t>設定</a:t>
          </a:r>
          <a:r>
            <a:rPr lang="ja-JP" altLang="en-US" sz="1100" b="0" i="0" baseline="0">
              <a:latin typeface="+mj-ea"/>
              <a:ea typeface="+mj-ea"/>
              <a:cs typeface="+mn-cs"/>
            </a:rPr>
            <a:t>については、①</a:t>
          </a:r>
          <a:r>
            <a:rPr lang="ja-JP" altLang="ja-JP" sz="1100" b="0" i="0" baseline="0">
              <a:latin typeface="+mj-ea"/>
              <a:ea typeface="+mj-ea"/>
              <a:cs typeface="+mn-cs"/>
            </a:rPr>
            <a:t>「</a:t>
          </a:r>
          <a:r>
            <a:rPr lang="en-US" altLang="ja-JP" sz="1100" b="0" i="0" baseline="0">
              <a:latin typeface="+mj-ea"/>
              <a:ea typeface="+mj-ea"/>
              <a:cs typeface="+mn-cs"/>
            </a:rPr>
            <a:t>Generate-IN</a:t>
          </a:r>
          <a:r>
            <a:rPr lang="ja-JP" altLang="ja-JP" sz="1100" b="0" i="0" baseline="0">
              <a:latin typeface="+mj-ea"/>
              <a:ea typeface="+mj-ea"/>
              <a:cs typeface="+mn-cs"/>
            </a:rPr>
            <a:t>」ボタン</a:t>
          </a:r>
          <a:r>
            <a:rPr lang="ja-JP" altLang="en-US" sz="1100" b="0" i="0" baseline="0">
              <a:latin typeface="+mj-ea"/>
              <a:ea typeface="+mj-ea"/>
              <a:cs typeface="+mn-cs"/>
            </a:rPr>
            <a:t>と同様。</a:t>
          </a:r>
          <a:endParaRPr lang="en-US" altLang="ja-JP" sz="1100" b="0" i="0" baseline="0">
            <a:latin typeface="+mj-ea"/>
            <a:ea typeface="+mj-ea"/>
            <a:cs typeface="+mn-cs"/>
          </a:endParaRPr>
        </a:p>
        <a:p>
          <a:pPr algn="l" rtl="0">
            <a:lnSpc>
              <a:spcPts val="1300"/>
            </a:lnSpc>
            <a:defRPr sz="1000"/>
          </a:pPr>
          <a:endParaRPr lang="en-US" altLang="ja-JP" sz="1100" b="0" i="0" u="none" strike="noStrike" baseline="0">
            <a:solidFill>
              <a:srgbClr val="000000"/>
            </a:solidFill>
            <a:latin typeface="+mj-ea"/>
            <a:ea typeface="+mj-ea"/>
            <a:cs typeface="+mn-cs"/>
          </a:endParaRPr>
        </a:p>
        <a:p>
          <a:pPr rtl="0" fontAlgn="base">
            <a:lnSpc>
              <a:spcPts val="1100"/>
            </a:lnSpc>
          </a:pPr>
          <a:r>
            <a:rPr lang="ja-JP" altLang="ja-JP" sz="1100" b="1" i="0" baseline="0">
              <a:latin typeface="+mn-lt"/>
              <a:ea typeface="+mn-ea"/>
              <a:cs typeface="+mn-cs"/>
            </a:rPr>
            <a:t>　　</a:t>
          </a:r>
          <a:r>
            <a:rPr lang="ja-JP" altLang="en-US" sz="1100" b="1" i="0" baseline="0">
              <a:latin typeface="+mn-lt"/>
              <a:ea typeface="+mn-ea"/>
              <a:cs typeface="+mn-cs"/>
            </a:rPr>
            <a:t>⑤応答</a:t>
          </a:r>
          <a:r>
            <a:rPr lang="en-US" altLang="ja-JP" sz="1100" b="1" i="0" baseline="0">
              <a:latin typeface="+mn-lt"/>
              <a:ea typeface="+mn-ea"/>
              <a:cs typeface="+mn-cs"/>
            </a:rPr>
            <a:t>XML</a:t>
          </a:r>
          <a:r>
            <a:rPr lang="ja-JP" altLang="ja-JP" sz="1100" b="1" i="0" baseline="0">
              <a:latin typeface="+mn-lt"/>
              <a:ea typeface="+mn-ea"/>
              <a:cs typeface="+mn-cs"/>
            </a:rPr>
            <a:t>ファイルを生成するなら　　⇒　　「</a:t>
          </a:r>
          <a:r>
            <a:rPr lang="en-US" altLang="ja-JP" sz="1100" b="1" i="0" baseline="0">
              <a:latin typeface="+mn-lt"/>
              <a:ea typeface="+mn-ea"/>
              <a:cs typeface="+mn-cs"/>
            </a:rPr>
            <a:t>GenerateOutXml</a:t>
          </a:r>
          <a:r>
            <a:rPr lang="ja-JP" altLang="ja-JP" sz="1100" b="1" i="0" baseline="0">
              <a:latin typeface="+mn-lt"/>
              <a:ea typeface="+mn-ea"/>
              <a:cs typeface="+mn-cs"/>
            </a:rPr>
            <a:t>」ボタン</a:t>
          </a:r>
          <a:endParaRPr lang="en-US" altLang="ja-JP" sz="1100" b="1" i="0" baseline="0">
            <a:latin typeface="+mn-lt"/>
            <a:ea typeface="+mn-ea"/>
            <a:cs typeface="+mn-cs"/>
          </a:endParaRPr>
        </a:p>
        <a:p>
          <a:pPr rtl="0" fontAlgn="base">
            <a:lnSpc>
              <a:spcPts val="1200"/>
            </a:lnSpc>
          </a:pPr>
          <a:r>
            <a:rPr lang="ja-JP" altLang="ja-JP" sz="1100" b="0" i="0" baseline="0">
              <a:latin typeface="+mn-lt"/>
              <a:ea typeface="+mn-ea"/>
              <a:cs typeface="+mn-cs"/>
            </a:rPr>
            <a:t>　　　　</a:t>
          </a:r>
          <a:r>
            <a:rPr lang="en-US" altLang="ja-JP" sz="1100" b="0" i="0" baseline="0">
              <a:latin typeface="+mn-lt"/>
              <a:ea typeface="+mn-ea"/>
              <a:cs typeface="+mn-cs"/>
            </a:rPr>
            <a:t>※</a:t>
          </a:r>
          <a:r>
            <a:rPr lang="ja-JP" altLang="ja-JP" sz="1100" b="0" i="0" baseline="0">
              <a:latin typeface="+mn-lt"/>
              <a:ea typeface="+mn-ea"/>
              <a:cs typeface="+mn-cs"/>
            </a:rPr>
            <a:t>項目設定については、</a:t>
          </a:r>
          <a:r>
            <a:rPr lang="ja-JP" altLang="en-US" sz="1100" b="0" i="0" baseline="0">
              <a:latin typeface="+mn-lt"/>
              <a:ea typeface="+mn-ea"/>
              <a:cs typeface="+mn-cs"/>
            </a:rPr>
            <a:t>②</a:t>
          </a:r>
          <a:r>
            <a:rPr lang="ja-JP" altLang="ja-JP" sz="1100" b="0" i="0" baseline="0">
              <a:latin typeface="+mn-lt"/>
              <a:ea typeface="+mn-ea"/>
              <a:cs typeface="+mn-cs"/>
            </a:rPr>
            <a:t>「</a:t>
          </a:r>
          <a:r>
            <a:rPr lang="en-US" altLang="ja-JP" sz="1100" b="0" i="0" baseline="0">
              <a:latin typeface="+mn-lt"/>
              <a:ea typeface="+mn-ea"/>
              <a:cs typeface="+mn-cs"/>
            </a:rPr>
            <a:t>Analyze-OUT</a:t>
          </a:r>
          <a:r>
            <a:rPr lang="ja-JP" altLang="ja-JP" sz="1100" b="0" i="0" baseline="0">
              <a:latin typeface="+mn-lt"/>
              <a:ea typeface="+mn-ea"/>
              <a:cs typeface="+mn-cs"/>
            </a:rPr>
            <a:t>」ボタンと同様。</a:t>
          </a:r>
          <a:endParaRPr lang="en-US" altLang="ja-JP" sz="1100" b="0" i="0" baseline="0">
            <a:latin typeface="+mn-lt"/>
            <a:ea typeface="+mn-ea"/>
            <a:cs typeface="+mn-cs"/>
          </a:endParaRPr>
        </a:p>
        <a:p>
          <a:pPr marL="0" marR="0" indent="0" defTabSz="914400" rtl="0" eaLnBrk="1" fontAlgn="base" latinLnBrk="0" hangingPunct="1">
            <a:lnSpc>
              <a:spcPts val="1100"/>
            </a:lnSpc>
            <a:spcBef>
              <a:spcPts val="0"/>
            </a:spcBef>
            <a:spcAft>
              <a:spcPts val="0"/>
            </a:spcAft>
            <a:buClrTx/>
            <a:buSzTx/>
            <a:buFontTx/>
            <a:buNone/>
            <a:tabLst/>
            <a:defRPr/>
          </a:pPr>
          <a:r>
            <a:rPr lang="ja-JP" altLang="ja-JP" sz="1100" b="0" i="0" baseline="0">
              <a:latin typeface="+mn-lt"/>
              <a:ea typeface="+mn-ea"/>
              <a:cs typeface="+mn-cs"/>
            </a:rPr>
            <a:t>　　　　　　</a:t>
          </a:r>
          <a:endParaRPr lang="ja-JP" altLang="en-US" sz="1100" b="0" i="0" u="none" strike="noStrike" baseline="0">
            <a:solidFill>
              <a:srgbClr val="000000"/>
            </a:solidFill>
            <a:latin typeface="+mj-ea"/>
            <a:ea typeface="+mj-ea"/>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15</xdr:row>
          <xdr:rowOff>61913</xdr:rowOff>
        </xdr:from>
        <xdr:to>
          <xdr:col>2</xdr:col>
          <xdr:colOff>285750</xdr:colOff>
          <xdr:row>17</xdr:row>
          <xdr:rowOff>100013</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2D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280988</xdr:colOff>
          <xdr:row>5</xdr:row>
          <xdr:rowOff>100013</xdr:rowOff>
        </xdr:from>
        <xdr:to>
          <xdr:col>3</xdr:col>
          <xdr:colOff>604838</xdr:colOff>
          <xdr:row>6</xdr:row>
          <xdr:rowOff>157163</xdr:rowOff>
        </xdr:to>
        <xdr:sp macro="" textlink="">
          <xdr:nvSpPr>
            <xdr:cNvPr id="2050" name="ISheet" hidden="1">
              <a:extLst>
                <a:ext uri="{63B3BB69-23CF-44E3-9099-C40C66FF867C}">
                  <a14:compatExt spid="_x0000_s2050"/>
                </a:ext>
                <a:ext uri="{FF2B5EF4-FFF2-40B4-BE49-F238E27FC236}">
                  <a16:creationId xmlns:a16="http://schemas.microsoft.com/office/drawing/2014/main" id="{00000000-0008-0000-2D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7</xdr:row>
          <xdr:rowOff>90488</xdr:rowOff>
        </xdr:from>
        <xdr:to>
          <xdr:col>7</xdr:col>
          <xdr:colOff>142875</xdr:colOff>
          <xdr:row>9</xdr:row>
          <xdr:rowOff>4763</xdr:rowOff>
        </xdr:to>
        <xdr:sp macro="" textlink="">
          <xdr:nvSpPr>
            <xdr:cNvPr id="2051" name="OPath" hidden="1">
              <a:extLst>
                <a:ext uri="{63B3BB69-23CF-44E3-9099-C40C66FF867C}">
                  <a14:compatExt spid="_x0000_s2051"/>
                </a:ext>
                <a:ext uri="{FF2B5EF4-FFF2-40B4-BE49-F238E27FC236}">
                  <a16:creationId xmlns:a16="http://schemas.microsoft.com/office/drawing/2014/main" id="{00000000-0008-0000-2D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133350</xdr:rowOff>
        </xdr:from>
        <xdr:to>
          <xdr:col>2</xdr:col>
          <xdr:colOff>285750</xdr:colOff>
          <xdr:row>6</xdr:row>
          <xdr:rowOff>123825</xdr:rowOff>
        </xdr:to>
        <xdr:sp macro="" textlink="">
          <xdr:nvSpPr>
            <xdr:cNvPr id="2052" name="Label1" hidden="1">
              <a:extLst>
                <a:ext uri="{63B3BB69-23CF-44E3-9099-C40C66FF867C}">
                  <a14:compatExt spid="_x0000_s2052"/>
                </a:ext>
                <a:ext uri="{FF2B5EF4-FFF2-40B4-BE49-F238E27FC236}">
                  <a16:creationId xmlns:a16="http://schemas.microsoft.com/office/drawing/2014/main" id="{00000000-0008-0000-2D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123825</xdr:rowOff>
        </xdr:from>
        <xdr:to>
          <xdr:col>2</xdr:col>
          <xdr:colOff>447675</xdr:colOff>
          <xdr:row>8</xdr:row>
          <xdr:rowOff>119063</xdr:rowOff>
        </xdr:to>
        <xdr:sp macro="" textlink="">
          <xdr:nvSpPr>
            <xdr:cNvPr id="2053" name="Label2" hidden="1">
              <a:extLst>
                <a:ext uri="{63B3BB69-23CF-44E3-9099-C40C66FF867C}">
                  <a14:compatExt spid="_x0000_s2053"/>
                </a:ext>
                <a:ext uri="{FF2B5EF4-FFF2-40B4-BE49-F238E27FC236}">
                  <a16:creationId xmlns:a16="http://schemas.microsoft.com/office/drawing/2014/main" id="{00000000-0008-0000-2D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423863</xdr:colOff>
          <xdr:row>15</xdr:row>
          <xdr:rowOff>61913</xdr:rowOff>
        </xdr:from>
        <xdr:to>
          <xdr:col>4</xdr:col>
          <xdr:colOff>61913</xdr:colOff>
          <xdr:row>17</xdr:row>
          <xdr:rowOff>109538</xdr:rowOff>
        </xdr:to>
        <xdr:sp macro="" textlink="">
          <xdr:nvSpPr>
            <xdr:cNvPr id="2054" name="CommandButton2" hidden="1">
              <a:extLst>
                <a:ext uri="{63B3BB69-23CF-44E3-9099-C40C66FF867C}">
                  <a14:compatExt spid="_x0000_s2054"/>
                </a:ext>
                <a:ext uri="{FF2B5EF4-FFF2-40B4-BE49-F238E27FC236}">
                  <a16:creationId xmlns:a16="http://schemas.microsoft.com/office/drawing/2014/main" id="{00000000-0008-0000-2D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100013</xdr:rowOff>
        </xdr:from>
        <xdr:to>
          <xdr:col>2</xdr:col>
          <xdr:colOff>514350</xdr:colOff>
          <xdr:row>13</xdr:row>
          <xdr:rowOff>128588</xdr:rowOff>
        </xdr:to>
        <xdr:sp macro="" textlink="">
          <xdr:nvSpPr>
            <xdr:cNvPr id="2055" name="Label3" hidden="1">
              <a:extLst>
                <a:ext uri="{63B3BB69-23CF-44E3-9099-C40C66FF867C}">
                  <a14:compatExt spid="_x0000_s2055"/>
                </a:ext>
                <a:ext uri="{FF2B5EF4-FFF2-40B4-BE49-F238E27FC236}">
                  <a16:creationId xmlns:a16="http://schemas.microsoft.com/office/drawing/2014/main" id="{00000000-0008-0000-2D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447675</xdr:colOff>
          <xdr:row>12</xdr:row>
          <xdr:rowOff>100013</xdr:rowOff>
        </xdr:from>
        <xdr:to>
          <xdr:col>11</xdr:col>
          <xdr:colOff>238125</xdr:colOff>
          <xdr:row>14</xdr:row>
          <xdr:rowOff>14288</xdr:rowOff>
        </xdr:to>
        <xdr:sp macro="" textlink="">
          <xdr:nvSpPr>
            <xdr:cNvPr id="2056" name="OStream" hidden="1">
              <a:extLst>
                <a:ext uri="{63B3BB69-23CF-44E3-9099-C40C66FF867C}">
                  <a14:compatExt spid="_x0000_s2056"/>
                </a:ext>
                <a:ext uri="{FF2B5EF4-FFF2-40B4-BE49-F238E27FC236}">
                  <a16:creationId xmlns:a16="http://schemas.microsoft.com/office/drawing/2014/main" id="{00000000-0008-0000-2D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638175</xdr:colOff>
          <xdr:row>5</xdr:row>
          <xdr:rowOff>119063</xdr:rowOff>
        </xdr:from>
        <xdr:to>
          <xdr:col>4</xdr:col>
          <xdr:colOff>542925</xdr:colOff>
          <xdr:row>6</xdr:row>
          <xdr:rowOff>157163</xdr:rowOff>
        </xdr:to>
        <xdr:sp macro="" textlink="">
          <xdr:nvSpPr>
            <xdr:cNvPr id="2058" name="Label4" hidden="1">
              <a:extLst>
                <a:ext uri="{63B3BB69-23CF-44E3-9099-C40C66FF867C}">
                  <a14:compatExt spid="_x0000_s2058"/>
                </a:ext>
                <a:ext uri="{FF2B5EF4-FFF2-40B4-BE49-F238E27FC236}">
                  <a16:creationId xmlns:a16="http://schemas.microsoft.com/office/drawing/2014/main" id="{00000000-0008-0000-2D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5</xdr:row>
          <xdr:rowOff>100013</xdr:rowOff>
        </xdr:from>
        <xdr:to>
          <xdr:col>5</xdr:col>
          <xdr:colOff>476250</xdr:colOff>
          <xdr:row>6</xdr:row>
          <xdr:rowOff>152400</xdr:rowOff>
        </xdr:to>
        <xdr:sp macro="" textlink="">
          <xdr:nvSpPr>
            <xdr:cNvPr id="2059" name="CaseNo" hidden="1">
              <a:extLst>
                <a:ext uri="{63B3BB69-23CF-44E3-9099-C40C66FF867C}">
                  <a14:compatExt spid="_x0000_s2059"/>
                </a:ext>
                <a:ext uri="{FF2B5EF4-FFF2-40B4-BE49-F238E27FC236}">
                  <a16:creationId xmlns:a16="http://schemas.microsoft.com/office/drawing/2014/main" id="{00000000-0008-0000-2D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52388</xdr:rowOff>
        </xdr:from>
        <xdr:to>
          <xdr:col>2</xdr:col>
          <xdr:colOff>542925</xdr:colOff>
          <xdr:row>10</xdr:row>
          <xdr:rowOff>90488</xdr:rowOff>
        </xdr:to>
        <xdr:sp macro="" textlink="">
          <xdr:nvSpPr>
            <xdr:cNvPr id="2062" name="Label6" hidden="1">
              <a:extLst>
                <a:ext uri="{63B3BB69-23CF-44E3-9099-C40C66FF867C}">
                  <a14:compatExt spid="_x0000_s2062"/>
                </a:ext>
                <a:ext uri="{FF2B5EF4-FFF2-40B4-BE49-F238E27FC236}">
                  <a16:creationId xmlns:a16="http://schemas.microsoft.com/office/drawing/2014/main" id="{00000000-0008-0000-2D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9</xdr:row>
          <xdr:rowOff>42863</xdr:rowOff>
        </xdr:from>
        <xdr:to>
          <xdr:col>9</xdr:col>
          <xdr:colOff>109538</xdr:colOff>
          <xdr:row>10</xdr:row>
          <xdr:rowOff>90488</xdr:rowOff>
        </xdr:to>
        <xdr:sp macro="" textlink="">
          <xdr:nvSpPr>
            <xdr:cNvPr id="2063" name="IFile" hidden="1">
              <a:extLst>
                <a:ext uri="{63B3BB69-23CF-44E3-9099-C40C66FF867C}">
                  <a14:compatExt spid="_x0000_s2063"/>
                </a:ext>
                <a:ext uri="{FF2B5EF4-FFF2-40B4-BE49-F238E27FC236}">
                  <a16:creationId xmlns:a16="http://schemas.microsoft.com/office/drawing/2014/main" id="{00000000-0008-0000-2D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442913</xdr:colOff>
          <xdr:row>5</xdr:row>
          <xdr:rowOff>109538</xdr:rowOff>
        </xdr:from>
        <xdr:to>
          <xdr:col>10</xdr:col>
          <xdr:colOff>80963</xdr:colOff>
          <xdr:row>6</xdr:row>
          <xdr:rowOff>109538</xdr:rowOff>
        </xdr:to>
        <xdr:sp macro="" textlink="">
          <xdr:nvSpPr>
            <xdr:cNvPr id="2064" name="Label7" hidden="1">
              <a:extLst>
                <a:ext uri="{63B3BB69-23CF-44E3-9099-C40C66FF867C}">
                  <a14:compatExt spid="_x0000_s2064"/>
                </a:ext>
                <a:ext uri="{FF2B5EF4-FFF2-40B4-BE49-F238E27FC236}">
                  <a16:creationId xmlns:a16="http://schemas.microsoft.com/office/drawing/2014/main" id="{00000000-0008-0000-2D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61913</xdr:colOff>
          <xdr:row>5</xdr:row>
          <xdr:rowOff>80963</xdr:rowOff>
        </xdr:from>
        <xdr:to>
          <xdr:col>10</xdr:col>
          <xdr:colOff>623888</xdr:colOff>
          <xdr:row>6</xdr:row>
          <xdr:rowOff>147638</xdr:rowOff>
        </xdr:to>
        <xdr:sp macro="" textlink="">
          <xdr:nvSpPr>
            <xdr:cNvPr id="2065" name="caseCol" hidden="1">
              <a:extLst>
                <a:ext uri="{63B3BB69-23CF-44E3-9099-C40C66FF867C}">
                  <a14:compatExt spid="_x0000_s2065"/>
                </a:ext>
                <a:ext uri="{FF2B5EF4-FFF2-40B4-BE49-F238E27FC236}">
                  <a16:creationId xmlns:a16="http://schemas.microsoft.com/office/drawing/2014/main" id="{00000000-0008-0000-2D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90488</xdr:colOff>
          <xdr:row>15</xdr:row>
          <xdr:rowOff>71438</xdr:rowOff>
        </xdr:from>
        <xdr:to>
          <xdr:col>5</xdr:col>
          <xdr:colOff>295275</xdr:colOff>
          <xdr:row>17</xdr:row>
          <xdr:rowOff>71438</xdr:rowOff>
        </xdr:to>
        <xdr:sp macro="" textlink="">
          <xdr:nvSpPr>
            <xdr:cNvPr id="2067" name="CommandButton4" hidden="1">
              <a:extLst>
                <a:ext uri="{63B3BB69-23CF-44E3-9099-C40C66FF867C}">
                  <a14:compatExt spid="_x0000_s2067"/>
                </a:ext>
                <a:ext uri="{FF2B5EF4-FFF2-40B4-BE49-F238E27FC236}">
                  <a16:creationId xmlns:a16="http://schemas.microsoft.com/office/drawing/2014/main" id="{00000000-0008-0000-2D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476250</xdr:colOff>
          <xdr:row>17</xdr:row>
          <xdr:rowOff>133350</xdr:rowOff>
        </xdr:from>
        <xdr:to>
          <xdr:col>11</xdr:col>
          <xdr:colOff>142875</xdr:colOff>
          <xdr:row>19</xdr:row>
          <xdr:rowOff>114300</xdr:rowOff>
        </xdr:to>
        <xdr:sp macro="" textlink="">
          <xdr:nvSpPr>
            <xdr:cNvPr id="2068" name="CommandButton3" hidden="1">
              <a:extLst>
                <a:ext uri="{63B3BB69-23CF-44E3-9099-C40C66FF867C}">
                  <a14:compatExt spid="_x0000_s2068"/>
                </a:ext>
                <a:ext uri="{FF2B5EF4-FFF2-40B4-BE49-F238E27FC236}">
                  <a16:creationId xmlns:a16="http://schemas.microsoft.com/office/drawing/2014/main" id="{00000000-0008-0000-2D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466725</xdr:colOff>
          <xdr:row>15</xdr:row>
          <xdr:rowOff>71438</xdr:rowOff>
        </xdr:from>
        <xdr:to>
          <xdr:col>11</xdr:col>
          <xdr:colOff>38100</xdr:colOff>
          <xdr:row>17</xdr:row>
          <xdr:rowOff>52388</xdr:rowOff>
        </xdr:to>
        <xdr:sp macro="" textlink="">
          <xdr:nvSpPr>
            <xdr:cNvPr id="2069" name="CommandButton5" hidden="1">
              <a:extLst>
                <a:ext uri="{63B3BB69-23CF-44E3-9099-C40C66FF867C}">
                  <a14:compatExt spid="_x0000_s2069"/>
                </a:ext>
                <a:ext uri="{FF2B5EF4-FFF2-40B4-BE49-F238E27FC236}">
                  <a16:creationId xmlns:a16="http://schemas.microsoft.com/office/drawing/2014/main" id="{00000000-0008-0000-2D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80963</xdr:rowOff>
        </xdr:from>
        <xdr:to>
          <xdr:col>8</xdr:col>
          <xdr:colOff>257175</xdr:colOff>
          <xdr:row>17</xdr:row>
          <xdr:rowOff>61913</xdr:rowOff>
        </xdr:to>
        <xdr:sp macro="" textlink="">
          <xdr:nvSpPr>
            <xdr:cNvPr id="2484" name="CommandButton6" hidden="1">
              <a:extLst>
                <a:ext uri="{63B3BB69-23CF-44E3-9099-C40C66FF867C}">
                  <a14:compatExt spid="_x0000_s2484"/>
                </a:ext>
                <a:ext uri="{FF2B5EF4-FFF2-40B4-BE49-F238E27FC236}">
                  <a16:creationId xmlns:a16="http://schemas.microsoft.com/office/drawing/2014/main" id="{00000000-0008-0000-2D00-0000B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17</xdr:row>
          <xdr:rowOff>109538</xdr:rowOff>
        </xdr:from>
        <xdr:to>
          <xdr:col>8</xdr:col>
          <xdr:colOff>314325</xdr:colOff>
          <xdr:row>19</xdr:row>
          <xdr:rowOff>90488</xdr:rowOff>
        </xdr:to>
        <xdr:sp macro="" textlink="">
          <xdr:nvSpPr>
            <xdr:cNvPr id="2485" name="CommandButton7" hidden="1">
              <a:extLst>
                <a:ext uri="{63B3BB69-23CF-44E3-9099-C40C66FF867C}">
                  <a14:compatExt spid="_x0000_s2485"/>
                </a:ext>
                <a:ext uri="{FF2B5EF4-FFF2-40B4-BE49-F238E27FC236}">
                  <a16:creationId xmlns:a16="http://schemas.microsoft.com/office/drawing/2014/main" id="{00000000-0008-0000-2D00-0000B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414338</xdr:colOff>
          <xdr:row>18</xdr:row>
          <xdr:rowOff>9525</xdr:rowOff>
        </xdr:from>
        <xdr:to>
          <xdr:col>4</xdr:col>
          <xdr:colOff>366713</xdr:colOff>
          <xdr:row>20</xdr:row>
          <xdr:rowOff>57150</xdr:rowOff>
        </xdr:to>
        <xdr:sp macro="" textlink="">
          <xdr:nvSpPr>
            <xdr:cNvPr id="2486" name="CommandButton8" hidden="1">
              <a:extLst>
                <a:ext uri="{63B3BB69-23CF-44E3-9099-C40C66FF867C}">
                  <a14:compatExt spid="_x0000_s2486"/>
                </a:ext>
                <a:ext uri="{FF2B5EF4-FFF2-40B4-BE49-F238E27FC236}">
                  <a16:creationId xmlns:a16="http://schemas.microsoft.com/office/drawing/2014/main" id="{00000000-0008-0000-2D00-0000B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153760</xdr:colOff>
      <xdr:row>0</xdr:row>
      <xdr:rowOff>49666</xdr:rowOff>
    </xdr:from>
    <xdr:ext cx="4347216" cy="726294"/>
    <xdr:sp macro="" textlink="">
      <xdr:nvSpPr>
        <xdr:cNvPr id="2" name="テキスト ボックス 1">
          <a:extLst>
            <a:ext uri="{FF2B5EF4-FFF2-40B4-BE49-F238E27FC236}">
              <a16:creationId xmlns:a16="http://schemas.microsoft.com/office/drawing/2014/main" id="{00000000-0008-0000-2E00-000002000000}"/>
            </a:ext>
          </a:extLst>
        </xdr:cNvPr>
        <xdr:cNvSpPr txBox="1"/>
      </xdr:nvSpPr>
      <xdr:spPr>
        <a:xfrm>
          <a:off x="17841685"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41</xdr:col>
      <xdr:colOff>153760</xdr:colOff>
      <xdr:row>0</xdr:row>
      <xdr:rowOff>49666</xdr:rowOff>
    </xdr:from>
    <xdr:ext cx="4347216" cy="726294"/>
    <xdr:sp macro="" textlink="">
      <xdr:nvSpPr>
        <xdr:cNvPr id="3" name="テキスト ボックス 2">
          <a:extLst>
            <a:ext uri="{FF2B5EF4-FFF2-40B4-BE49-F238E27FC236}">
              <a16:creationId xmlns:a16="http://schemas.microsoft.com/office/drawing/2014/main" id="{00000000-0008-0000-2E00-000003000000}"/>
            </a:ext>
          </a:extLst>
        </xdr:cNvPr>
        <xdr:cNvSpPr txBox="1"/>
      </xdr:nvSpPr>
      <xdr:spPr>
        <a:xfrm>
          <a:off x="14484403"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53</xdr:col>
      <xdr:colOff>153760</xdr:colOff>
      <xdr:row>0</xdr:row>
      <xdr:rowOff>49666</xdr:rowOff>
    </xdr:from>
    <xdr:ext cx="4347216" cy="726294"/>
    <xdr:sp macro="" textlink="">
      <xdr:nvSpPr>
        <xdr:cNvPr id="4" name="テキスト ボックス 3">
          <a:extLst>
            <a:ext uri="{FF2B5EF4-FFF2-40B4-BE49-F238E27FC236}">
              <a16:creationId xmlns:a16="http://schemas.microsoft.com/office/drawing/2014/main" id="{00000000-0008-0000-2E00-000004000000}"/>
            </a:ext>
          </a:extLst>
        </xdr:cNvPr>
        <xdr:cNvSpPr txBox="1"/>
      </xdr:nvSpPr>
      <xdr:spPr>
        <a:xfrm>
          <a:off x="24805020"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65</xdr:col>
      <xdr:colOff>153760</xdr:colOff>
      <xdr:row>0</xdr:row>
      <xdr:rowOff>49666</xdr:rowOff>
    </xdr:from>
    <xdr:ext cx="4347216" cy="726294"/>
    <xdr:sp macro="" textlink="">
      <xdr:nvSpPr>
        <xdr:cNvPr id="5" name="テキスト ボックス 4">
          <a:extLst>
            <a:ext uri="{FF2B5EF4-FFF2-40B4-BE49-F238E27FC236}">
              <a16:creationId xmlns:a16="http://schemas.microsoft.com/office/drawing/2014/main" id="{00000000-0008-0000-2E00-000005000000}"/>
            </a:ext>
          </a:extLst>
        </xdr:cNvPr>
        <xdr:cNvSpPr txBox="1"/>
      </xdr:nvSpPr>
      <xdr:spPr>
        <a:xfrm>
          <a:off x="35125638"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77</xdr:col>
      <xdr:colOff>153760</xdr:colOff>
      <xdr:row>0</xdr:row>
      <xdr:rowOff>49666</xdr:rowOff>
    </xdr:from>
    <xdr:ext cx="4347216" cy="726294"/>
    <xdr:sp macro="" textlink="">
      <xdr:nvSpPr>
        <xdr:cNvPr id="6" name="テキスト ボックス 5">
          <a:extLst>
            <a:ext uri="{FF2B5EF4-FFF2-40B4-BE49-F238E27FC236}">
              <a16:creationId xmlns:a16="http://schemas.microsoft.com/office/drawing/2014/main" id="{00000000-0008-0000-2E00-000006000000}"/>
            </a:ext>
          </a:extLst>
        </xdr:cNvPr>
        <xdr:cNvSpPr txBox="1"/>
      </xdr:nvSpPr>
      <xdr:spPr>
        <a:xfrm>
          <a:off x="45446256"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89</xdr:col>
      <xdr:colOff>153760</xdr:colOff>
      <xdr:row>0</xdr:row>
      <xdr:rowOff>49666</xdr:rowOff>
    </xdr:from>
    <xdr:ext cx="4347216" cy="726294"/>
    <xdr:sp macro="" textlink="">
      <xdr:nvSpPr>
        <xdr:cNvPr id="7" name="テキスト ボックス 6">
          <a:extLst>
            <a:ext uri="{FF2B5EF4-FFF2-40B4-BE49-F238E27FC236}">
              <a16:creationId xmlns:a16="http://schemas.microsoft.com/office/drawing/2014/main" id="{00000000-0008-0000-2E00-000007000000}"/>
            </a:ext>
          </a:extLst>
        </xdr:cNvPr>
        <xdr:cNvSpPr txBox="1"/>
      </xdr:nvSpPr>
      <xdr:spPr>
        <a:xfrm>
          <a:off x="55766873"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101</xdr:col>
      <xdr:colOff>153760</xdr:colOff>
      <xdr:row>0</xdr:row>
      <xdr:rowOff>49666</xdr:rowOff>
    </xdr:from>
    <xdr:ext cx="4347216" cy="726294"/>
    <xdr:sp macro="" textlink="">
      <xdr:nvSpPr>
        <xdr:cNvPr id="8" name="テキスト ボックス 7">
          <a:extLst>
            <a:ext uri="{FF2B5EF4-FFF2-40B4-BE49-F238E27FC236}">
              <a16:creationId xmlns:a16="http://schemas.microsoft.com/office/drawing/2014/main" id="{00000000-0008-0000-2E00-000008000000}"/>
            </a:ext>
          </a:extLst>
        </xdr:cNvPr>
        <xdr:cNvSpPr txBox="1"/>
      </xdr:nvSpPr>
      <xdr:spPr>
        <a:xfrm>
          <a:off x="66087491"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113</xdr:col>
      <xdr:colOff>153760</xdr:colOff>
      <xdr:row>0</xdr:row>
      <xdr:rowOff>49666</xdr:rowOff>
    </xdr:from>
    <xdr:ext cx="4347216" cy="726294"/>
    <xdr:sp macro="" textlink="">
      <xdr:nvSpPr>
        <xdr:cNvPr id="9" name="テキスト ボックス 8">
          <a:extLst>
            <a:ext uri="{FF2B5EF4-FFF2-40B4-BE49-F238E27FC236}">
              <a16:creationId xmlns:a16="http://schemas.microsoft.com/office/drawing/2014/main" id="{00000000-0008-0000-2E00-000009000000}"/>
            </a:ext>
          </a:extLst>
        </xdr:cNvPr>
        <xdr:cNvSpPr txBox="1"/>
      </xdr:nvSpPr>
      <xdr:spPr>
        <a:xfrm>
          <a:off x="76408109"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125</xdr:col>
      <xdr:colOff>153760</xdr:colOff>
      <xdr:row>0</xdr:row>
      <xdr:rowOff>49666</xdr:rowOff>
    </xdr:from>
    <xdr:ext cx="4347216" cy="726294"/>
    <xdr:sp macro="" textlink="">
      <xdr:nvSpPr>
        <xdr:cNvPr id="10" name="テキスト ボックス 9">
          <a:extLst>
            <a:ext uri="{FF2B5EF4-FFF2-40B4-BE49-F238E27FC236}">
              <a16:creationId xmlns:a16="http://schemas.microsoft.com/office/drawing/2014/main" id="{00000000-0008-0000-2E00-00000A000000}"/>
            </a:ext>
          </a:extLst>
        </xdr:cNvPr>
        <xdr:cNvSpPr txBox="1"/>
      </xdr:nvSpPr>
      <xdr:spPr>
        <a:xfrm>
          <a:off x="86728726"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137</xdr:col>
      <xdr:colOff>153760</xdr:colOff>
      <xdr:row>0</xdr:row>
      <xdr:rowOff>49666</xdr:rowOff>
    </xdr:from>
    <xdr:ext cx="4347216" cy="726294"/>
    <xdr:sp macro="" textlink="">
      <xdr:nvSpPr>
        <xdr:cNvPr id="11" name="テキスト ボックス 10">
          <a:extLst>
            <a:ext uri="{FF2B5EF4-FFF2-40B4-BE49-F238E27FC236}">
              <a16:creationId xmlns:a16="http://schemas.microsoft.com/office/drawing/2014/main" id="{00000000-0008-0000-2E00-00000B000000}"/>
            </a:ext>
          </a:extLst>
        </xdr:cNvPr>
        <xdr:cNvSpPr txBox="1"/>
      </xdr:nvSpPr>
      <xdr:spPr>
        <a:xfrm>
          <a:off x="97049344"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149</xdr:col>
      <xdr:colOff>153760</xdr:colOff>
      <xdr:row>0</xdr:row>
      <xdr:rowOff>49666</xdr:rowOff>
    </xdr:from>
    <xdr:ext cx="4347216" cy="726294"/>
    <xdr:sp macro="" textlink="">
      <xdr:nvSpPr>
        <xdr:cNvPr id="12" name="テキスト ボックス 11">
          <a:extLst>
            <a:ext uri="{FF2B5EF4-FFF2-40B4-BE49-F238E27FC236}">
              <a16:creationId xmlns:a16="http://schemas.microsoft.com/office/drawing/2014/main" id="{00000000-0008-0000-2E00-00000C000000}"/>
            </a:ext>
          </a:extLst>
        </xdr:cNvPr>
        <xdr:cNvSpPr txBox="1"/>
      </xdr:nvSpPr>
      <xdr:spPr>
        <a:xfrm>
          <a:off x="107369961"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161</xdr:col>
      <xdr:colOff>153760</xdr:colOff>
      <xdr:row>0</xdr:row>
      <xdr:rowOff>49666</xdr:rowOff>
    </xdr:from>
    <xdr:ext cx="4347216" cy="726294"/>
    <xdr:sp macro="" textlink="">
      <xdr:nvSpPr>
        <xdr:cNvPr id="13" name="テキスト ボックス 12">
          <a:extLst>
            <a:ext uri="{FF2B5EF4-FFF2-40B4-BE49-F238E27FC236}">
              <a16:creationId xmlns:a16="http://schemas.microsoft.com/office/drawing/2014/main" id="{00000000-0008-0000-2E00-00000D000000}"/>
            </a:ext>
          </a:extLst>
        </xdr:cNvPr>
        <xdr:cNvSpPr txBox="1"/>
      </xdr:nvSpPr>
      <xdr:spPr>
        <a:xfrm>
          <a:off x="117690579"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173</xdr:col>
      <xdr:colOff>153760</xdr:colOff>
      <xdr:row>0</xdr:row>
      <xdr:rowOff>49666</xdr:rowOff>
    </xdr:from>
    <xdr:ext cx="4347216" cy="726294"/>
    <xdr:sp macro="" textlink="">
      <xdr:nvSpPr>
        <xdr:cNvPr id="14" name="テキスト ボックス 13">
          <a:extLst>
            <a:ext uri="{FF2B5EF4-FFF2-40B4-BE49-F238E27FC236}">
              <a16:creationId xmlns:a16="http://schemas.microsoft.com/office/drawing/2014/main" id="{00000000-0008-0000-2E00-00000E000000}"/>
            </a:ext>
          </a:extLst>
        </xdr:cNvPr>
        <xdr:cNvSpPr txBox="1"/>
      </xdr:nvSpPr>
      <xdr:spPr>
        <a:xfrm>
          <a:off x="128011197"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185</xdr:col>
      <xdr:colOff>153760</xdr:colOff>
      <xdr:row>0</xdr:row>
      <xdr:rowOff>49666</xdr:rowOff>
    </xdr:from>
    <xdr:ext cx="4347216" cy="726294"/>
    <xdr:sp macro="" textlink="">
      <xdr:nvSpPr>
        <xdr:cNvPr id="15" name="テキスト ボックス 14">
          <a:extLst>
            <a:ext uri="{FF2B5EF4-FFF2-40B4-BE49-F238E27FC236}">
              <a16:creationId xmlns:a16="http://schemas.microsoft.com/office/drawing/2014/main" id="{00000000-0008-0000-2E00-00000F000000}"/>
            </a:ext>
          </a:extLst>
        </xdr:cNvPr>
        <xdr:cNvSpPr txBox="1"/>
      </xdr:nvSpPr>
      <xdr:spPr>
        <a:xfrm>
          <a:off x="138331814"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ujitsu1\&#20844;&#38283;\&#65288;&#21830;&#29992;&#26412;&#30058;&#65289;&#32113;&#21512;&#65295;&#35336;&#19978;&#22522;&#28310;&#65402;&#65392;&#65412;&#65438;&#65423;&#65405;&#65408;\&#12381;&#12398;&#20182;&#12467;&#12540;&#12489;&#12510;&#12473;&#12479;\&#12469;&#12540;&#12499;&#12473;&#12467;&#12540;&#12489;&#12486;&#12540;&#12502;&#1252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wsstn01\ekiden\home\&#38283;&#30330;&#12481;&#12540;&#12512;\&#12463;&#12521;&#12473;&#12521;&#12452;&#12502;&#12521;&#12522;&#25913;&#21892;\UO&#35519;&#26619;&#36039;&#26009;\970227.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Js7301\users2\23&#65394;&#65437;&#65412;&#65431;&#38283;&#30330;G\42&#28040;&#32791;&#65317;&#65316;&#65321;\1&#27425;&#38283;&#30330;\&#65411;&#65392;&#65420;&#65438;&#65433;&#23450;&#32681;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s7301\users2\Temp\oracle\&#65411;&#65392;&#65420;&#65438;&#65433;~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254.250\kddi\TOHO\&#65326;&#65317;&#65315;&#25552;&#20379;&#26360;&#39006;\0623from&#22338;&#26525;\&#20181;&#27096;&#26360;&#12501;&#12457;&#12540;&#12510;&#12483;&#12488;\&#30011;&#38754;&#20837;&#21147;&#20516;&#12481;&#12455;&#12483;&#12463;&#20181;&#27096;.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tcom\KRIS\DOCUME~1\TETSUYA\LOCALS~1\Temp\~WmMIME\TempMIME\MIME0349.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io2\drsum_&#20849;&#36890;\Documents%20and%20Settings\ns004618\&#12487;&#12473;&#12463;&#12488;&#12483;&#12503;\&#12521;&#12531;&#12463;&#30331;&#37682;&#30011;&#38754;_rinku.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Air-server03\bbc\GOTOH\DOC\CTC&#25991;&#26360;\&#27861;&#20154;&#31532;&#19968;\0409&#38283;&#30330;&#12521;&#12452;&#12531;\00%20&#27861;&#20154;&#12469;&#12540;&#12496;\C-ERD\3-&#29289;&#29702;ERD\&#27861;&#20154;&#22865;&#32004;ERD\0306&#22865;&#32004;&#36861;&#21152;&#12458;&#12502;&#12472;&#12455;&#12463;&#12488;(AW0414)\0306&#22865;&#32004;&#12288;&#32113;&#21512;&#36861;&#21152;&#12458;&#12502;&#12472;&#12455;&#12463;&#12488;(AW0414).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sviidabashi13\iid13-702\Psn\&#26481;&#24029;\&#12362;&#20181;&#20107;\&#65334;&#65299;&#65298;\&#65315;&#65330;&#65318;&#38651;&#25991;&#31532;&#65297;&#65296;&#29256;.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quare5\Project\Documents%20and%20Settings\&#27211;&#20117;&#20449;&#27835;\&#12487;&#12473;&#12463;&#12488;&#12483;&#12503;\&#20849;&#26377;&#21475;\0000&#12288;&#31038;&#20869;&#22577;&#21578;&#65295;&#35373;&#23450;&#38306;&#36899;\&#21220;&#24608;\1.&#23567;&#21475;&#20132;&#36890;&#36027;&#20253;&#3108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MKHS002\&#12489;&#12461;&#12517;&#12513;&#12531;&#12488;\&#20840;&#20307;\&#65316;&#65314;&#20181;&#27096;&#2636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92.168.254.250\kddi\Documents%20and%20Settings\&#22338;&#26525;&#20280;&#20108;\My%20Documents\MyWork\SI&#20107;&#26989;\2004&#24180;&#24230;&#19978;&#26399;\&#65298;&#29987;&#26989;\&#20316;&#25104;&#25991;&#26360;\&#12484;&#12540;&#12523;&#38283;&#30330;\WebUI_XML\&#30011;&#38754;&#20837;&#21147;&#20516;&#12481;&#12455;&#12483;&#12463;&#20181;&#27096;(Validator).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Gpflsv02\3CS\&#21271;&#28023;&#36947;&#38651;&#21147;\&#36865;&#38651;\&#21697;&#36074;&#35413;&#20385;\ST&#21697;&#36074;&#22577;&#21578;\trb_SOUDEN9901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Fsvcyan01\CYN01-0143\&#20225;&#30011;&#65319;\&#65403;&#65392;&#65419;&#65438;&#65405;&#20225;&#30011;T\&#26032;&#65403;&#65392;&#65419;&#65438;&#65405;\0210&#26696;&#20214;\&#35531;&#27714;&#32113;&#21512;&#12501;&#12455;&#12540;&#12474;&#65303;\01%20KRIS&#35201;&#20214;&#26908;&#35342;\&#26009;&#37329;&#31185;&#30446;&#38306;&#36899;\dabinci&#31185;&#30446;&#34920;&#20998;&#265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システム連絡先"/>
    </sheetNames>
    <sheetDataSet>
      <sheetData sheetId="0" refreshError="1">
        <row r="2">
          <cell r="EZ2" t="str">
            <v>　　　　　　　　　</v>
          </cell>
        </row>
      </sheetData>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70227"/>
      <sheetName val="ﾊﾞｸﾞ台帳ﾏｰｼﾞ版（最新）"/>
      <sheetName val="画面一覧"/>
      <sheetName val="data"/>
    </sheetNames>
    <definedNames>
      <definedName name="NewBook☆"/>
      <definedName name="NewBook★"/>
      <definedName name="SortNewBook"/>
      <definedName name="SortモジュｰルID"/>
      <definedName name="Sort確認用"/>
      <definedName name="Sort完了予定"/>
      <definedName name="Sort管理No"/>
      <definedName name="項目☆"/>
      <definedName name="集計"/>
    </definedNames>
    <sheetDataSet>
      <sheetData sheetId="0" refreshError="1"/>
      <sheetData sheetId="1" refreshError="1"/>
      <sheetData sheetId="2" refreshError="1"/>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会社ﾏｽﾀ"/>
    </sheetNames>
    <sheetDataSet>
      <sheetData sheetId="0">
        <row r="8">
          <cell r="C8" t="str">
            <v>ITEM名</v>
          </cell>
          <cell r="D8" t="str">
            <v>TYPE</v>
          </cell>
          <cell r="E8" t="str">
            <v>桁</v>
          </cell>
          <cell r="F8" t="str">
            <v>KEY</v>
          </cell>
          <cell r="G8" t="str">
            <v xml:space="preserve"> NULL</v>
          </cell>
          <cell r="H8" t="str">
            <v>Index</v>
          </cell>
          <cell r="I8" t="str">
            <v>初期値</v>
          </cell>
          <cell r="J8" t="str">
            <v>CHECK</v>
          </cell>
        </row>
        <row r="9">
          <cell r="N9">
            <v>73</v>
          </cell>
        </row>
        <row r="12">
          <cell r="N12">
            <v>10</v>
          </cell>
        </row>
        <row r="13">
          <cell r="N13">
            <v>90</v>
          </cell>
        </row>
        <row r="14">
          <cell r="N14">
            <v>12</v>
          </cell>
        </row>
        <row r="15">
          <cell r="N15">
            <v>4</v>
          </cell>
        </row>
        <row r="19">
          <cell r="N19">
            <v>21</v>
          </cell>
        </row>
        <row r="21">
          <cell r="N21">
            <v>5</v>
          </cell>
        </row>
        <row r="22">
          <cell r="N22">
            <v>6</v>
          </cell>
        </row>
        <row r="23">
          <cell r="N23">
            <v>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ﾃｰﾌﾞﾙ~1"/>
    </sheetNames>
    <definedNames>
      <definedName name="CreateSQL"/>
    </defined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改版履歴"/>
      <sheetName val="情報入力画面"/>
      <sheetName val="errMsg一覧"/>
      <sheetName val="選択"/>
    </sheetNames>
    <sheetDataSet>
      <sheetData sheetId="0" refreshError="1"/>
      <sheetData sheetId="1" refreshError="1"/>
      <sheetData sheetId="2" refreshError="1"/>
      <sheetData sheetId="3" refreshError="1">
        <row r="7">
          <cell r="C7" t="str">
            <v>errNameLength</v>
          </cell>
        </row>
        <row r="8">
          <cell r="C8" t="str">
            <v>errInput</v>
          </cell>
        </row>
        <row r="9">
          <cell r="C9" t="str">
            <v>errMsg</v>
          </cell>
        </row>
        <row r="10">
          <cell r="C10" t="str">
            <v>errLength</v>
          </cell>
        </row>
        <row r="11">
          <cell r="C11" t="str">
            <v>errHankaku</v>
          </cell>
        </row>
        <row r="12">
          <cell r="C12" t="str">
            <v>errChugoku</v>
          </cell>
        </row>
        <row r="13">
          <cell r="C13" t="str">
            <v>errHiragana</v>
          </cell>
        </row>
      </sheetData>
      <sheetData sheetId="4" refreshError="1">
        <row r="2">
          <cell r="A2" t="str">
            <v>length</v>
          </cell>
        </row>
        <row r="3">
          <cell r="A3" t="str">
            <v>range</v>
          </cell>
        </row>
        <row r="4">
          <cell r="A4" t="str">
            <v>isDate</v>
          </cell>
        </row>
        <row r="5">
          <cell r="A5" t="str">
            <v>term</v>
          </cell>
        </row>
        <row r="6">
          <cell r="A6" t="str">
            <v>user</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Ｔｐ資料"/>
      <sheetName val="NR1100"/>
      <sheetName val="NR1110"/>
      <sheetName val="NR1200"/>
      <sheetName val="NR1210"/>
      <sheetName val="NR1300"/>
      <sheetName val="料金科目テーブル"/>
      <sheetName val="項番41売上一覧表②"/>
      <sheetName val="MIME0349"/>
      <sheetName val="管理"/>
      <sheetName val="ヘッダ"/>
      <sheetName val="list"/>
    </sheetNames>
    <sheetDataSet>
      <sheetData sheetId="0" refreshError="1">
        <row r="1">
          <cell r="A1" t="str">
            <v>ABB01</v>
          </cell>
        </row>
        <row r="2">
          <cell r="A2" t="str">
            <v>ABC01</v>
          </cell>
        </row>
        <row r="3">
          <cell r="A3" t="str">
            <v>ABC02</v>
          </cell>
        </row>
        <row r="4">
          <cell r="A4" t="str">
            <v>ABC03</v>
          </cell>
        </row>
        <row r="5">
          <cell r="A5" t="str">
            <v>ABC04</v>
          </cell>
        </row>
        <row r="6">
          <cell r="A6" t="str">
            <v>ABC05</v>
          </cell>
        </row>
        <row r="7">
          <cell r="A7" t="str">
            <v>ABC06</v>
          </cell>
        </row>
        <row r="8">
          <cell r="A8" t="str">
            <v>ABC07</v>
          </cell>
        </row>
        <row r="9">
          <cell r="A9" t="str">
            <v>ABD01</v>
          </cell>
        </row>
        <row r="10">
          <cell r="A10" t="str">
            <v>ABF01</v>
          </cell>
        </row>
        <row r="11">
          <cell r="A11" t="str">
            <v>ABI01</v>
          </cell>
        </row>
        <row r="12">
          <cell r="A12" t="str">
            <v>ABV01</v>
          </cell>
        </row>
        <row r="13">
          <cell r="A13" t="str">
            <v>ABW01</v>
          </cell>
        </row>
        <row r="14">
          <cell r="A14" t="str">
            <v>ABX02</v>
          </cell>
        </row>
        <row r="15">
          <cell r="A15" t="str">
            <v>AGA01</v>
          </cell>
        </row>
        <row r="16">
          <cell r="A16" t="str">
            <v>AGA02</v>
          </cell>
        </row>
        <row r="17">
          <cell r="A17" t="str">
            <v>AGB01</v>
          </cell>
        </row>
        <row r="18">
          <cell r="A18" t="str">
            <v>AGC01</v>
          </cell>
        </row>
        <row r="19">
          <cell r="A19" t="str">
            <v>AGD01</v>
          </cell>
        </row>
        <row r="20">
          <cell r="A20" t="str">
            <v>AGK01</v>
          </cell>
        </row>
        <row r="21">
          <cell r="A21" t="str">
            <v>AHA01</v>
          </cell>
        </row>
        <row r="22">
          <cell r="A22" t="str">
            <v>AHB01</v>
          </cell>
        </row>
        <row r="23">
          <cell r="A23" t="str">
            <v>AHC01</v>
          </cell>
        </row>
        <row r="24">
          <cell r="A24" t="str">
            <v>BBB01</v>
          </cell>
        </row>
        <row r="25">
          <cell r="A25" t="str">
            <v>BBD01</v>
          </cell>
        </row>
        <row r="26">
          <cell r="A26" t="str">
            <v>BBE01</v>
          </cell>
        </row>
        <row r="27">
          <cell r="A27" t="str">
            <v>BBG01</v>
          </cell>
        </row>
        <row r="28">
          <cell r="A28" t="str">
            <v>BBH01</v>
          </cell>
        </row>
        <row r="29">
          <cell r="A29" t="str">
            <v>BBJ01</v>
          </cell>
        </row>
        <row r="30">
          <cell r="A30" t="str">
            <v>BBK01</v>
          </cell>
        </row>
        <row r="31">
          <cell r="A31" t="str">
            <v>BBL01</v>
          </cell>
        </row>
        <row r="32">
          <cell r="A32" t="str">
            <v>BBM01</v>
          </cell>
        </row>
        <row r="33">
          <cell r="A33" t="str">
            <v>BBM02</v>
          </cell>
        </row>
        <row r="34">
          <cell r="A34" t="str">
            <v>BBN01</v>
          </cell>
        </row>
        <row r="35">
          <cell r="A35" t="str">
            <v>BBN02</v>
          </cell>
        </row>
        <row r="36">
          <cell r="A36" t="str">
            <v>BBN03</v>
          </cell>
        </row>
        <row r="37">
          <cell r="A37" t="str">
            <v>BBO01</v>
          </cell>
        </row>
        <row r="38">
          <cell r="A38" t="str">
            <v>BBO02</v>
          </cell>
        </row>
        <row r="39">
          <cell r="A39" t="str">
            <v>BBP01</v>
          </cell>
        </row>
        <row r="40">
          <cell r="A40" t="str">
            <v>BBP02</v>
          </cell>
        </row>
        <row r="41">
          <cell r="A41" t="str">
            <v>BBQ01</v>
          </cell>
        </row>
        <row r="42">
          <cell r="A42" t="str">
            <v>BBR01</v>
          </cell>
        </row>
        <row r="43">
          <cell r="A43" t="str">
            <v>BBR02</v>
          </cell>
        </row>
        <row r="44">
          <cell r="A44" t="str">
            <v>BBS01</v>
          </cell>
        </row>
        <row r="45">
          <cell r="A45" t="str">
            <v>BBT01</v>
          </cell>
        </row>
        <row r="46">
          <cell r="A46" t="str">
            <v>BBV01</v>
          </cell>
        </row>
        <row r="47">
          <cell r="A47" t="str">
            <v>BBV02</v>
          </cell>
        </row>
        <row r="48">
          <cell r="A48" t="str">
            <v>BBX01</v>
          </cell>
        </row>
        <row r="49">
          <cell r="A49" t="str">
            <v>BCA01</v>
          </cell>
        </row>
        <row r="50">
          <cell r="A50" t="str">
            <v>BGA01</v>
          </cell>
        </row>
        <row r="51">
          <cell r="A51" t="str">
            <v>BGA02</v>
          </cell>
        </row>
        <row r="52">
          <cell r="A52" t="str">
            <v>BGA03</v>
          </cell>
        </row>
        <row r="53">
          <cell r="A53" t="str">
            <v>BGC01</v>
          </cell>
        </row>
        <row r="54">
          <cell r="A54" t="str">
            <v>BGC02</v>
          </cell>
        </row>
        <row r="55">
          <cell r="A55" t="str">
            <v>BGC03</v>
          </cell>
        </row>
        <row r="56">
          <cell r="A56" t="str">
            <v>BGD01</v>
          </cell>
        </row>
        <row r="57">
          <cell r="A57" t="str">
            <v>BGE01</v>
          </cell>
        </row>
        <row r="58">
          <cell r="A58" t="str">
            <v>BGE02</v>
          </cell>
        </row>
        <row r="59">
          <cell r="A59" t="str">
            <v>BGF01</v>
          </cell>
        </row>
        <row r="60">
          <cell r="A60" t="str">
            <v>BGF02</v>
          </cell>
        </row>
        <row r="61">
          <cell r="A61" t="str">
            <v>BGG01</v>
          </cell>
        </row>
        <row r="62">
          <cell r="A62" t="str">
            <v>BGI01</v>
          </cell>
        </row>
        <row r="63">
          <cell r="A63" t="str">
            <v>BGK01</v>
          </cell>
        </row>
        <row r="64">
          <cell r="A64" t="str">
            <v>BGN01</v>
          </cell>
        </row>
        <row r="65">
          <cell r="A65" t="str">
            <v>BGN02</v>
          </cell>
        </row>
        <row r="66">
          <cell r="A66" t="str">
            <v>BGN03</v>
          </cell>
        </row>
        <row r="67">
          <cell r="A67" t="str">
            <v>BGO01</v>
          </cell>
        </row>
        <row r="68">
          <cell r="A68" t="str">
            <v>BGO02</v>
          </cell>
        </row>
        <row r="69">
          <cell r="A69" t="str">
            <v>BGP01</v>
          </cell>
        </row>
        <row r="70">
          <cell r="A70" t="str">
            <v>BGQ01</v>
          </cell>
        </row>
        <row r="71">
          <cell r="A71" t="str">
            <v>BGR01</v>
          </cell>
        </row>
        <row r="72">
          <cell r="A72" t="str">
            <v>BGV01</v>
          </cell>
        </row>
        <row r="73">
          <cell r="A73" t="str">
            <v>BHC01</v>
          </cell>
        </row>
        <row r="74">
          <cell r="A74" t="str">
            <v>CGP01</v>
          </cell>
        </row>
        <row r="75">
          <cell r="A75" t="str">
            <v>CGQ01</v>
          </cell>
        </row>
        <row r="76">
          <cell r="A76" t="str">
            <v>CGR01</v>
          </cell>
        </row>
        <row r="77">
          <cell r="A77" t="str">
            <v>CGS01</v>
          </cell>
        </row>
        <row r="78">
          <cell r="A78" t="str">
            <v>CGT01</v>
          </cell>
        </row>
        <row r="79">
          <cell r="A79" t="str">
            <v>CGU01</v>
          </cell>
        </row>
        <row r="80">
          <cell r="A80" t="str">
            <v>CGW01</v>
          </cell>
        </row>
        <row r="81">
          <cell r="A81" t="str">
            <v>CGX01</v>
          </cell>
        </row>
        <row r="82">
          <cell r="A82" t="str">
            <v>CGY01</v>
          </cell>
        </row>
        <row r="83">
          <cell r="A83" t="str">
            <v>CHC01</v>
          </cell>
        </row>
        <row r="84">
          <cell r="A84" t="str">
            <v>DGQ01</v>
          </cell>
        </row>
        <row r="85">
          <cell r="A85" t="str">
            <v>DGR01</v>
          </cell>
        </row>
        <row r="86">
          <cell r="A86" t="str">
            <v>DHA01</v>
          </cell>
        </row>
        <row r="87">
          <cell r="A87" t="str">
            <v>DHB01</v>
          </cell>
        </row>
        <row r="88">
          <cell r="A88" t="str">
            <v>DHC01</v>
          </cell>
        </row>
        <row r="89">
          <cell r="A89" t="str">
            <v>DHD01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ランク登録画面"/>
      <sheetName val="質問"/>
      <sheetName val="data"/>
    </sheetNames>
    <sheetDataSet>
      <sheetData sheetId="0" refreshError="1"/>
      <sheetData sheetId="1" refreshError="1"/>
      <sheetData sheetId="2" refreshError="1"/>
      <sheetData sheetId="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凡例"/>
      <sheetName val="テーブル定義"/>
      <sheetName val="はじめに"/>
      <sheetName val="シーケンス"/>
      <sheetName val="スナップショットログ"/>
      <sheetName val="スナップショット"/>
      <sheetName val="DBリンク"/>
      <sheetName val="ビュー"/>
      <sheetName val="トリガー"/>
      <sheetName val="インデックス"/>
      <sheetName val="デフォルト"/>
      <sheetName val="ユーザー"/>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
      <sheetName val="目次"/>
      <sheetName val="プロセス一覧"/>
      <sheetName val="ルート探索"/>
      <sheetName val="申請"/>
      <sheetName val="承認一覧検索"/>
      <sheetName val="申請情報取得"/>
      <sheetName val="コメント取得"/>
      <sheetName val="処理待ち確定"/>
      <sheetName val="申請取消"/>
      <sheetName val="申請一覧検索"/>
      <sheetName val="リクエストキー取得"/>
      <sheetName val="進捗管理情報取得①"/>
      <sheetName val="進捗管理情報取得②"/>
      <sheetName val="ＵＲＩ取得"/>
      <sheetName val="承認プロセス一覧検索"/>
      <sheetName val="承認取消"/>
      <sheetName val="引継"/>
      <sheetName val="状態変更"/>
      <sheetName val="業務呼出し"/>
      <sheetName val="附録Ａ"/>
      <sheetName val="附録Ｂ"/>
      <sheetName val="附録Ｃ"/>
      <sheetName val="附録Ｄ"/>
      <sheetName val="附録Ｅ"/>
      <sheetName val="附録Ｆ①"/>
      <sheetName val="附録Ｆ②"/>
      <sheetName val="附録Ｆ③"/>
      <sheetName val="附録Ｆ④"/>
      <sheetName val="附録G"/>
      <sheetName val="附録Ｈ①"/>
      <sheetName val="附録Ｈ②"/>
      <sheetName val="附録Ｈ③"/>
      <sheetName val="附録Ｊ"/>
      <sheetName val="附録Ｋ"/>
      <sheetName val="附録Ｌ①"/>
      <sheetName val="附録Ｌ②"/>
      <sheetName val="附録Ｍ①"/>
      <sheetName val="附録Ｍ②"/>
      <sheetName val="附録Ｎ"/>
      <sheetName val="附録Ｐ"/>
      <sheetName val="附録Ｑ"/>
      <sheetName val="附録Ｒ"/>
      <sheetName val="選択用プルダウン"/>
    </sheetNames>
    <sheetDataSet>
      <sheetData sheetId="0">
        <row r="2">
          <cell r="N2" t="str">
            <v>企業情報システム開発プロジェクト</v>
          </cell>
        </row>
        <row r="4">
          <cell r="N4" t="str">
            <v>ワークフロー設計ガイドライン（イテレーション３用電文仕様書）</v>
          </cell>
        </row>
        <row r="6">
          <cell r="N6" t="str">
            <v>第3.2版</v>
          </cell>
        </row>
        <row r="7">
          <cell r="N7" t="str">
            <v>OA共通／ワークフロー</v>
          </cell>
        </row>
        <row r="9">
          <cell r="N9" t="str">
            <v>2001.05.14</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振込伝票 (交通費)"/>
      <sheetName val="Sheet1"/>
    </sheetNames>
    <sheetDataSet>
      <sheetData sheetId="0" refreshError="1"/>
      <sheetData sheetId="1">
        <row r="4">
          <cell r="F4" t="str">
            <v>直接</v>
          </cell>
        </row>
        <row r="5">
          <cell r="F5" t="str">
            <v>間接</v>
          </cell>
        </row>
        <row r="6">
          <cell r="F6" t="str">
            <v>販売</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項目一覧"/>
      <sheetName val="テーブル一覧"/>
      <sheetName val="相手先マスタ"/>
      <sheetName val="得意先マスタ"/>
      <sheetName val="仕入先マスタ"/>
      <sheetName val="商品マスタ"/>
      <sheetName val="出庫済ファイル"/>
      <sheetName val="出庫ファイル"/>
      <sheetName val="管理コントロールＦ"/>
      <sheetName val="商品コード変換Ｆ "/>
      <sheetName val="量販コード変換Ｆ"/>
      <sheetName val="月間用仕入計上Ｆ"/>
      <sheetName val="仕入計上ファイル"/>
      <sheetName val="売上ファイル"/>
      <sheetName val="社内移動ファイル"/>
      <sheetName val="月間用社内移動Ｆ"/>
      <sheetName val="採番ファイル"/>
      <sheetName val="欠品ファイル"/>
      <sheetName val="受注ファイル"/>
      <sheetName val="発注予定ファイル"/>
      <sheetName val="担当者マスタ"/>
      <sheetName val="管理事業所マスタ"/>
      <sheetName val="機能マスタ"/>
      <sheetName val="事業所マスタ"/>
      <sheetName val="●以降未確定●"/>
      <sheetName val="売上原始データＦ"/>
      <sheetName val="入庫予定Ｆ"/>
      <sheetName val="請求ファイル"/>
      <sheetName val="在庫マスタ"/>
      <sheetName val="ＬＯＴ在庫マスタ"/>
      <sheetName val="休日ｺﾝﾄﾛｰﾙＦ"/>
      <sheetName val="送信ファイル"/>
      <sheetName val="送信ポインタＦ"/>
      <sheetName val="商品部門検索"/>
      <sheetName val="Sheet2"/>
      <sheetName val="Sheet3"/>
      <sheetName val="選択用プルダウン"/>
    </sheetNames>
    <sheetDataSet>
      <sheetData sheetId="0" refreshError="1">
        <row r="3">
          <cell r="A3" t="str">
            <v>Ⅰ</v>
          </cell>
          <cell r="B3" t="str">
            <v>HINSH1</v>
          </cell>
          <cell r="C3">
            <v>9</v>
          </cell>
          <cell r="D3">
            <v>2</v>
          </cell>
        </row>
        <row r="4">
          <cell r="A4" t="str">
            <v>Ⅱ</v>
          </cell>
          <cell r="B4" t="str">
            <v>HINSH2</v>
          </cell>
          <cell r="C4">
            <v>9</v>
          </cell>
          <cell r="D4">
            <v>2</v>
          </cell>
        </row>
        <row r="5">
          <cell r="A5" t="str">
            <v>ＦＡＸ番号１</v>
          </cell>
          <cell r="B5" t="str">
            <v>FAX_NO1</v>
          </cell>
          <cell r="C5" t="str">
            <v>X</v>
          </cell>
          <cell r="D5">
            <v>10</v>
          </cell>
        </row>
        <row r="6">
          <cell r="A6" t="str">
            <v>ＦＡＸ番号２</v>
          </cell>
          <cell r="B6" t="str">
            <v>FAX_NO2</v>
          </cell>
          <cell r="C6" t="str">
            <v>X</v>
          </cell>
          <cell r="D6">
            <v>10</v>
          </cell>
        </row>
        <row r="7">
          <cell r="A7" t="str">
            <v>ＫＧ区分</v>
          </cell>
          <cell r="B7" t="str">
            <v>KGKBN</v>
          </cell>
          <cell r="C7">
            <v>9</v>
          </cell>
          <cell r="D7">
            <v>1</v>
          </cell>
        </row>
        <row r="8">
          <cell r="A8" t="str">
            <v>℡番号１</v>
          </cell>
          <cell r="B8" t="str">
            <v>TEL_NO1</v>
          </cell>
          <cell r="C8" t="str">
            <v>X</v>
          </cell>
          <cell r="D8">
            <v>10</v>
          </cell>
        </row>
        <row r="9">
          <cell r="A9" t="str">
            <v>℡番号２</v>
          </cell>
          <cell r="B9" t="str">
            <v>TEL_NO2</v>
          </cell>
          <cell r="C9" t="str">
            <v>X</v>
          </cell>
          <cell r="D9">
            <v>10</v>
          </cell>
        </row>
        <row r="10">
          <cell r="A10" t="str">
            <v>相手先ANK名称</v>
          </cell>
          <cell r="B10" t="str">
            <v>AITMEI_ANK</v>
          </cell>
          <cell r="C10" t="str">
            <v>X</v>
          </cell>
          <cell r="D10">
            <v>15</v>
          </cell>
        </row>
        <row r="11">
          <cell r="A11" t="str">
            <v>相手先ＣＤ</v>
          </cell>
          <cell r="B11" t="str">
            <v>AITCD</v>
          </cell>
          <cell r="C11">
            <v>9</v>
          </cell>
          <cell r="D11">
            <v>6</v>
          </cell>
        </row>
        <row r="12">
          <cell r="A12" t="str">
            <v>相手先区分</v>
          </cell>
          <cell r="B12" t="str">
            <v>AITKBN</v>
          </cell>
          <cell r="C12" t="str">
            <v>X</v>
          </cell>
          <cell r="D12">
            <v>2</v>
          </cell>
        </row>
        <row r="13">
          <cell r="A13" t="str">
            <v>相手先住所１</v>
          </cell>
          <cell r="B13" t="str">
            <v>AITADR1</v>
          </cell>
          <cell r="C13" t="str">
            <v>X</v>
          </cell>
          <cell r="D13">
            <v>60</v>
          </cell>
        </row>
        <row r="14">
          <cell r="A14" t="str">
            <v>相手先住所２</v>
          </cell>
          <cell r="B14" t="str">
            <v>AITADR2</v>
          </cell>
          <cell r="C14" t="str">
            <v>X</v>
          </cell>
          <cell r="D14">
            <v>60</v>
          </cell>
        </row>
        <row r="15">
          <cell r="A15" t="str">
            <v>相手先名称１</v>
          </cell>
          <cell r="B15" t="str">
            <v>AITMEI1</v>
          </cell>
          <cell r="C15" t="str">
            <v>X</v>
          </cell>
          <cell r="D15">
            <v>40</v>
          </cell>
        </row>
        <row r="16">
          <cell r="A16" t="str">
            <v>相手先名称２</v>
          </cell>
          <cell r="B16" t="str">
            <v>AITMEI2</v>
          </cell>
          <cell r="C16" t="str">
            <v>X</v>
          </cell>
          <cell r="D16">
            <v>40</v>
          </cell>
        </row>
        <row r="17">
          <cell r="A17" t="str">
            <v>相手先略称</v>
          </cell>
          <cell r="B17" t="str">
            <v>AITMEI_RYA</v>
          </cell>
          <cell r="C17" t="str">
            <v>X</v>
          </cell>
          <cell r="D17">
            <v>20</v>
          </cell>
        </row>
        <row r="18">
          <cell r="A18" t="str">
            <v>入数</v>
          </cell>
          <cell r="B18" t="str">
            <v>IRISU</v>
          </cell>
          <cell r="C18">
            <v>9</v>
          </cell>
          <cell r="D18">
            <v>5</v>
          </cell>
        </row>
        <row r="19">
          <cell r="A19" t="str">
            <v>受払区分</v>
          </cell>
          <cell r="B19" t="str">
            <v>UKEKBN</v>
          </cell>
          <cell r="C19">
            <v>9</v>
          </cell>
          <cell r="D19">
            <v>1</v>
          </cell>
        </row>
        <row r="20">
          <cell r="A20" t="str">
            <v>売上？？</v>
          </cell>
          <cell r="B20" t="str">
            <v>URIKBN</v>
          </cell>
          <cell r="C20">
            <v>9</v>
          </cell>
          <cell r="D20">
            <v>1</v>
          </cell>
        </row>
        <row r="21">
          <cell r="A21" t="str">
            <v>売掛</v>
          </cell>
          <cell r="B21" t="str">
            <v>KAKE</v>
          </cell>
          <cell r="C21">
            <v>9</v>
          </cell>
          <cell r="D21">
            <v>9</v>
          </cell>
        </row>
        <row r="22">
          <cell r="A22" t="str">
            <v>エラー区分</v>
          </cell>
          <cell r="B22" t="str">
            <v>ERRKBN</v>
          </cell>
          <cell r="C22">
            <v>9</v>
          </cell>
          <cell r="D22">
            <v>1</v>
          </cell>
        </row>
        <row r="23">
          <cell r="A23" t="str">
            <v>加工・生区分</v>
          </cell>
          <cell r="B23" t="str">
            <v>KAKONM</v>
          </cell>
          <cell r="C23">
            <v>9</v>
          </cell>
          <cell r="D23">
            <v>1</v>
          </cell>
        </row>
        <row r="24">
          <cell r="A24" t="str">
            <v>加工回数</v>
          </cell>
          <cell r="B24" t="str">
            <v>KAKKAI</v>
          </cell>
          <cell r="C24">
            <v>9</v>
          </cell>
          <cell r="D24">
            <v>2</v>
          </cell>
        </row>
        <row r="25">
          <cell r="A25" t="str">
            <v>加工締日</v>
          </cell>
          <cell r="B25" t="str">
            <v>KAKSIM</v>
          </cell>
          <cell r="C25" t="str">
            <v xml:space="preserve"> </v>
          </cell>
          <cell r="D25" t="str">
            <v xml:space="preserve"> </v>
          </cell>
        </row>
        <row r="26">
          <cell r="A26" t="str">
            <v>加工品・生肉</v>
          </cell>
          <cell r="B26" t="str">
            <v>KAKNAM</v>
          </cell>
          <cell r="C26" t="str">
            <v xml:space="preserve"> </v>
          </cell>
          <cell r="D26" t="str">
            <v xml:space="preserve"> </v>
          </cell>
        </row>
        <row r="27">
          <cell r="A27" t="str">
            <v>加工品売上額</v>
          </cell>
          <cell r="B27" t="str">
            <v>URIAGE_KAK</v>
          </cell>
          <cell r="C27">
            <v>9</v>
          </cell>
          <cell r="D27">
            <v>9</v>
          </cell>
        </row>
        <row r="28">
          <cell r="A28" t="str">
            <v>加工品消費税</v>
          </cell>
          <cell r="B28" t="str">
            <v>SHIZEI_KAK</v>
          </cell>
          <cell r="C28">
            <v>9</v>
          </cell>
          <cell r="D28">
            <v>9</v>
          </cell>
        </row>
        <row r="29">
          <cell r="A29" t="str">
            <v>加工品前月粗利益</v>
          </cell>
          <cell r="B29" t="str">
            <v>ARIEKI_ZEN</v>
          </cell>
          <cell r="C29">
            <v>9</v>
          </cell>
          <cell r="D29">
            <v>9</v>
          </cell>
        </row>
        <row r="30">
          <cell r="A30" t="str">
            <v>加工品前々月粗利益</v>
          </cell>
          <cell r="B30" t="str">
            <v>ARIEKI_ZZN</v>
          </cell>
          <cell r="C30">
            <v>9</v>
          </cell>
          <cell r="D30">
            <v>9</v>
          </cell>
        </row>
        <row r="31">
          <cell r="A31" t="str">
            <v>引当フラグ</v>
          </cell>
          <cell r="B31" t="str">
            <v>KHIFLG</v>
          </cell>
          <cell r="C31" t="str">
            <v>X</v>
          </cell>
          <cell r="D31">
            <v>1</v>
          </cell>
        </row>
        <row r="32">
          <cell r="A32" t="str">
            <v>期月</v>
          </cell>
          <cell r="B32" t="str">
            <v>KIJITU_MM</v>
          </cell>
          <cell r="C32">
            <v>9</v>
          </cell>
          <cell r="D32">
            <v>1</v>
          </cell>
        </row>
        <row r="33">
          <cell r="A33" t="str">
            <v>期日</v>
          </cell>
          <cell r="B33" t="str">
            <v>KIJITU_DD</v>
          </cell>
          <cell r="C33">
            <v>9</v>
          </cell>
          <cell r="D33">
            <v>2</v>
          </cell>
        </row>
        <row r="34">
          <cell r="A34" t="str">
            <v>機能ＣＤ</v>
          </cell>
          <cell r="B34" t="str">
            <v>KINOU_CD</v>
          </cell>
          <cell r="C34">
            <v>9</v>
          </cell>
          <cell r="D34">
            <v>3</v>
          </cell>
        </row>
        <row r="35">
          <cell r="A35" t="str">
            <v>機能区分</v>
          </cell>
          <cell r="B35" t="str">
            <v>KINOU_KBN</v>
          </cell>
          <cell r="C35">
            <v>9</v>
          </cell>
          <cell r="D35">
            <v>4</v>
          </cell>
        </row>
        <row r="36">
          <cell r="A36" t="str">
            <v>業種ＣＤ</v>
          </cell>
          <cell r="B36" t="str">
            <v>GYOSHU</v>
          </cell>
          <cell r="C36">
            <v>9</v>
          </cell>
          <cell r="D36">
            <v>3</v>
          </cell>
        </row>
        <row r="37">
          <cell r="A37" t="str">
            <v>経由先ＣＤ</v>
          </cell>
          <cell r="B37" t="str">
            <v>KEIYUC</v>
          </cell>
          <cell r="C37" t="str">
            <v>X</v>
          </cell>
          <cell r="D37">
            <v>6</v>
          </cell>
        </row>
        <row r="38">
          <cell r="A38" t="str">
            <v>経由先名</v>
          </cell>
          <cell r="B38" t="str">
            <v>KEIYUM</v>
          </cell>
          <cell r="C38" t="str">
            <v>X</v>
          </cell>
          <cell r="D38">
            <v>16</v>
          </cell>
        </row>
        <row r="39">
          <cell r="A39" t="str">
            <v>欠品数</v>
          </cell>
          <cell r="B39" t="str">
            <v>KETPIN</v>
          </cell>
          <cell r="C39">
            <v>9</v>
          </cell>
          <cell r="D39">
            <v>7</v>
          </cell>
        </row>
        <row r="40">
          <cell r="A40" t="str">
            <v>現金</v>
          </cell>
          <cell r="B40" t="str">
            <v>GENKIN</v>
          </cell>
          <cell r="C40">
            <v>9</v>
          </cell>
          <cell r="D40">
            <v>9</v>
          </cell>
        </row>
        <row r="41">
          <cell r="A41" t="str">
            <v>現在売掛残</v>
          </cell>
          <cell r="B41" t="str">
            <v>GENZAN</v>
          </cell>
          <cell r="C41">
            <v>9</v>
          </cell>
          <cell r="D41">
            <v>9</v>
          </cell>
        </row>
        <row r="42">
          <cell r="A42" t="str">
            <v>工場発注日数</v>
          </cell>
          <cell r="B42" t="str">
            <v>KOUNIS</v>
          </cell>
          <cell r="C42" t="str">
            <v>X</v>
          </cell>
          <cell r="D42">
            <v>2</v>
          </cell>
        </row>
        <row r="43">
          <cell r="A43" t="str">
            <v>コース種別</v>
          </cell>
          <cell r="B43" t="str">
            <v>COURSE</v>
          </cell>
          <cell r="C43">
            <v>9</v>
          </cell>
          <cell r="D43">
            <v>1</v>
          </cell>
        </row>
        <row r="44">
          <cell r="A44" t="str">
            <v>小切手</v>
          </cell>
          <cell r="B44" t="str">
            <v>KOGITE</v>
          </cell>
          <cell r="C44">
            <v>9</v>
          </cell>
          <cell r="D44">
            <v>9</v>
          </cell>
        </row>
        <row r="45">
          <cell r="A45" t="str">
            <v>梱包入数</v>
          </cell>
          <cell r="B45" t="str">
            <v>IRISU</v>
          </cell>
          <cell r="C45">
            <v>9</v>
          </cell>
          <cell r="D45">
            <v>3</v>
          </cell>
        </row>
        <row r="46">
          <cell r="A46" t="str">
            <v>在庫情報</v>
          </cell>
          <cell r="B46" t="str">
            <v>ZAIKO</v>
          </cell>
          <cell r="C46" t="str">
            <v>　</v>
          </cell>
          <cell r="D46" t="str">
            <v>　</v>
          </cell>
        </row>
        <row r="47">
          <cell r="A47" t="str">
            <v>在庫数</v>
          </cell>
          <cell r="B47" t="str">
            <v>ZAIKSU</v>
          </cell>
          <cell r="C47">
            <v>9</v>
          </cell>
          <cell r="D47">
            <v>9</v>
          </cell>
        </row>
        <row r="48">
          <cell r="A48" t="str">
            <v>最終仕入単価</v>
          </cell>
          <cell r="B48" t="str">
            <v>SHITNK_LST</v>
          </cell>
          <cell r="C48">
            <v>9</v>
          </cell>
          <cell r="D48">
            <v>9</v>
          </cell>
        </row>
        <row r="49">
          <cell r="A49" t="str">
            <v>最終仕入日付</v>
          </cell>
          <cell r="B49" t="str">
            <v>SHIDAT_LST</v>
          </cell>
          <cell r="C49" t="str">
            <v>X</v>
          </cell>
          <cell r="D49">
            <v>8</v>
          </cell>
        </row>
        <row r="50">
          <cell r="A50" t="str">
            <v>最終出庫日</v>
          </cell>
          <cell r="B50" t="str">
            <v>SHUKBI_LST</v>
          </cell>
          <cell r="C50" t="str">
            <v>X</v>
          </cell>
          <cell r="D50">
            <v>8</v>
          </cell>
        </row>
        <row r="51">
          <cell r="A51" t="str">
            <v>削除区分</v>
          </cell>
          <cell r="B51" t="str">
            <v>DELKBN</v>
          </cell>
          <cell r="C51">
            <v>9</v>
          </cell>
          <cell r="D51">
            <v>1</v>
          </cell>
        </row>
        <row r="52">
          <cell r="A52" t="str">
            <v>仕入先ＣＤ</v>
          </cell>
          <cell r="B52" t="str">
            <v>SIRESC</v>
          </cell>
          <cell r="C52" t="str">
            <v>X</v>
          </cell>
          <cell r="D52">
            <v>6</v>
          </cell>
        </row>
        <row r="53">
          <cell r="A53" t="str">
            <v>仕入先ＣＤ１</v>
          </cell>
          <cell r="B53" t="str">
            <v>SIRCD1</v>
          </cell>
          <cell r="C53">
            <v>9</v>
          </cell>
          <cell r="D53">
            <v>4</v>
          </cell>
        </row>
        <row r="54">
          <cell r="A54" t="str">
            <v>仕入先ＣＤ２</v>
          </cell>
          <cell r="B54" t="str">
            <v>SIRCD2</v>
          </cell>
          <cell r="C54">
            <v>9</v>
          </cell>
          <cell r="D54">
            <v>2</v>
          </cell>
        </row>
        <row r="55">
          <cell r="A55" t="str">
            <v>仕入先NM</v>
          </cell>
          <cell r="B55" t="str">
            <v>SIRESM</v>
          </cell>
          <cell r="C55" t="str">
            <v>X</v>
          </cell>
          <cell r="D55">
            <v>20</v>
          </cell>
        </row>
        <row r="56">
          <cell r="A56" t="str">
            <v>仕入先情報</v>
          </cell>
          <cell r="B56" t="str">
            <v>SIRESK</v>
          </cell>
          <cell r="C56" t="str">
            <v>　</v>
          </cell>
          <cell r="D56" t="str">
            <v>　</v>
          </cell>
        </row>
        <row r="57">
          <cell r="A57" t="str">
            <v>仕入先名</v>
          </cell>
          <cell r="B57" t="str">
            <v>SIRMEI</v>
          </cell>
          <cell r="C57" t="str">
            <v>X</v>
          </cell>
          <cell r="D57">
            <v>30</v>
          </cell>
        </row>
        <row r="58">
          <cell r="A58" t="str">
            <v>仕入先名(ANK)</v>
          </cell>
          <cell r="B58" t="str">
            <v>SIRMEI_ANK</v>
          </cell>
          <cell r="C58" t="str">
            <v>X</v>
          </cell>
          <cell r="D58">
            <v>20</v>
          </cell>
        </row>
        <row r="59">
          <cell r="A59" t="str">
            <v>仕入先有効日</v>
          </cell>
          <cell r="B59" t="str">
            <v>SIRYUK</v>
          </cell>
          <cell r="C59">
            <v>9</v>
          </cell>
          <cell r="D59">
            <v>8</v>
          </cell>
        </row>
        <row r="60">
          <cell r="A60" t="str">
            <v>事業所ＣＤ</v>
          </cell>
          <cell r="B60" t="str">
            <v>JIGYOC</v>
          </cell>
          <cell r="C60" t="str">
            <v>X</v>
          </cell>
          <cell r="D60">
            <v>4</v>
          </cell>
        </row>
        <row r="61">
          <cell r="A61" t="str">
            <v>事業所名</v>
          </cell>
          <cell r="B61" t="str">
            <v>JIGMEI</v>
          </cell>
          <cell r="C61" t="str">
            <v>X</v>
          </cell>
          <cell r="D61">
            <v>20</v>
          </cell>
        </row>
        <row r="62">
          <cell r="A62" t="str">
            <v>事業所名(ANK)</v>
          </cell>
          <cell r="B62" t="str">
            <v>JIGMEI_ANK</v>
          </cell>
          <cell r="C62" t="str">
            <v>X</v>
          </cell>
          <cell r="D62">
            <v>15</v>
          </cell>
        </row>
        <row r="63">
          <cell r="A63" t="str">
            <v>締日</v>
          </cell>
          <cell r="B63" t="str">
            <v>SIME_DAT</v>
          </cell>
          <cell r="C63">
            <v>9</v>
          </cell>
          <cell r="D63">
            <v>2</v>
          </cell>
        </row>
        <row r="64">
          <cell r="A64" t="str">
            <v>締日テーブル</v>
          </cell>
          <cell r="B64" t="str">
            <v>SIME_TBL</v>
          </cell>
          <cell r="C64" t="str">
            <v xml:space="preserve"> </v>
          </cell>
          <cell r="D64" t="str">
            <v xml:space="preserve"> </v>
          </cell>
        </row>
        <row r="65">
          <cell r="A65" t="str">
            <v>社内移動入力区分</v>
          </cell>
          <cell r="B65" t="str">
            <v>SNANYU</v>
          </cell>
          <cell r="C65">
            <v>9</v>
          </cell>
          <cell r="D65">
            <v>1</v>
          </cell>
        </row>
        <row r="66">
          <cell r="A66" t="str">
            <v>社内振替単価／㎏</v>
          </cell>
          <cell r="B66" t="str">
            <v>JYUTNK</v>
          </cell>
          <cell r="C66">
            <v>9</v>
          </cell>
          <cell r="D66">
            <v>7</v>
          </cell>
        </row>
        <row r="67">
          <cell r="A67" t="str">
            <v>社内振替単価／個</v>
          </cell>
          <cell r="B67" t="str">
            <v>KSUTNK</v>
          </cell>
          <cell r="C67">
            <v>9</v>
          </cell>
          <cell r="D67">
            <v>7</v>
          </cell>
        </row>
        <row r="68">
          <cell r="A68" t="str">
            <v>重量／個</v>
          </cell>
          <cell r="B68" t="str">
            <v>KSUJRY</v>
          </cell>
          <cell r="C68">
            <v>9</v>
          </cell>
          <cell r="D68">
            <v>5</v>
          </cell>
        </row>
        <row r="69">
          <cell r="A69" t="str">
            <v>受注№</v>
          </cell>
          <cell r="B69" t="str">
            <v>JYUCHU_NO</v>
          </cell>
          <cell r="C69" t="str">
            <v>X</v>
          </cell>
          <cell r="D69">
            <v>6</v>
          </cell>
        </row>
        <row r="70">
          <cell r="A70" t="str">
            <v>受注確定数</v>
          </cell>
          <cell r="B70" t="str">
            <v>JYUTYU_KAK</v>
          </cell>
          <cell r="C70">
            <v>9</v>
          </cell>
          <cell r="D70">
            <v>6</v>
          </cell>
        </row>
        <row r="71">
          <cell r="A71" t="str">
            <v>受注数</v>
          </cell>
          <cell r="B71" t="str">
            <v>JYUCHU</v>
          </cell>
          <cell r="C71">
            <v>9</v>
          </cell>
          <cell r="D71">
            <v>6</v>
          </cell>
        </row>
        <row r="72">
          <cell r="A72" t="str">
            <v>出庫確定日</v>
          </cell>
          <cell r="B72" t="str">
            <v>SHKKAK</v>
          </cell>
          <cell r="C72" t="str">
            <v>X</v>
          </cell>
          <cell r="D72">
            <v>8</v>
          </cell>
        </row>
        <row r="73">
          <cell r="A73" t="str">
            <v>出庫指示№</v>
          </cell>
          <cell r="B73" t="str">
            <v>SYUTKO_NO</v>
          </cell>
          <cell r="C73" t="str">
            <v>X</v>
          </cell>
          <cell r="D73">
            <v>2</v>
          </cell>
        </row>
        <row r="74">
          <cell r="A74" t="str">
            <v>出庫指示日</v>
          </cell>
          <cell r="B74" t="str">
            <v>SHKSJI</v>
          </cell>
          <cell r="C74" t="str">
            <v>X</v>
          </cell>
          <cell r="D74">
            <v>8</v>
          </cell>
        </row>
        <row r="75">
          <cell r="A75" t="str">
            <v>出庫日</v>
          </cell>
          <cell r="B75" t="str">
            <v xml:space="preserve">SHUKBI </v>
          </cell>
          <cell r="C75" t="str">
            <v>X</v>
          </cell>
          <cell r="D75">
            <v>8</v>
          </cell>
        </row>
        <row r="76">
          <cell r="A76" t="str">
            <v>出庫フラグ</v>
          </cell>
          <cell r="B76" t="str">
            <v>SHKFLG</v>
          </cell>
          <cell r="C76" t="str">
            <v>X</v>
          </cell>
          <cell r="D76">
            <v>2</v>
          </cell>
        </row>
        <row r="77">
          <cell r="A77" t="str">
            <v>商品ＣＤ</v>
          </cell>
          <cell r="B77" t="str">
            <v>SHOHNC</v>
          </cell>
          <cell r="C77" t="str">
            <v>X</v>
          </cell>
          <cell r="D77">
            <v>7</v>
          </cell>
        </row>
        <row r="78">
          <cell r="A78" t="str">
            <v>商品ＪＡＮ（１５）</v>
          </cell>
          <cell r="B78" t="str">
            <v>SYOHIN_JAN</v>
          </cell>
          <cell r="C78" t="str">
            <v>X</v>
          </cell>
          <cell r="D78">
            <v>15</v>
          </cell>
        </row>
        <row r="79">
          <cell r="A79" t="str">
            <v>商品グループＣＤ</v>
          </cell>
          <cell r="B79" t="str">
            <v>SHOGRP</v>
          </cell>
          <cell r="C79">
            <v>9</v>
          </cell>
          <cell r="D79">
            <v>1</v>
          </cell>
        </row>
        <row r="80">
          <cell r="A80" t="str">
            <v>商品サブＣＤ</v>
          </cell>
          <cell r="B80" t="str">
            <v>SHOSUB</v>
          </cell>
          <cell r="C80" t="str">
            <v>X</v>
          </cell>
          <cell r="D80">
            <v>2</v>
          </cell>
        </row>
        <row r="81">
          <cell r="A81" t="str">
            <v>商品名１</v>
          </cell>
          <cell r="B81" t="str">
            <v>HINMEI</v>
          </cell>
          <cell r="C81" t="str">
            <v>X</v>
          </cell>
          <cell r="D81">
            <v>40</v>
          </cell>
        </row>
        <row r="82">
          <cell r="A82" t="str">
            <v>商品名(ANK)</v>
          </cell>
          <cell r="B82" t="str">
            <v>HINMEI_ANK</v>
          </cell>
          <cell r="C82" t="str">
            <v>X</v>
          </cell>
          <cell r="D82">
            <v>15</v>
          </cell>
        </row>
        <row r="83">
          <cell r="A83" t="str">
            <v>商品名２</v>
          </cell>
          <cell r="B83" t="str">
            <v>HINSUB</v>
          </cell>
          <cell r="C83" t="str">
            <v>X</v>
          </cell>
          <cell r="D83">
            <v>20</v>
          </cell>
        </row>
        <row r="84">
          <cell r="A84" t="str">
            <v>処理区分</v>
          </cell>
          <cell r="B84" t="str">
            <v>SHRKBN</v>
          </cell>
          <cell r="C84" t="str">
            <v>X</v>
          </cell>
          <cell r="D84">
            <v>2</v>
          </cell>
        </row>
        <row r="85">
          <cell r="A85" t="str">
            <v>新商品区分</v>
          </cell>
          <cell r="B85" t="str">
            <v>NEWSHO_KBN</v>
          </cell>
          <cell r="C85">
            <v>9</v>
          </cell>
          <cell r="D85">
            <v>1</v>
          </cell>
        </row>
        <row r="86">
          <cell r="A86" t="str">
            <v>数量</v>
          </cell>
          <cell r="B86" t="str">
            <v>SURYO</v>
          </cell>
          <cell r="C86">
            <v>9</v>
          </cell>
          <cell r="D86">
            <v>7</v>
          </cell>
        </row>
        <row r="87">
          <cell r="A87" t="str">
            <v>請求先ＣＤ</v>
          </cell>
          <cell r="B87" t="str">
            <v>SEICOD</v>
          </cell>
          <cell r="C87">
            <v>9</v>
          </cell>
          <cell r="D87">
            <v>4</v>
          </cell>
        </row>
        <row r="88">
          <cell r="A88" t="str">
            <v>税計算区分</v>
          </cell>
          <cell r="B88" t="str">
            <v>ZEIKBN</v>
          </cell>
          <cell r="C88">
            <v>9</v>
          </cell>
          <cell r="D88">
            <v>1</v>
          </cell>
        </row>
        <row r="89">
          <cell r="A89" t="str">
            <v>製造元区分</v>
          </cell>
          <cell r="B89" t="str">
            <v>SEIZOU_KBN</v>
          </cell>
          <cell r="C89">
            <v>9</v>
          </cell>
          <cell r="D89">
            <v>1</v>
          </cell>
        </row>
        <row r="90">
          <cell r="A90" t="str">
            <v>前回請求額</v>
          </cell>
          <cell r="B90" t="str">
            <v>SEIKNG_ZEN</v>
          </cell>
          <cell r="C90">
            <v>9</v>
          </cell>
          <cell r="D90">
            <v>9</v>
          </cell>
        </row>
        <row r="91">
          <cell r="A91" t="str">
            <v>前回請求年月</v>
          </cell>
          <cell r="B91" t="str">
            <v>SEINGT_ZEN</v>
          </cell>
          <cell r="C91" t="str">
            <v>X</v>
          </cell>
          <cell r="D91">
            <v>8</v>
          </cell>
        </row>
        <row r="92">
          <cell r="A92" t="str">
            <v>前月売掛金残</v>
          </cell>
          <cell r="B92" t="str">
            <v>GENZAN_ZEN</v>
          </cell>
          <cell r="C92">
            <v>9</v>
          </cell>
          <cell r="D92">
            <v>9</v>
          </cell>
        </row>
        <row r="93">
          <cell r="A93" t="str">
            <v>前月休日</v>
          </cell>
          <cell r="B93" t="str">
            <v>KYUJIT_ZEN</v>
          </cell>
          <cell r="C93" t="str">
            <v>X</v>
          </cell>
          <cell r="D93">
            <v>1</v>
          </cell>
        </row>
        <row r="94">
          <cell r="A94" t="str">
            <v>前月工場休日区分</v>
          </cell>
          <cell r="B94" t="str">
            <v>KYUKBN_ZEN</v>
          </cell>
          <cell r="C94" t="str">
            <v xml:space="preserve"> </v>
          </cell>
          <cell r="D94" t="str">
            <v xml:space="preserve"> </v>
          </cell>
        </row>
        <row r="95">
          <cell r="A95" t="str">
            <v>前月純利益</v>
          </cell>
          <cell r="B95" t="str">
            <v>JYUURI_ZEN</v>
          </cell>
          <cell r="C95">
            <v>9</v>
          </cell>
          <cell r="D95">
            <v>9</v>
          </cell>
        </row>
        <row r="96">
          <cell r="A96" t="str">
            <v>前月諸経費等残</v>
          </cell>
          <cell r="B96" t="str">
            <v>SHOKHI_ZEN</v>
          </cell>
          <cell r="C96">
            <v>9</v>
          </cell>
          <cell r="D96">
            <v>9</v>
          </cell>
        </row>
        <row r="97">
          <cell r="A97" t="str">
            <v>前月不良品在庫数</v>
          </cell>
          <cell r="B97" t="str">
            <v>FRYZAI_ZEN</v>
          </cell>
          <cell r="C97">
            <v>9</v>
          </cell>
          <cell r="D97">
            <v>9</v>
          </cell>
        </row>
        <row r="98">
          <cell r="A98" t="str">
            <v>前月良品在庫数</v>
          </cell>
          <cell r="B98" t="str">
            <v>ZAIKO_ZEN</v>
          </cell>
          <cell r="C98">
            <v>9</v>
          </cell>
          <cell r="D98">
            <v>9</v>
          </cell>
        </row>
        <row r="99">
          <cell r="A99" t="str">
            <v>前々月純利益</v>
          </cell>
          <cell r="B99" t="str">
            <v>JYUURI_ZZN</v>
          </cell>
          <cell r="C99">
            <v>9</v>
          </cell>
          <cell r="D99">
            <v>9</v>
          </cell>
        </row>
        <row r="100">
          <cell r="A100" t="str">
            <v>送信先事業所ＣＤ</v>
          </cell>
          <cell r="B100" t="str">
            <v>SSNJIG</v>
          </cell>
          <cell r="C100">
            <v>9</v>
          </cell>
          <cell r="D100">
            <v>4</v>
          </cell>
        </row>
        <row r="101">
          <cell r="A101" t="str">
            <v>送話対象区分</v>
          </cell>
          <cell r="B101" t="str">
            <v>SSNTAI</v>
          </cell>
          <cell r="C101">
            <v>9</v>
          </cell>
          <cell r="D101">
            <v>1</v>
          </cell>
        </row>
        <row r="102">
          <cell r="A102" t="str">
            <v>その他</v>
          </cell>
          <cell r="B102" t="str">
            <v>SONOTA</v>
          </cell>
          <cell r="C102">
            <v>9</v>
          </cell>
          <cell r="D102">
            <v>9</v>
          </cell>
        </row>
        <row r="103">
          <cell r="A103" t="str">
            <v>単価</v>
          </cell>
          <cell r="B103" t="str">
            <v>TANKA</v>
          </cell>
          <cell r="C103">
            <v>9</v>
          </cell>
          <cell r="D103">
            <v>9</v>
          </cell>
        </row>
        <row r="104">
          <cell r="A104" t="str">
            <v>単価区分</v>
          </cell>
          <cell r="B104" t="str">
            <v>TANKBN</v>
          </cell>
          <cell r="C104">
            <v>9</v>
          </cell>
          <cell r="D104">
            <v>1</v>
          </cell>
        </row>
        <row r="105">
          <cell r="A105" t="str">
            <v>単価使用区分</v>
          </cell>
          <cell r="B105" t="str">
            <v>TANKBN</v>
          </cell>
          <cell r="C105">
            <v>9</v>
          </cell>
          <cell r="D105">
            <v>1</v>
          </cell>
        </row>
        <row r="106">
          <cell r="A106" t="str">
            <v>担当事業所ＣＤ</v>
          </cell>
          <cell r="B106" t="str">
            <v>TANTO_JIG</v>
          </cell>
          <cell r="C106" t="str">
            <v>X</v>
          </cell>
          <cell r="D106">
            <v>4</v>
          </cell>
        </row>
        <row r="107">
          <cell r="A107" t="str">
            <v>担当者ＣＤ</v>
          </cell>
          <cell r="B107" t="str">
            <v>TANTOC</v>
          </cell>
          <cell r="C107" t="str">
            <v>X</v>
          </cell>
          <cell r="D107">
            <v>4</v>
          </cell>
        </row>
        <row r="108">
          <cell r="A108" t="str">
            <v>担当者名</v>
          </cell>
          <cell r="B108" t="str">
            <v>TANMEI</v>
          </cell>
          <cell r="C108" t="str">
            <v>X</v>
          </cell>
          <cell r="D108">
            <v>16</v>
          </cell>
        </row>
        <row r="109">
          <cell r="A109" t="str">
            <v>担当者名(ANK)</v>
          </cell>
          <cell r="B109" t="str">
            <v>TANMEI_ANK</v>
          </cell>
          <cell r="C109" t="str">
            <v>X</v>
          </cell>
          <cell r="D109">
            <v>15</v>
          </cell>
        </row>
        <row r="110">
          <cell r="A110" t="str">
            <v>抽出フラグ</v>
          </cell>
          <cell r="B110" t="str">
            <v>SELFLG</v>
          </cell>
          <cell r="C110" t="str">
            <v>X</v>
          </cell>
          <cell r="D110">
            <v>1</v>
          </cell>
        </row>
        <row r="111">
          <cell r="A111" t="str">
            <v>データ区分</v>
          </cell>
          <cell r="B111" t="str">
            <v>CVSFLG</v>
          </cell>
          <cell r="C111" t="str">
            <v>X</v>
          </cell>
          <cell r="D111">
            <v>1</v>
          </cell>
        </row>
        <row r="112">
          <cell r="A112" t="str">
            <v>データ種別</v>
          </cell>
          <cell r="B112" t="str">
            <v>DATSHU</v>
          </cell>
          <cell r="C112" t="str">
            <v>X</v>
          </cell>
          <cell r="D112">
            <v>2</v>
          </cell>
        </row>
        <row r="113">
          <cell r="A113" t="str">
            <v>手形</v>
          </cell>
          <cell r="B113" t="str">
            <v>TEGATA</v>
          </cell>
          <cell r="C113">
            <v>9</v>
          </cell>
          <cell r="D113">
            <v>9</v>
          </cell>
        </row>
        <row r="114">
          <cell r="A114" t="str">
            <v>適正在庫数</v>
          </cell>
          <cell r="B114" t="str">
            <v>TEKZAI_SU</v>
          </cell>
          <cell r="C114">
            <v>9</v>
          </cell>
          <cell r="D114">
            <v>9</v>
          </cell>
        </row>
        <row r="115">
          <cell r="A115" t="str">
            <v>デポＣＤ</v>
          </cell>
          <cell r="B115" t="str">
            <v>DEPOC</v>
          </cell>
          <cell r="C115" t="str">
            <v>X</v>
          </cell>
          <cell r="D115">
            <v>6</v>
          </cell>
        </row>
        <row r="116">
          <cell r="A116" t="str">
            <v>デポ名</v>
          </cell>
          <cell r="B116" t="str">
            <v>DEPMEI</v>
          </cell>
          <cell r="C116" t="str">
            <v>X</v>
          </cell>
          <cell r="D116">
            <v>20</v>
          </cell>
        </row>
        <row r="117">
          <cell r="A117" t="str">
            <v>伝票番号</v>
          </cell>
          <cell r="B117" t="str">
            <v>DNPBNG</v>
          </cell>
          <cell r="C117">
            <v>9</v>
          </cell>
          <cell r="D117">
            <v>6</v>
          </cell>
        </row>
        <row r="118">
          <cell r="A118" t="str">
            <v>電話番号</v>
          </cell>
          <cell r="B118" t="str">
            <v>TEL_NO</v>
          </cell>
          <cell r="C118" t="str">
            <v>X</v>
          </cell>
          <cell r="D118">
            <v>15</v>
          </cell>
        </row>
        <row r="119">
          <cell r="A119" t="str">
            <v>当月粗利益</v>
          </cell>
          <cell r="B119" t="str">
            <v>ARIEKI</v>
          </cell>
          <cell r="C119">
            <v>9</v>
          </cell>
          <cell r="D119">
            <v>9</v>
          </cell>
        </row>
        <row r="120">
          <cell r="A120" t="str">
            <v>当月売上</v>
          </cell>
          <cell r="B120" t="str">
            <v>URIAGE</v>
          </cell>
          <cell r="C120">
            <v>9</v>
          </cell>
          <cell r="D120">
            <v>9</v>
          </cell>
        </row>
        <row r="121">
          <cell r="A121" t="str">
            <v>当月休日</v>
          </cell>
          <cell r="B121" t="str">
            <v>KYUJIT</v>
          </cell>
          <cell r="C121" t="str">
            <v>X</v>
          </cell>
          <cell r="D121">
            <v>1</v>
          </cell>
        </row>
        <row r="122">
          <cell r="A122" t="str">
            <v>当月工場休日区分</v>
          </cell>
          <cell r="B122" t="str">
            <v>KYUKBN</v>
          </cell>
          <cell r="C122" t="str">
            <v xml:space="preserve"> </v>
          </cell>
          <cell r="D122" t="str">
            <v xml:space="preserve"> </v>
          </cell>
        </row>
        <row r="123">
          <cell r="A123" t="str">
            <v>当月消費税</v>
          </cell>
          <cell r="B123" t="str">
            <v>SHIZEI</v>
          </cell>
          <cell r="C123">
            <v>9</v>
          </cell>
          <cell r="D123">
            <v>9</v>
          </cell>
        </row>
        <row r="124">
          <cell r="A124" t="str">
            <v>当月諸経費</v>
          </cell>
          <cell r="B124" t="str">
            <v>SHOKHI</v>
          </cell>
          <cell r="C124">
            <v>9</v>
          </cell>
          <cell r="D124">
            <v>9</v>
          </cell>
        </row>
        <row r="125">
          <cell r="A125" t="str">
            <v>当月請求</v>
          </cell>
          <cell r="B125" t="str">
            <v>SEIKYU</v>
          </cell>
          <cell r="C125" t="str">
            <v xml:space="preserve"> </v>
          </cell>
          <cell r="D125" t="str">
            <v xml:space="preserve">  </v>
          </cell>
        </row>
        <row r="126">
          <cell r="A126" t="str">
            <v>当月入金</v>
          </cell>
          <cell r="B126" t="str">
            <v>NYUKIN</v>
          </cell>
          <cell r="C126">
            <v>9</v>
          </cell>
          <cell r="D126">
            <v>9</v>
          </cell>
        </row>
        <row r="127">
          <cell r="A127" t="str">
            <v>当月返品・戻り・値引</v>
          </cell>
          <cell r="B127" t="str">
            <v>HENPIN</v>
          </cell>
          <cell r="C127">
            <v>9</v>
          </cell>
          <cell r="D127">
            <v>9</v>
          </cell>
        </row>
        <row r="128">
          <cell r="A128" t="str">
            <v>登録日付</v>
          </cell>
          <cell r="B128" t="str">
            <v>CDATE</v>
          </cell>
          <cell r="C128" t="str">
            <v>X</v>
          </cell>
          <cell r="D128">
            <v>8</v>
          </cell>
        </row>
        <row r="129">
          <cell r="A129" t="str">
            <v>得意先ＣＤ</v>
          </cell>
          <cell r="B129" t="str">
            <v>TOKUIC</v>
          </cell>
          <cell r="C129" t="str">
            <v>X</v>
          </cell>
          <cell r="D129">
            <v>6</v>
          </cell>
        </row>
        <row r="130">
          <cell r="A130" t="str">
            <v>得意先名</v>
          </cell>
          <cell r="B130" t="str">
            <v>TOKMEI</v>
          </cell>
          <cell r="C130" t="str">
            <v>X</v>
          </cell>
          <cell r="D130">
            <v>30</v>
          </cell>
        </row>
        <row r="131">
          <cell r="A131" t="str">
            <v>得意先名(ANK)</v>
          </cell>
          <cell r="B131" t="str">
            <v>TOKMEI_ANK</v>
          </cell>
          <cell r="C131" t="str">
            <v>X</v>
          </cell>
          <cell r="D131">
            <v>20</v>
          </cell>
        </row>
        <row r="132">
          <cell r="A132" t="str">
            <v>取扱区分</v>
          </cell>
          <cell r="B132" t="str">
            <v>TORKBN</v>
          </cell>
          <cell r="C132">
            <v>9</v>
          </cell>
          <cell r="D132">
            <v>1</v>
          </cell>
        </row>
        <row r="133">
          <cell r="A133" t="str">
            <v>取引日付</v>
          </cell>
          <cell r="B133" t="str">
            <v>HZK</v>
          </cell>
          <cell r="C133" t="str">
            <v>X</v>
          </cell>
          <cell r="D133">
            <v>8</v>
          </cell>
        </row>
        <row r="134">
          <cell r="A134" t="str">
            <v>生肉売上額</v>
          </cell>
          <cell r="B134" t="str">
            <v>URIAGE_NAM</v>
          </cell>
          <cell r="C134">
            <v>9</v>
          </cell>
          <cell r="D134">
            <v>9</v>
          </cell>
        </row>
        <row r="135">
          <cell r="A135" t="str">
            <v>入金領域</v>
          </cell>
          <cell r="B135" t="str">
            <v>NAMKAI</v>
          </cell>
          <cell r="C135" t="str">
            <v xml:space="preserve"> </v>
          </cell>
          <cell r="D135" t="str">
            <v xml:space="preserve"> </v>
          </cell>
        </row>
        <row r="136">
          <cell r="A136" t="str">
            <v>生肉回数</v>
          </cell>
          <cell r="B136" t="str">
            <v>NAMKAI</v>
          </cell>
          <cell r="C136">
            <v>9</v>
          </cell>
          <cell r="D136">
            <v>2</v>
          </cell>
        </row>
        <row r="137">
          <cell r="A137" t="str">
            <v>生肉締日</v>
          </cell>
          <cell r="B137" t="str">
            <v>NAMSIM</v>
          </cell>
          <cell r="C137" t="str">
            <v xml:space="preserve"> </v>
          </cell>
          <cell r="D137" t="str">
            <v xml:space="preserve"> </v>
          </cell>
        </row>
        <row r="138">
          <cell r="A138" t="str">
            <v>生肉消費税</v>
          </cell>
          <cell r="B138" t="str">
            <v>SHIZEI_NAM</v>
          </cell>
          <cell r="C138">
            <v>9</v>
          </cell>
          <cell r="D138">
            <v>9</v>
          </cell>
        </row>
        <row r="139">
          <cell r="A139" t="str">
            <v>入金領域</v>
          </cell>
          <cell r="B139" t="str">
            <v>NYUKIN_AREA</v>
          </cell>
        </row>
        <row r="140">
          <cell r="A140" t="str">
            <v>入庫確定数</v>
          </cell>
          <cell r="B140" t="str">
            <v>NYUKAK_SU</v>
          </cell>
          <cell r="C140">
            <v>9</v>
          </cell>
          <cell r="D140">
            <v>9</v>
          </cell>
        </row>
        <row r="141">
          <cell r="A141" t="str">
            <v>入庫日</v>
          </cell>
          <cell r="B141" t="str">
            <v>NYUKBI</v>
          </cell>
          <cell r="C141" t="str">
            <v>X</v>
          </cell>
          <cell r="D141">
            <v>8</v>
          </cell>
        </row>
        <row r="142">
          <cell r="A142" t="str">
            <v>入庫待数</v>
          </cell>
          <cell r="B142" t="str">
            <v>NYUMAT</v>
          </cell>
          <cell r="C142">
            <v>9</v>
          </cell>
          <cell r="D142">
            <v>9</v>
          </cell>
        </row>
        <row r="143">
          <cell r="A143" t="str">
            <v>入庫予定数</v>
          </cell>
          <cell r="B143" t="str">
            <v>NYUYOK</v>
          </cell>
          <cell r="C143">
            <v>9</v>
          </cell>
          <cell r="D143">
            <v>9</v>
          </cell>
        </row>
        <row r="144">
          <cell r="A144" t="str">
            <v>入庫予定日</v>
          </cell>
          <cell r="B144" t="str">
            <v>NYUYOT_DAT</v>
          </cell>
          <cell r="C144" t="str">
            <v>X</v>
          </cell>
          <cell r="D144">
            <v>8</v>
          </cell>
        </row>
        <row r="145">
          <cell r="A145" t="str">
            <v>値引</v>
          </cell>
          <cell r="B145" t="str">
            <v>NEBIKI</v>
          </cell>
          <cell r="C145">
            <v>9</v>
          </cell>
          <cell r="D145">
            <v>9</v>
          </cell>
        </row>
        <row r="146">
          <cell r="A146" t="str">
            <v>年月</v>
          </cell>
          <cell r="B146" t="str">
            <v>NENGET</v>
          </cell>
          <cell r="C146">
            <v>9</v>
          </cell>
          <cell r="D146">
            <v>6</v>
          </cell>
        </row>
        <row r="147">
          <cell r="A147" t="str">
            <v>納入サイクル</v>
          </cell>
          <cell r="B147" t="str">
            <v>SAIKUR</v>
          </cell>
          <cell r="C147">
            <v>9</v>
          </cell>
          <cell r="D147">
            <v>2</v>
          </cell>
        </row>
        <row r="148">
          <cell r="A148" t="str">
            <v>納品先ＣＤ</v>
          </cell>
          <cell r="B148" t="str">
            <v>NOUHNC</v>
          </cell>
          <cell r="C148" t="str">
            <v>X</v>
          </cell>
          <cell r="D148">
            <v>6</v>
          </cell>
        </row>
        <row r="149">
          <cell r="A149" t="str">
            <v>納品先区分</v>
          </cell>
          <cell r="B149" t="str">
            <v>NOUKBN</v>
          </cell>
          <cell r="C149">
            <v>9</v>
          </cell>
          <cell r="D149">
            <v>1</v>
          </cell>
        </row>
        <row r="150">
          <cell r="A150" t="str">
            <v>納品先名</v>
          </cell>
          <cell r="B150" t="str">
            <v>NOUHNM</v>
          </cell>
          <cell r="C150" t="str">
            <v>X</v>
          </cell>
          <cell r="D150">
            <v>16</v>
          </cell>
        </row>
        <row r="151">
          <cell r="A151" t="str">
            <v>納品日</v>
          </cell>
          <cell r="B151" t="str">
            <v>NOUHBI</v>
          </cell>
          <cell r="C151" t="str">
            <v>X</v>
          </cell>
          <cell r="D151">
            <v>8</v>
          </cell>
        </row>
        <row r="152">
          <cell r="A152" t="str">
            <v>配送休日</v>
          </cell>
          <cell r="B152" t="str">
            <v>HAIKYU</v>
          </cell>
          <cell r="C152" t="str">
            <v>X</v>
          </cell>
          <cell r="D152">
            <v>1</v>
          </cell>
        </row>
        <row r="153">
          <cell r="A153" t="str">
            <v>配送休日区分</v>
          </cell>
          <cell r="B153" t="str">
            <v>HAIKBN</v>
          </cell>
          <cell r="C153" t="str">
            <v xml:space="preserve"> </v>
          </cell>
          <cell r="D153" t="str">
            <v xml:space="preserve"> </v>
          </cell>
        </row>
        <row r="154">
          <cell r="A154" t="str">
            <v>発注№</v>
          </cell>
          <cell r="B154" t="str">
            <v>HAT_NO</v>
          </cell>
          <cell r="C154" t="str">
            <v>X</v>
          </cell>
          <cell r="D154">
            <v>6</v>
          </cell>
        </row>
        <row r="155">
          <cell r="A155" t="str">
            <v>発注先ＣＤ</v>
          </cell>
          <cell r="B155" t="str">
            <v>HATSAK</v>
          </cell>
          <cell r="C155" t="str">
            <v>X</v>
          </cell>
          <cell r="D155">
            <v>6</v>
          </cell>
        </row>
        <row r="156">
          <cell r="A156" t="str">
            <v>発注先名</v>
          </cell>
          <cell r="B156" t="str">
            <v>HATSAK_MEI</v>
          </cell>
          <cell r="C156" t="str">
            <v>X</v>
          </cell>
          <cell r="D156">
            <v>16</v>
          </cell>
        </row>
        <row r="157">
          <cell r="A157" t="str">
            <v>発注単位ＣＤ</v>
          </cell>
          <cell r="B157" t="str">
            <v>HATTNI</v>
          </cell>
          <cell r="C157">
            <v>9</v>
          </cell>
          <cell r="D157">
            <v>1</v>
          </cell>
        </row>
        <row r="158">
          <cell r="A158" t="str">
            <v>発注年月</v>
          </cell>
          <cell r="B158" t="str">
            <v>HATNGT</v>
          </cell>
          <cell r="C158" t="str">
            <v>X</v>
          </cell>
          <cell r="D158">
            <v>6</v>
          </cell>
        </row>
        <row r="159">
          <cell r="A159" t="str">
            <v>発注変更入力区分</v>
          </cell>
          <cell r="B159" t="str">
            <v>HNKKBN</v>
          </cell>
          <cell r="C159" t="str">
            <v>X</v>
          </cell>
          <cell r="D159">
            <v>1</v>
          </cell>
        </row>
        <row r="160">
          <cell r="A160" t="str">
            <v>発注元ＣＤ</v>
          </cell>
          <cell r="B160" t="str">
            <v>HATMOT</v>
          </cell>
          <cell r="C160" t="str">
            <v>X</v>
          </cell>
          <cell r="D160">
            <v>6</v>
          </cell>
        </row>
        <row r="161">
          <cell r="A161" t="str">
            <v>発注元事業所名称(ANK)</v>
          </cell>
          <cell r="B161" t="str">
            <v>HATMOT_MEI_ANK</v>
          </cell>
          <cell r="C161" t="str">
            <v>X</v>
          </cell>
          <cell r="D161">
            <v>15</v>
          </cell>
        </row>
        <row r="162">
          <cell r="A162" t="str">
            <v>発注元名</v>
          </cell>
          <cell r="B162" t="str">
            <v>HATMOT_MEI</v>
          </cell>
          <cell r="C162" t="str">
            <v>X</v>
          </cell>
          <cell r="D162">
            <v>16</v>
          </cell>
        </row>
        <row r="163">
          <cell r="A163" t="str">
            <v>発注予定日</v>
          </cell>
          <cell r="B163" t="str">
            <v>HATYOT_DAT</v>
          </cell>
          <cell r="C163" t="str">
            <v>X</v>
          </cell>
          <cell r="D163">
            <v>8</v>
          </cell>
        </row>
        <row r="164">
          <cell r="A164" t="str">
            <v>班コード</v>
          </cell>
          <cell r="B164" t="str">
            <v>HANC</v>
          </cell>
          <cell r="C164">
            <v>9</v>
          </cell>
          <cell r="D164">
            <v>1</v>
          </cell>
        </row>
        <row r="165">
          <cell r="A165" t="str">
            <v>引当数</v>
          </cell>
          <cell r="B165" t="str">
            <v>HIKIAT</v>
          </cell>
          <cell r="C165">
            <v>9</v>
          </cell>
          <cell r="D165">
            <v>9</v>
          </cell>
        </row>
        <row r="166">
          <cell r="A166" t="str">
            <v>引当日</v>
          </cell>
          <cell r="B166" t="str">
            <v>HIKIBI</v>
          </cell>
          <cell r="C166" t="str">
            <v>X</v>
          </cell>
          <cell r="D166">
            <v>8</v>
          </cell>
        </row>
        <row r="167">
          <cell r="A167" t="str">
            <v>標準売価</v>
          </cell>
          <cell r="B167" t="str">
            <v>BAITNK</v>
          </cell>
          <cell r="C167">
            <v>9</v>
          </cell>
          <cell r="D167">
            <v>9</v>
          </cell>
        </row>
        <row r="168">
          <cell r="A168" t="str">
            <v>品種Ｃ＊</v>
          </cell>
          <cell r="B168" t="str">
            <v>HINSHU</v>
          </cell>
          <cell r="C168" t="str">
            <v xml:space="preserve"> </v>
          </cell>
          <cell r="D168" t="str">
            <v xml:space="preserve"> </v>
          </cell>
        </row>
        <row r="169">
          <cell r="A169" t="str">
            <v>品種ＣＤ</v>
          </cell>
          <cell r="B169" t="str">
            <v>HINSHC</v>
          </cell>
          <cell r="C169">
            <v>9</v>
          </cell>
          <cell r="D169">
            <v>3</v>
          </cell>
        </row>
        <row r="170">
          <cell r="A170" t="str">
            <v>ファイル種別</v>
          </cell>
          <cell r="B170" t="str">
            <v>FILSYU</v>
          </cell>
          <cell r="C170" t="str">
            <v>X</v>
          </cell>
          <cell r="D170">
            <v>2</v>
          </cell>
        </row>
        <row r="171">
          <cell r="A171" t="str">
            <v>ファイル名</v>
          </cell>
          <cell r="B171" t="str">
            <v>FILMEI</v>
          </cell>
          <cell r="C171" t="str">
            <v>X</v>
          </cell>
          <cell r="D171">
            <v>15</v>
          </cell>
        </row>
        <row r="172">
          <cell r="A172" t="str">
            <v>複数事業所管理区分</v>
          </cell>
          <cell r="B172" t="str">
            <v>MU_JIKAN</v>
          </cell>
          <cell r="C172">
            <v>9</v>
          </cell>
          <cell r="D172">
            <v>3</v>
          </cell>
        </row>
        <row r="173">
          <cell r="A173" t="str">
            <v>不良品在庫数</v>
          </cell>
          <cell r="B173" t="str">
            <v>FRYZAI</v>
          </cell>
          <cell r="C173">
            <v>9</v>
          </cell>
          <cell r="D173">
            <v>9</v>
          </cell>
        </row>
        <row r="174">
          <cell r="A174" t="str">
            <v>プログラム名称</v>
          </cell>
          <cell r="B174" t="str">
            <v>AP_NM</v>
          </cell>
          <cell r="C174" t="str">
            <v>X</v>
          </cell>
          <cell r="D174">
            <v>15</v>
          </cell>
        </row>
        <row r="175">
          <cell r="A175" t="str">
            <v>変更日付</v>
          </cell>
          <cell r="B175" t="str">
            <v>UDATE</v>
          </cell>
          <cell r="C175" t="str">
            <v>X</v>
          </cell>
          <cell r="D175">
            <v>8</v>
          </cell>
        </row>
        <row r="176">
          <cell r="A176" t="str">
            <v>ポインター数</v>
          </cell>
          <cell r="B176" t="str">
            <v>POINT</v>
          </cell>
          <cell r="C176">
            <v>9</v>
          </cell>
          <cell r="D176">
            <v>6</v>
          </cell>
        </row>
        <row r="177">
          <cell r="A177" t="str">
            <v>ポインター名</v>
          </cell>
          <cell r="B177" t="str">
            <v>PINMEI</v>
          </cell>
          <cell r="C177" t="str">
            <v>X</v>
          </cell>
          <cell r="D177">
            <v>1</v>
          </cell>
        </row>
        <row r="178">
          <cell r="A178" t="str">
            <v>前月粗利益</v>
          </cell>
          <cell r="B178" t="str">
            <v>ARIEKI_ZEN</v>
          </cell>
          <cell r="C178">
            <v>9</v>
          </cell>
          <cell r="D178">
            <v>9</v>
          </cell>
        </row>
        <row r="179">
          <cell r="A179" t="str">
            <v>前月売上</v>
          </cell>
          <cell r="B179" t="str">
            <v>URIAGE_ZEN</v>
          </cell>
          <cell r="C179">
            <v>9</v>
          </cell>
          <cell r="D179">
            <v>9</v>
          </cell>
        </row>
        <row r="180">
          <cell r="A180" t="str">
            <v>前月消費税</v>
          </cell>
          <cell r="B180" t="str">
            <v>SHIZEI_ZEN</v>
          </cell>
          <cell r="C180">
            <v>9</v>
          </cell>
          <cell r="D180">
            <v>9</v>
          </cell>
        </row>
        <row r="181">
          <cell r="A181" t="str">
            <v>前月諸経費</v>
          </cell>
          <cell r="B181" t="str">
            <v>SHOKHI_ZEN</v>
          </cell>
          <cell r="C181">
            <v>9</v>
          </cell>
          <cell r="D181">
            <v>9</v>
          </cell>
        </row>
        <row r="182">
          <cell r="A182" t="str">
            <v>前月入金</v>
          </cell>
          <cell r="B182" t="str">
            <v>NYUKIN_ZEN</v>
          </cell>
          <cell r="C182">
            <v>9</v>
          </cell>
          <cell r="D182">
            <v>9</v>
          </cell>
        </row>
        <row r="183">
          <cell r="A183" t="str">
            <v>前月返品・戻り・値引</v>
          </cell>
          <cell r="B183" t="str">
            <v>NYUKIN_ZEN</v>
          </cell>
          <cell r="C183">
            <v>9</v>
          </cell>
          <cell r="D183">
            <v>9</v>
          </cell>
        </row>
        <row r="184">
          <cell r="A184" t="str">
            <v>明細行№</v>
          </cell>
          <cell r="B184" t="str">
            <v>MEISAI_NO</v>
          </cell>
          <cell r="C184">
            <v>9</v>
          </cell>
          <cell r="D184">
            <v>3</v>
          </cell>
        </row>
        <row r="185">
          <cell r="A185" t="str">
            <v>明細データ</v>
          </cell>
          <cell r="B185" t="str">
            <v>MEISAI</v>
          </cell>
          <cell r="C185" t="str">
            <v xml:space="preserve"> </v>
          </cell>
          <cell r="D185" t="str">
            <v xml:space="preserve"> </v>
          </cell>
        </row>
        <row r="186">
          <cell r="A186" t="str">
            <v>元発注？</v>
          </cell>
          <cell r="B186" t="str">
            <v>SNDKBN</v>
          </cell>
          <cell r="C186" t="str">
            <v>X</v>
          </cell>
          <cell r="D186">
            <v>1</v>
          </cell>
        </row>
        <row r="187">
          <cell r="A187" t="str">
            <v>有効期限</v>
          </cell>
          <cell r="B187" t="str">
            <v>YUKOBI</v>
          </cell>
          <cell r="C187" t="str">
            <v>X</v>
          </cell>
          <cell r="D187">
            <v>8</v>
          </cell>
        </row>
        <row r="188">
          <cell r="A188" t="str">
            <v>有効在庫数</v>
          </cell>
          <cell r="B188" t="str">
            <v>YUKZAI</v>
          </cell>
          <cell r="C188">
            <v>9</v>
          </cell>
          <cell r="D188">
            <v>9</v>
          </cell>
        </row>
        <row r="189">
          <cell r="A189" t="str">
            <v>翌月売上</v>
          </cell>
          <cell r="B189" t="str">
            <v>URIAGE_YOK</v>
          </cell>
          <cell r="C189">
            <v>9</v>
          </cell>
          <cell r="D189">
            <v>9</v>
          </cell>
        </row>
        <row r="190">
          <cell r="A190" t="str">
            <v>翌月消費税</v>
          </cell>
          <cell r="B190" t="str">
            <v>SHIZEI_YOK</v>
          </cell>
          <cell r="C190">
            <v>9</v>
          </cell>
          <cell r="D190">
            <v>9</v>
          </cell>
        </row>
        <row r="191">
          <cell r="A191" t="str">
            <v>翌月諸経費</v>
          </cell>
          <cell r="B191" t="str">
            <v>SHOKHI_YOK</v>
          </cell>
          <cell r="C191">
            <v>9</v>
          </cell>
          <cell r="D191">
            <v>9</v>
          </cell>
        </row>
        <row r="192">
          <cell r="A192" t="str">
            <v>翌月請求</v>
          </cell>
          <cell r="B192" t="str">
            <v>SEIKYU_YOK</v>
          </cell>
          <cell r="C192" t="str">
            <v xml:space="preserve"> </v>
          </cell>
          <cell r="D192" t="str">
            <v xml:space="preserve"> </v>
          </cell>
        </row>
        <row r="193">
          <cell r="A193" t="str">
            <v>翌月入金</v>
          </cell>
          <cell r="B193" t="str">
            <v>NYUKIN_YOK</v>
          </cell>
          <cell r="C193">
            <v>9</v>
          </cell>
          <cell r="D193">
            <v>9</v>
          </cell>
        </row>
        <row r="194">
          <cell r="A194" t="str">
            <v>翌月返品・戻り・値引</v>
          </cell>
          <cell r="B194" t="str">
            <v>HENPIN_YOK</v>
          </cell>
          <cell r="C194">
            <v>9</v>
          </cell>
          <cell r="D194">
            <v>9</v>
          </cell>
        </row>
        <row r="195">
          <cell r="A195" t="str">
            <v>与信限度額(万円)</v>
          </cell>
          <cell r="B195" t="str">
            <v>YOSHIN</v>
          </cell>
          <cell r="C195">
            <v>9</v>
          </cell>
          <cell r="D195">
            <v>9</v>
          </cell>
        </row>
        <row r="196">
          <cell r="A196" t="str">
            <v>量販店ＣＤ</v>
          </cell>
          <cell r="B196" t="str">
            <v>RYOHAN</v>
          </cell>
          <cell r="C196">
            <v>9</v>
          </cell>
          <cell r="D196">
            <v>6</v>
          </cell>
        </row>
        <row r="197">
          <cell r="A197" t="str">
            <v>良品在庫数</v>
          </cell>
          <cell r="B197" t="str">
            <v>ZAIKO</v>
          </cell>
          <cell r="C197">
            <v>9</v>
          </cell>
          <cell r="D197">
            <v>9</v>
          </cell>
        </row>
        <row r="198">
          <cell r="A198" t="str">
            <v>レコード種別</v>
          </cell>
          <cell r="B198" t="str">
            <v>RECSYU</v>
          </cell>
          <cell r="C198" t="str">
            <v>X</v>
          </cell>
          <cell r="D198">
            <v>1</v>
          </cell>
        </row>
        <row r="199">
          <cell r="A199" t="str">
            <v>ロット№</v>
          </cell>
          <cell r="B199" t="str">
            <v>LOT_NO</v>
          </cell>
          <cell r="C199" t="str">
            <v>X</v>
          </cell>
          <cell r="D199">
            <v>10</v>
          </cell>
        </row>
        <row r="200">
          <cell r="A200" t="str">
            <v>最終更新日</v>
          </cell>
          <cell r="B200" t="str">
            <v>UPDATE</v>
          </cell>
          <cell r="C200" t="str">
            <v>X</v>
          </cell>
          <cell r="D200">
            <v>8</v>
          </cell>
        </row>
        <row r="201">
          <cell r="A201" t="str">
            <v>作成日</v>
          </cell>
          <cell r="B201" t="str">
            <v>CRDATE</v>
          </cell>
          <cell r="C201" t="str">
            <v>X</v>
          </cell>
          <cell r="D201">
            <v>8</v>
          </cell>
        </row>
        <row r="202">
          <cell r="A202" t="str">
            <v>プログラムＩＤ</v>
          </cell>
          <cell r="B202" t="str">
            <v>AP_ID</v>
          </cell>
          <cell r="C202" t="str">
            <v>X</v>
          </cell>
          <cell r="D202">
            <v>20</v>
          </cell>
        </row>
        <row r="203">
          <cell r="A203" t="str">
            <v>行№</v>
          </cell>
          <cell r="B203" t="str">
            <v>GYONO</v>
          </cell>
          <cell r="C203">
            <v>9</v>
          </cell>
          <cell r="D203">
            <v>2</v>
          </cell>
        </row>
        <row r="204">
          <cell r="A204" t="str">
            <v>伝票区分</v>
          </cell>
          <cell r="B204" t="str">
            <v>DNPKBN</v>
          </cell>
          <cell r="C204" t="str">
            <v>X</v>
          </cell>
          <cell r="D204">
            <v>2</v>
          </cell>
        </row>
        <row r="205">
          <cell r="A205" t="str">
            <v>配送業者ＣＤ</v>
          </cell>
          <cell r="B205" t="str">
            <v>HAISOU_CD</v>
          </cell>
          <cell r="C205" t="str">
            <v>X</v>
          </cell>
          <cell r="D205">
            <v>6</v>
          </cell>
        </row>
        <row r="206">
          <cell r="A206" t="str">
            <v>配送業者名</v>
          </cell>
          <cell r="B206" t="str">
            <v>HAISOU_NM</v>
          </cell>
          <cell r="C206" t="str">
            <v>X</v>
          </cell>
          <cell r="D206">
            <v>40</v>
          </cell>
        </row>
        <row r="207">
          <cell r="A207" t="str">
            <v>単位区分</v>
          </cell>
          <cell r="B207" t="str">
            <v>TNIKBN</v>
          </cell>
          <cell r="C207" t="str">
            <v>X</v>
          </cell>
          <cell r="D207">
            <v>1</v>
          </cell>
        </row>
        <row r="208">
          <cell r="A208" t="str">
            <v>単位</v>
          </cell>
          <cell r="B208" t="str">
            <v>TNI</v>
          </cell>
          <cell r="C208" t="str">
            <v>X</v>
          </cell>
          <cell r="D208">
            <v>2</v>
          </cell>
        </row>
        <row r="209">
          <cell r="A209" t="str">
            <v>重量</v>
          </cell>
          <cell r="B209" t="str">
            <v>JYURYO</v>
          </cell>
          <cell r="C209">
            <v>9</v>
          </cell>
          <cell r="D209">
            <v>9</v>
          </cell>
        </row>
        <row r="210">
          <cell r="A210" t="str">
            <v>作成日時</v>
          </cell>
          <cell r="B210" t="str">
            <v>M_YMDHM</v>
          </cell>
          <cell r="C210">
            <v>9</v>
          </cell>
          <cell r="D210">
            <v>12</v>
          </cell>
        </row>
        <row r="211">
          <cell r="A211" t="str">
            <v>更新日時</v>
          </cell>
          <cell r="B211" t="str">
            <v>U_YMDHM</v>
          </cell>
          <cell r="C211">
            <v>9</v>
          </cell>
          <cell r="D211">
            <v>12</v>
          </cell>
        </row>
        <row r="212">
          <cell r="A212" t="str">
            <v>出庫依頼書出力パターン</v>
          </cell>
          <cell r="B212" t="str">
            <v>SYU_PTN</v>
          </cell>
          <cell r="C212">
            <v>9</v>
          </cell>
          <cell r="D212">
            <v>1</v>
          </cell>
        </row>
        <row r="213">
          <cell r="A213" t="str">
            <v>受注単位ＣＤ</v>
          </cell>
          <cell r="B213" t="str">
            <v>JYUTNI_CD</v>
          </cell>
          <cell r="C213">
            <v>9</v>
          </cell>
          <cell r="D213">
            <v>1</v>
          </cell>
        </row>
        <row r="214">
          <cell r="A214" t="str">
            <v>曜日</v>
          </cell>
          <cell r="B214" t="str">
            <v>YOBI</v>
          </cell>
          <cell r="C214" t="str">
            <v>X</v>
          </cell>
          <cell r="D214">
            <v>2</v>
          </cell>
        </row>
        <row r="215">
          <cell r="A215" t="str">
            <v>確認書出力パターン</v>
          </cell>
          <cell r="B215" t="str">
            <v>KAKUNI_PTN</v>
          </cell>
          <cell r="C215">
            <v>9</v>
          </cell>
          <cell r="D215">
            <v>1</v>
          </cell>
        </row>
        <row r="216">
          <cell r="A216" t="str">
            <v>倉移送フラグ</v>
          </cell>
          <cell r="B216" t="str">
            <v>KURAIS</v>
          </cell>
          <cell r="C216">
            <v>9</v>
          </cell>
          <cell r="D216">
            <v>1</v>
          </cell>
        </row>
        <row r="217">
          <cell r="A217" t="str">
            <v>受注確認書区分</v>
          </cell>
          <cell r="B217" t="str">
            <v>JYUKAK_KBN</v>
          </cell>
          <cell r="C217">
            <v>9</v>
          </cell>
          <cell r="D217">
            <v>1</v>
          </cell>
        </row>
        <row r="218">
          <cell r="A218" t="str">
            <v>受注確認書ＦＡＸ</v>
          </cell>
          <cell r="B218" t="str">
            <v>JYUKAK_FAX</v>
          </cell>
          <cell r="C218" t="str">
            <v>X</v>
          </cell>
          <cell r="D218">
            <v>10</v>
          </cell>
        </row>
        <row r="219">
          <cell r="A219" t="str">
            <v>開始№</v>
          </cell>
          <cell r="B219" t="str">
            <v>START_NO</v>
          </cell>
          <cell r="C219">
            <v>9</v>
          </cell>
          <cell r="D219">
            <v>6</v>
          </cell>
        </row>
        <row r="220">
          <cell r="A220" t="str">
            <v>終了№</v>
          </cell>
          <cell r="B220" t="str">
            <v>END_NO</v>
          </cell>
          <cell r="C220">
            <v>9</v>
          </cell>
          <cell r="D220">
            <v>6</v>
          </cell>
        </row>
        <row r="221">
          <cell r="A221" t="str">
            <v>現在№</v>
          </cell>
          <cell r="B221" t="str">
            <v>NOW_NO</v>
          </cell>
          <cell r="C221">
            <v>9</v>
          </cell>
          <cell r="D221">
            <v>6</v>
          </cell>
        </row>
        <row r="222">
          <cell r="A222" t="str">
            <v>雑区分</v>
          </cell>
          <cell r="B222" t="str">
            <v>ZATU_KBN</v>
          </cell>
          <cell r="C222">
            <v>9</v>
          </cell>
          <cell r="D222">
            <v>2</v>
          </cell>
        </row>
        <row r="223">
          <cell r="A223" t="str">
            <v>伝票行数</v>
          </cell>
          <cell r="B223" t="str">
            <v>DEN_GYOSU</v>
          </cell>
          <cell r="C223">
            <v>9</v>
          </cell>
          <cell r="D223">
            <v>2</v>
          </cell>
        </row>
        <row r="224">
          <cell r="A224" t="str">
            <v>仕入単価／個</v>
          </cell>
          <cell r="B224" t="str">
            <v>SIRTNK_KO</v>
          </cell>
          <cell r="C224">
            <v>9</v>
          </cell>
          <cell r="D224">
            <v>9</v>
          </cell>
        </row>
        <row r="225">
          <cell r="A225" t="str">
            <v>仕入単価／kg</v>
          </cell>
          <cell r="B225" t="str">
            <v>SIRTNK_KG</v>
          </cell>
          <cell r="C225">
            <v>9</v>
          </cell>
          <cell r="D225">
            <v>9</v>
          </cell>
        </row>
        <row r="226">
          <cell r="A226" t="str">
            <v>ステーション名</v>
          </cell>
          <cell r="B226" t="str">
            <v>TERMID</v>
          </cell>
          <cell r="C226" t="str">
            <v>X</v>
          </cell>
          <cell r="D226">
            <v>10</v>
          </cell>
        </row>
        <row r="227">
          <cell r="A227" t="str">
            <v>納品日数</v>
          </cell>
          <cell r="B227" t="str">
            <v>NOHDAT</v>
          </cell>
          <cell r="C227">
            <v>9</v>
          </cell>
          <cell r="D227">
            <v>2</v>
          </cell>
        </row>
        <row r="228">
          <cell r="A228" t="str">
            <v>移動伝票№</v>
          </cell>
          <cell r="B228" t="str">
            <v>IDODNO</v>
          </cell>
          <cell r="C228">
            <v>9</v>
          </cell>
          <cell r="D228">
            <v>6</v>
          </cell>
        </row>
        <row r="229">
          <cell r="A229" t="str">
            <v>伝票入力№</v>
          </cell>
          <cell r="B229" t="str">
            <v>DNYUNO</v>
          </cell>
          <cell r="C229">
            <v>9</v>
          </cell>
          <cell r="D229">
            <v>6</v>
          </cell>
        </row>
        <row r="230">
          <cell r="A230" t="str">
            <v>ケース数</v>
          </cell>
          <cell r="B230" t="str">
            <v>CASESU</v>
          </cell>
          <cell r="C230">
            <v>9</v>
          </cell>
          <cell r="D230">
            <v>7</v>
          </cell>
        </row>
        <row r="231">
          <cell r="A231" t="str">
            <v>個数</v>
          </cell>
          <cell r="B231" t="str">
            <v>KOSU</v>
          </cell>
          <cell r="C231">
            <v>9</v>
          </cell>
          <cell r="D231">
            <v>8</v>
          </cell>
        </row>
        <row r="232">
          <cell r="A232" t="str">
            <v>受注ケース数</v>
          </cell>
          <cell r="B232" t="str">
            <v>JYCASU</v>
          </cell>
          <cell r="C232">
            <v>9</v>
          </cell>
          <cell r="D232">
            <v>7</v>
          </cell>
        </row>
        <row r="233">
          <cell r="A233" t="str">
            <v>受注個数</v>
          </cell>
          <cell r="B233" t="str">
            <v>JYKOSU</v>
          </cell>
          <cell r="C233">
            <v>9</v>
          </cell>
          <cell r="D233">
            <v>8</v>
          </cell>
        </row>
        <row r="234">
          <cell r="A234" t="str">
            <v>引当ケース数</v>
          </cell>
          <cell r="B234" t="str">
            <v>HICASU</v>
          </cell>
          <cell r="C234">
            <v>9</v>
          </cell>
          <cell r="D234">
            <v>7</v>
          </cell>
        </row>
        <row r="235">
          <cell r="A235" t="str">
            <v>引当個数</v>
          </cell>
          <cell r="B235" t="str">
            <v>HIKOSU</v>
          </cell>
          <cell r="C235">
            <v>9</v>
          </cell>
          <cell r="D235">
            <v>8</v>
          </cell>
        </row>
        <row r="236">
          <cell r="A236" t="str">
            <v>欠品ケース数</v>
          </cell>
          <cell r="B236" t="str">
            <v>KECASU</v>
          </cell>
          <cell r="C236">
            <v>9</v>
          </cell>
          <cell r="D236">
            <v>7</v>
          </cell>
        </row>
        <row r="237">
          <cell r="A237" t="str">
            <v>欠品個数</v>
          </cell>
          <cell r="B237" t="str">
            <v>KEKOSU</v>
          </cell>
          <cell r="C237">
            <v>9</v>
          </cell>
          <cell r="D237">
            <v>8</v>
          </cell>
        </row>
        <row r="238">
          <cell r="A238" t="str">
            <v>確認フラグ</v>
          </cell>
          <cell r="B238" t="str">
            <v>KAKUFL</v>
          </cell>
          <cell r="C238">
            <v>9</v>
          </cell>
          <cell r="D238">
            <v>1</v>
          </cell>
        </row>
        <row r="239">
          <cell r="A239" t="str">
            <v>相手先伝票№</v>
          </cell>
          <cell r="B239" t="str">
            <v>AITDNO</v>
          </cell>
          <cell r="C239">
            <v>9</v>
          </cell>
          <cell r="D239">
            <v>10</v>
          </cell>
        </row>
        <row r="240">
          <cell r="A240" t="str">
            <v>仕入日</v>
          </cell>
          <cell r="B240" t="str">
            <v>SIRDAT</v>
          </cell>
          <cell r="C240">
            <v>9</v>
          </cell>
          <cell r="D240">
            <v>8</v>
          </cell>
        </row>
        <row r="241">
          <cell r="A241" t="str">
            <v>営業所ＣＤ</v>
          </cell>
          <cell r="B241" t="str">
            <v>EIGYCD</v>
          </cell>
          <cell r="C241" t="str">
            <v>X</v>
          </cell>
          <cell r="D241">
            <v>6</v>
          </cell>
        </row>
        <row r="242">
          <cell r="A242" t="str">
            <v>仕入単価</v>
          </cell>
          <cell r="B242" t="str">
            <v>SIRTAN</v>
          </cell>
          <cell r="C242">
            <v>9</v>
          </cell>
          <cell r="D242">
            <v>9</v>
          </cell>
        </row>
        <row r="243">
          <cell r="A243" t="str">
            <v>移動単価</v>
          </cell>
          <cell r="B243" t="str">
            <v>IDOTAN</v>
          </cell>
          <cell r="C243">
            <v>9</v>
          </cell>
          <cell r="D243">
            <v>9</v>
          </cell>
        </row>
        <row r="244">
          <cell r="A244" t="str">
            <v>受注日</v>
          </cell>
          <cell r="B244" t="str">
            <v>JYUDATE</v>
          </cell>
          <cell r="C244">
            <v>9</v>
          </cell>
          <cell r="D244">
            <v>8</v>
          </cell>
        </row>
        <row r="245">
          <cell r="A245" t="str">
            <v>伝票№</v>
          </cell>
          <cell r="B245" t="str">
            <v>DENNO</v>
          </cell>
          <cell r="C245">
            <v>9</v>
          </cell>
          <cell r="D245">
            <v>6</v>
          </cell>
        </row>
        <row r="246">
          <cell r="A246" t="str">
            <v>売上担当者ＣＤ</v>
          </cell>
          <cell r="B246" t="str">
            <v>URITANCD</v>
          </cell>
          <cell r="C246">
            <v>9</v>
          </cell>
          <cell r="D246">
            <v>4</v>
          </cell>
        </row>
        <row r="247">
          <cell r="A247" t="str">
            <v>取引先ＣＤ</v>
          </cell>
          <cell r="B247" t="str">
            <v>TORICD</v>
          </cell>
          <cell r="C247">
            <v>9</v>
          </cell>
          <cell r="D247">
            <v>8</v>
          </cell>
        </row>
        <row r="248">
          <cell r="A248" t="str">
            <v>ブランチＣＤ</v>
          </cell>
          <cell r="B248" t="str">
            <v>BRANCHICD</v>
          </cell>
          <cell r="C248">
            <v>9</v>
          </cell>
          <cell r="D248">
            <v>8</v>
          </cell>
        </row>
        <row r="249">
          <cell r="A249" t="str">
            <v>分類ＣＤ</v>
          </cell>
          <cell r="B249" t="str">
            <v>BUNRUICD</v>
          </cell>
          <cell r="C249">
            <v>9</v>
          </cell>
          <cell r="D249">
            <v>4</v>
          </cell>
        </row>
        <row r="250">
          <cell r="A250" t="str">
            <v>営業所名</v>
          </cell>
          <cell r="B250" t="str">
            <v>EIGYNM</v>
          </cell>
          <cell r="C250" t="str">
            <v>X</v>
          </cell>
          <cell r="D250">
            <v>40</v>
          </cell>
        </row>
        <row r="251">
          <cell r="A251" t="str">
            <v>売上担当者名</v>
          </cell>
          <cell r="B251" t="str">
            <v>URITANNM</v>
          </cell>
          <cell r="C251" t="str">
            <v>X</v>
          </cell>
          <cell r="D251">
            <v>16</v>
          </cell>
        </row>
        <row r="252">
          <cell r="A252" t="str">
            <v>取引先名</v>
          </cell>
          <cell r="B252" t="str">
            <v>TORINM</v>
          </cell>
          <cell r="C252" t="str">
            <v>X</v>
          </cell>
          <cell r="D252">
            <v>40</v>
          </cell>
        </row>
        <row r="253">
          <cell r="A253" t="str">
            <v>ブランチ名</v>
          </cell>
          <cell r="B253" t="str">
            <v>BRANCHINM</v>
          </cell>
          <cell r="C253" t="str">
            <v>X</v>
          </cell>
          <cell r="D253">
            <v>40</v>
          </cell>
        </row>
        <row r="254">
          <cell r="A254" t="str">
            <v>分類名</v>
          </cell>
        </row>
        <row r="255">
          <cell r="A255" t="str">
            <v>仕入金額</v>
          </cell>
          <cell r="B255" t="str">
            <v>SIREGAKU</v>
          </cell>
          <cell r="C255">
            <v>9</v>
          </cell>
          <cell r="D255">
            <v>9</v>
          </cell>
        </row>
        <row r="256">
          <cell r="A256" t="str">
            <v>移動金額</v>
          </cell>
          <cell r="B256" t="str">
            <v>IDOUGAKU</v>
          </cell>
          <cell r="C256">
            <v>9</v>
          </cell>
          <cell r="D256">
            <v>9</v>
          </cell>
        </row>
        <row r="257">
          <cell r="A257" t="str">
            <v>仕入営業所ＣＤ</v>
          </cell>
          <cell r="B257" t="str">
            <v>SIEIGCD</v>
          </cell>
        </row>
        <row r="258">
          <cell r="A258" t="str">
            <v>量販取引先ＣＤ</v>
          </cell>
          <cell r="B258" t="str">
            <v>RYOTORICD</v>
          </cell>
          <cell r="C258" t="str">
            <v>X</v>
          </cell>
          <cell r="D258">
            <v>8</v>
          </cell>
        </row>
        <row r="259">
          <cell r="A259" t="str">
            <v>量販店舗ＣＤ１</v>
          </cell>
          <cell r="B259" t="str">
            <v>RYOTENCD1</v>
          </cell>
          <cell r="C259" t="str">
            <v>X</v>
          </cell>
          <cell r="D259">
            <v>8</v>
          </cell>
        </row>
        <row r="260">
          <cell r="A260" t="str">
            <v>量販店舗ＣＤ２</v>
          </cell>
          <cell r="B260" t="str">
            <v>RYOTENCD2</v>
          </cell>
          <cell r="C260" t="str">
            <v>X</v>
          </cell>
          <cell r="D260">
            <v>8</v>
          </cell>
        </row>
        <row r="261">
          <cell r="A261" t="str">
            <v>自社事業所ＣＤ</v>
          </cell>
          <cell r="B261" t="str">
            <v>JIJIGCD</v>
          </cell>
          <cell r="C261">
            <v>9</v>
          </cell>
          <cell r="D261">
            <v>4</v>
          </cell>
        </row>
        <row r="262">
          <cell r="A262" t="str">
            <v>センターＣＤ</v>
          </cell>
          <cell r="B262" t="str">
            <v>CENTERCD</v>
          </cell>
          <cell r="C262" t="str">
            <v>X</v>
          </cell>
          <cell r="D262">
            <v>8</v>
          </cell>
        </row>
        <row r="263">
          <cell r="A263" t="str">
            <v>量販店舗名称ANK</v>
          </cell>
          <cell r="B263" t="str">
            <v>RYOTENNM_ANK</v>
          </cell>
          <cell r="C263" t="str">
            <v>X</v>
          </cell>
          <cell r="D263">
            <v>18</v>
          </cell>
        </row>
        <row r="264">
          <cell r="A264" t="str">
            <v>量販店舗名称</v>
          </cell>
          <cell r="B264" t="str">
            <v>RYOTENNM</v>
          </cell>
          <cell r="C264" t="str">
            <v>X</v>
          </cell>
          <cell r="D264">
            <v>40</v>
          </cell>
        </row>
        <row r="265">
          <cell r="A265" t="str">
            <v>データ変換区分</v>
          </cell>
          <cell r="B265" t="str">
            <v>DCHGKBN</v>
          </cell>
          <cell r="C265" t="str">
            <v>X</v>
          </cell>
          <cell r="D265">
            <v>1</v>
          </cell>
        </row>
        <row r="266">
          <cell r="A266" t="str">
            <v>印刷順位</v>
          </cell>
          <cell r="B266" t="str">
            <v>PRJYUNI</v>
          </cell>
          <cell r="C266">
            <v>9</v>
          </cell>
          <cell r="D266">
            <v>3</v>
          </cell>
        </row>
        <row r="267">
          <cell r="A267" t="str">
            <v>請求対象区分</v>
          </cell>
          <cell r="B267" t="str">
            <v>SEIKYUKBN</v>
          </cell>
          <cell r="C267">
            <v>9</v>
          </cell>
          <cell r="D267">
            <v>1</v>
          </cell>
        </row>
        <row r="268">
          <cell r="A268" t="str">
            <v>移動対象区分</v>
          </cell>
          <cell r="B268" t="str">
            <v>IDOUKUBN</v>
          </cell>
          <cell r="C268">
            <v>9</v>
          </cell>
          <cell r="D268">
            <v>1</v>
          </cell>
        </row>
        <row r="269">
          <cell r="A269" t="str">
            <v>物流区分</v>
          </cell>
          <cell r="B269" t="str">
            <v>BUTUKBN</v>
          </cell>
          <cell r="C269">
            <v>9</v>
          </cell>
          <cell r="D269">
            <v>1</v>
          </cell>
        </row>
        <row r="270">
          <cell r="A270" t="str">
            <v>課税区分</v>
          </cell>
          <cell r="B270" t="str">
            <v>KAZEIKBN</v>
          </cell>
          <cell r="C270">
            <v>9</v>
          </cell>
          <cell r="D270">
            <v>1</v>
          </cell>
        </row>
        <row r="271">
          <cell r="A271" t="str">
            <v>割戻率グループ</v>
          </cell>
          <cell r="B271" t="str">
            <v>WARI_G</v>
          </cell>
          <cell r="C271" t="str">
            <v xml:space="preserve"> </v>
          </cell>
          <cell r="D271" t="str">
            <v xml:space="preserve"> </v>
          </cell>
        </row>
        <row r="272">
          <cell r="A272" t="str">
            <v>割戻率</v>
          </cell>
          <cell r="B272" t="str">
            <v>WARIRITU</v>
          </cell>
          <cell r="C272">
            <v>9</v>
          </cell>
          <cell r="D272">
            <v>3</v>
          </cell>
        </row>
        <row r="273">
          <cell r="A273" t="str">
            <v>帳票出力区分</v>
          </cell>
          <cell r="B273" t="str">
            <v>PROUTKBN</v>
          </cell>
          <cell r="C273">
            <v>9</v>
          </cell>
          <cell r="D273">
            <v>1</v>
          </cell>
        </row>
        <row r="274">
          <cell r="A274" t="str">
            <v>請求元事業所ＣＤ</v>
          </cell>
          <cell r="B274" t="str">
            <v>SEIJIGCD</v>
          </cell>
          <cell r="C274">
            <v>9</v>
          </cell>
          <cell r="D274">
            <v>4</v>
          </cell>
        </row>
        <row r="275">
          <cell r="A275" t="str">
            <v>店舗区分</v>
          </cell>
          <cell r="B275" t="str">
            <v>TENKBN</v>
          </cell>
          <cell r="C275">
            <v>9</v>
          </cell>
          <cell r="D275">
            <v>1</v>
          </cell>
        </row>
        <row r="276">
          <cell r="A276" t="str">
            <v>量販区分</v>
          </cell>
          <cell r="B276" t="str">
            <v>RYOKBN</v>
          </cell>
          <cell r="C276" t="str">
            <v>X</v>
          </cell>
          <cell r="D276">
            <v>1</v>
          </cell>
        </row>
        <row r="277">
          <cell r="A277" t="str">
            <v>量販商品ＣＤ１</v>
          </cell>
          <cell r="B277" t="str">
            <v>RYOSHOCD1</v>
          </cell>
          <cell r="C277" t="str">
            <v>X</v>
          </cell>
          <cell r="D277">
            <v>13</v>
          </cell>
        </row>
        <row r="278">
          <cell r="A278" t="str">
            <v>量販商品ＣＤ２</v>
          </cell>
          <cell r="B278" t="str">
            <v>RYOSHOCD2</v>
          </cell>
          <cell r="C278" t="str">
            <v>X</v>
          </cell>
          <cell r="D278">
            <v>13</v>
          </cell>
        </row>
        <row r="279">
          <cell r="A279" t="str">
            <v>原価単価／個orケース</v>
          </cell>
          <cell r="B279" t="str">
            <v>GENTAN_KO</v>
          </cell>
          <cell r="C279">
            <v>9</v>
          </cell>
          <cell r="D279">
            <v>8</v>
          </cell>
        </row>
        <row r="280">
          <cell r="A280" t="str">
            <v>売価単価／個orケース</v>
          </cell>
          <cell r="B280" t="str">
            <v>BAITAN_KO</v>
          </cell>
          <cell r="C280">
            <v>9</v>
          </cell>
          <cell r="D280">
            <v>8</v>
          </cell>
        </row>
        <row r="281">
          <cell r="A281" t="str">
            <v>特売単価／個orケース</v>
          </cell>
          <cell r="B281" t="str">
            <v>TKBTAN_KO</v>
          </cell>
          <cell r="C281">
            <v>9</v>
          </cell>
          <cell r="D281">
            <v>8</v>
          </cell>
        </row>
        <row r="282">
          <cell r="A282" t="str">
            <v>原価単価／㎏</v>
          </cell>
          <cell r="B282" t="str">
            <v>GENTAN_KG</v>
          </cell>
          <cell r="C282">
            <v>9</v>
          </cell>
          <cell r="D282">
            <v>8</v>
          </cell>
        </row>
        <row r="283">
          <cell r="A283" t="str">
            <v>売価単価／㎏</v>
          </cell>
          <cell r="B283" t="str">
            <v>BAITAN_KG</v>
          </cell>
          <cell r="C283">
            <v>9</v>
          </cell>
          <cell r="D283">
            <v>8</v>
          </cell>
        </row>
        <row r="284">
          <cell r="A284" t="str">
            <v>特売単価／㎏</v>
          </cell>
          <cell r="B284" t="str">
            <v>TKBTAN_KG</v>
          </cell>
          <cell r="C284">
            <v>9</v>
          </cell>
          <cell r="D284">
            <v>8</v>
          </cell>
        </row>
        <row r="285">
          <cell r="A285" t="str">
            <v>割戻区分</v>
          </cell>
          <cell r="B285" t="str">
            <v>WAIKBN</v>
          </cell>
          <cell r="C285">
            <v>9</v>
          </cell>
          <cell r="D285">
            <v>1</v>
          </cell>
        </row>
        <row r="286">
          <cell r="A286" t="str">
            <v>商品区分</v>
          </cell>
          <cell r="B286" t="str">
            <v>SHOKBN</v>
          </cell>
          <cell r="C286">
            <v>9</v>
          </cell>
          <cell r="D286">
            <v>1</v>
          </cell>
        </row>
        <row r="287">
          <cell r="A287" t="str">
            <v>当月年月日</v>
          </cell>
          <cell r="B287" t="str">
            <v>TOUYMD</v>
          </cell>
          <cell r="C287">
            <v>9</v>
          </cell>
          <cell r="D287">
            <v>8</v>
          </cell>
        </row>
        <row r="288">
          <cell r="A288" t="str">
            <v>翌月年月日</v>
          </cell>
          <cell r="B288" t="str">
            <v>YOKYMD</v>
          </cell>
          <cell r="C288">
            <v>9</v>
          </cell>
          <cell r="D288">
            <v>8</v>
          </cell>
        </row>
        <row r="289">
          <cell r="A289" t="str">
            <v>デポ出庫用伝票区分</v>
          </cell>
          <cell r="B289" t="str">
            <v>DPODENKBN</v>
          </cell>
          <cell r="C289" t="str">
            <v>X</v>
          </cell>
          <cell r="D289">
            <v>2</v>
          </cell>
        </row>
        <row r="290">
          <cell r="A290" t="str">
            <v>メーカー直送用伝票区分</v>
          </cell>
          <cell r="B290" t="str">
            <v>MKODENKBN</v>
          </cell>
          <cell r="C290" t="str">
            <v>X</v>
          </cell>
          <cell r="D290">
            <v>1</v>
          </cell>
        </row>
        <row r="291">
          <cell r="A291" t="str">
            <v>入庫依頼書コメント印字区分</v>
          </cell>
          <cell r="B291" t="str">
            <v>NYUPRKBN</v>
          </cell>
          <cell r="C291" t="str">
            <v>X</v>
          </cell>
          <cell r="D291">
            <v>1</v>
          </cell>
        </row>
        <row r="292">
          <cell r="A292" t="str">
            <v>出庫依頼書コメント印字区分</v>
          </cell>
          <cell r="B292" t="str">
            <v>SYUPRKBN</v>
          </cell>
          <cell r="C292" t="str">
            <v>X</v>
          </cell>
          <cell r="D292">
            <v>1</v>
          </cell>
        </row>
        <row r="293">
          <cell r="A293" t="str">
            <v>入出庫コメント１</v>
          </cell>
          <cell r="B293" t="str">
            <v>NYUSYUCOM1</v>
          </cell>
          <cell r="C293" t="str">
            <v>X</v>
          </cell>
          <cell r="D293">
            <v>30</v>
          </cell>
        </row>
        <row r="294">
          <cell r="A294" t="str">
            <v>入出庫コメント２</v>
          </cell>
          <cell r="B294" t="str">
            <v>NYUSYUCOM2</v>
          </cell>
          <cell r="C294" t="str">
            <v>X</v>
          </cell>
          <cell r="D294">
            <v>30</v>
          </cell>
        </row>
        <row r="295">
          <cell r="A295" t="str">
            <v>消費税率</v>
          </cell>
          <cell r="B295" t="str">
            <v>SYOZEIRITU</v>
          </cell>
          <cell r="C295">
            <v>9</v>
          </cell>
          <cell r="D295">
            <v>2</v>
          </cell>
        </row>
        <row r="296">
          <cell r="A296" t="str">
            <v>消費税率グループ</v>
          </cell>
          <cell r="B296" t="str">
            <v>SYOZEI_G</v>
          </cell>
          <cell r="C296" t="str">
            <v xml:space="preserve"> </v>
          </cell>
          <cell r="D296" t="str">
            <v xml:space="preserve"> </v>
          </cell>
        </row>
        <row r="297">
          <cell r="A297" t="str">
            <v>適用開始年月日</v>
          </cell>
          <cell r="B297" t="str">
            <v>TST_YMD</v>
          </cell>
          <cell r="C297">
            <v>9</v>
          </cell>
          <cell r="D297">
            <v>8</v>
          </cell>
        </row>
        <row r="298">
          <cell r="A298" t="str">
            <v>適用終了年月日</v>
          </cell>
          <cell r="B298" t="str">
            <v>TEN_YMD</v>
          </cell>
          <cell r="C298">
            <v>9</v>
          </cell>
          <cell r="D298">
            <v>8</v>
          </cell>
        </row>
        <row r="299">
          <cell r="A299" t="str">
            <v>消費税単位区分</v>
          </cell>
          <cell r="B299" t="str">
            <v>SYOTANKBN</v>
          </cell>
          <cell r="C299">
            <v>9</v>
          </cell>
          <cell r="D299">
            <v>1</v>
          </cell>
        </row>
        <row r="300">
          <cell r="A300" t="str">
            <v>消費税端数区分</v>
          </cell>
          <cell r="B300" t="str">
            <v>SYOHASKBN</v>
          </cell>
          <cell r="C300">
            <v>9</v>
          </cell>
          <cell r="D300">
            <v>1</v>
          </cell>
        </row>
        <row r="301">
          <cell r="A301" t="str">
            <v>受注伝票区分</v>
          </cell>
          <cell r="B301" t="str">
            <v>JYUDENKBN</v>
          </cell>
          <cell r="C301" t="str">
            <v>X</v>
          </cell>
          <cell r="D301">
            <v>2</v>
          </cell>
        </row>
        <row r="302">
          <cell r="A302" t="str">
            <v>発注済フラグ</v>
          </cell>
          <cell r="B302" t="str">
            <v>HATSUMI</v>
          </cell>
          <cell r="C302" t="str">
            <v>X</v>
          </cell>
          <cell r="D302">
            <v>1</v>
          </cell>
        </row>
        <row r="303">
          <cell r="A303" t="str">
            <v>出荷依頼書№</v>
          </cell>
          <cell r="B303" t="str">
            <v>SYIRAINO</v>
          </cell>
          <cell r="C303">
            <v>9</v>
          </cell>
          <cell r="D303">
            <v>6</v>
          </cell>
        </row>
        <row r="304">
          <cell r="A304" t="str">
            <v>状態</v>
          </cell>
          <cell r="B304" t="str">
            <v>JYOTAI</v>
          </cell>
          <cell r="C304" t="str">
            <v>X</v>
          </cell>
          <cell r="D304">
            <v>6</v>
          </cell>
        </row>
        <row r="305">
          <cell r="A305" t="str">
            <v>枚数</v>
          </cell>
          <cell r="B305" t="str">
            <v>MAISU</v>
          </cell>
          <cell r="C305">
            <v>9</v>
          </cell>
          <cell r="D305">
            <v>3</v>
          </cell>
        </row>
        <row r="306">
          <cell r="A306" t="str">
            <v>処理時間</v>
          </cell>
          <cell r="B306" t="str">
            <v>SYORIHMS</v>
          </cell>
          <cell r="C306">
            <v>9</v>
          </cell>
          <cell r="D306">
            <v>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改版履歴"/>
      <sheetName val="情報入力画面"/>
      <sheetName val="errMsg一覧"/>
      <sheetName val="選択"/>
      <sheetName val="項目一覧"/>
    </sheetNames>
    <sheetDataSet>
      <sheetData sheetId="0" refreshError="1"/>
      <sheetData sheetId="1" refreshError="1"/>
      <sheetData sheetId="2" refreshError="1"/>
      <sheetData sheetId="3" refreshError="1"/>
      <sheetData sheetId="4" refreshError="1"/>
      <sheetData sheetId="5" refreshError="1">
        <row r="7">
          <cell r="C7" t="str">
            <v>受注番号</v>
          </cell>
        </row>
        <row r="8">
          <cell r="C8" t="str">
            <v>ひらがな[姓]</v>
          </cell>
        </row>
        <row r="9">
          <cell r="C9" t="str">
            <v>ひらがな[名]</v>
          </cell>
        </row>
        <row r="10">
          <cell r="C10" t="str">
            <v>漢字[姓]</v>
          </cell>
        </row>
        <row r="11">
          <cell r="C11" t="str">
            <v>漢字[名]</v>
          </cell>
        </row>
        <row r="12">
          <cell r="C12" t="str">
            <v>性別(Grp)</v>
          </cell>
        </row>
        <row r="13">
          <cell r="C13" t="str">
            <v>生年月日西暦[年]</v>
          </cell>
        </row>
        <row r="14">
          <cell r="C14" t="str">
            <v>生年月日西暦[月]</v>
          </cell>
        </row>
        <row r="15">
          <cell r="C15" t="str">
            <v>生年月日西暦[日]</v>
          </cell>
        </row>
        <row r="16">
          <cell r="C16" t="str">
            <v>郵便番号(上桁)</v>
          </cell>
        </row>
        <row r="17">
          <cell r="C17" t="str">
            <v>郵便番号(下桁)</v>
          </cell>
        </row>
        <row r="18">
          <cell r="C18" t="str">
            <v>都道府県</v>
          </cell>
        </row>
        <row r="19">
          <cell r="C19" t="str">
            <v>市区町村</v>
          </cell>
        </row>
        <row r="20">
          <cell r="C20" t="str">
            <v>所番地</v>
          </cell>
        </row>
        <row r="21">
          <cell r="C21" t="str">
            <v>自宅電話番号1</v>
          </cell>
        </row>
        <row r="22">
          <cell r="C22" t="str">
            <v>自宅電話番号2</v>
          </cell>
        </row>
        <row r="23">
          <cell r="C23" t="str">
            <v>自宅電話番号3</v>
          </cell>
        </row>
        <row r="24">
          <cell r="C24" t="str">
            <v>昼間連絡先の電話番号1</v>
          </cell>
        </row>
        <row r="25">
          <cell r="C25" t="str">
            <v>昼間連絡先の電話番号2</v>
          </cell>
        </row>
        <row r="26">
          <cell r="C26" t="str">
            <v>昼間連絡先の電話番号3</v>
          </cell>
        </row>
        <row r="27">
          <cell r="C27" t="str">
            <v>ファミリータイプ</v>
          </cell>
        </row>
        <row r="28">
          <cell r="C28" t="str">
            <v>マンションタイプ</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b_送電990120"/>
      <sheetName val="ST分析"/>
      <sheetName val="データ"/>
      <sheetName val="前期試薬実績Ｄ"/>
      <sheetName val="キー選択ワーク"/>
      <sheetName val="当期試薬実績Ｄ"/>
      <sheetName val="項目一覧"/>
      <sheetName val="表紙"/>
      <sheetName val="説明"/>
    </sheetNames>
    <sheetDataSet>
      <sheetData sheetId="0"/>
      <sheetData sheetId="1" refreshError="1"/>
      <sheetData sheetId="2" refreshError="1">
        <row r="1">
          <cell r="A1" t="str">
            <v>03</v>
          </cell>
          <cell r="B1" t="str">
            <v>ST</v>
          </cell>
        </row>
        <row r="2">
          <cell r="A2" t="str">
            <v>03</v>
          </cell>
          <cell r="B2" t="str">
            <v>PS</v>
          </cell>
        </row>
        <row r="3">
          <cell r="A3" t="str">
            <v>01</v>
          </cell>
          <cell r="B3" t="str">
            <v>ST</v>
          </cell>
        </row>
        <row r="4">
          <cell r="A4" t="str">
            <v>03</v>
          </cell>
          <cell r="B4" t="str">
            <v>ST</v>
          </cell>
        </row>
        <row r="5">
          <cell r="A5" t="str">
            <v>03</v>
          </cell>
          <cell r="B5" t="str">
            <v>ST</v>
          </cell>
        </row>
        <row r="6">
          <cell r="A6" t="str">
            <v>03</v>
          </cell>
          <cell r="B6" t="str">
            <v>SS</v>
          </cell>
        </row>
        <row r="7">
          <cell r="A7" t="str">
            <v>03</v>
          </cell>
          <cell r="B7" t="str">
            <v>ST</v>
          </cell>
        </row>
        <row r="8">
          <cell r="A8" t="str">
            <v>03</v>
          </cell>
          <cell r="B8" t="str">
            <v>IT</v>
          </cell>
        </row>
        <row r="9">
          <cell r="A9" t="str">
            <v>03</v>
          </cell>
          <cell r="B9" t="str">
            <v>PT</v>
          </cell>
        </row>
        <row r="10">
          <cell r="A10" t="str">
            <v>03</v>
          </cell>
          <cell r="B10" t="str">
            <v>PG</v>
          </cell>
        </row>
        <row r="11">
          <cell r="A11" t="str">
            <v>03</v>
          </cell>
          <cell r="B11" t="str">
            <v>PT</v>
          </cell>
        </row>
        <row r="12">
          <cell r="A12" t="str">
            <v>03</v>
          </cell>
          <cell r="B12" t="str">
            <v>IT</v>
          </cell>
        </row>
        <row r="13">
          <cell r="A13" t="str">
            <v>10</v>
          </cell>
          <cell r="B13" t="str">
            <v>ST</v>
          </cell>
        </row>
        <row r="14">
          <cell r="A14" t="str">
            <v>03</v>
          </cell>
          <cell r="B14" t="str">
            <v>PS</v>
          </cell>
        </row>
        <row r="15">
          <cell r="A15" t="str">
            <v>03</v>
          </cell>
          <cell r="B15" t="str">
            <v>ST</v>
          </cell>
        </row>
        <row r="16">
          <cell r="A16" t="str">
            <v>03</v>
          </cell>
          <cell r="B16" t="str">
            <v>PS</v>
          </cell>
        </row>
        <row r="17">
          <cell r="A17" t="str">
            <v>03</v>
          </cell>
          <cell r="B17" t="str">
            <v>PG</v>
          </cell>
        </row>
        <row r="18">
          <cell r="A18" t="str">
            <v>03</v>
          </cell>
          <cell r="B18" t="str">
            <v>IT</v>
          </cell>
        </row>
        <row r="19">
          <cell r="A19" t="str">
            <v>03</v>
          </cell>
          <cell r="B19" t="str">
            <v>PG</v>
          </cell>
        </row>
        <row r="20">
          <cell r="A20" t="str">
            <v>02</v>
          </cell>
          <cell r="B20" t="str">
            <v>IT</v>
          </cell>
        </row>
        <row r="21">
          <cell r="A21" t="str">
            <v>03</v>
          </cell>
          <cell r="B21" t="str">
            <v>PS</v>
          </cell>
        </row>
        <row r="22">
          <cell r="A22" t="str">
            <v>07</v>
          </cell>
          <cell r="B22" t="str">
            <v>ST</v>
          </cell>
        </row>
        <row r="23">
          <cell r="A23" t="str">
            <v>01</v>
          </cell>
          <cell r="B23" t="str">
            <v>IT</v>
          </cell>
        </row>
        <row r="24">
          <cell r="A24" t="str">
            <v>03</v>
          </cell>
          <cell r="B24" t="str">
            <v>SS</v>
          </cell>
        </row>
        <row r="25">
          <cell r="A25" t="str">
            <v>03</v>
          </cell>
          <cell r="B25" t="str">
            <v>PS</v>
          </cell>
        </row>
        <row r="26">
          <cell r="A26" t="str">
            <v>03</v>
          </cell>
          <cell r="B26" t="str">
            <v>PS</v>
          </cell>
        </row>
        <row r="27">
          <cell r="A27" t="str">
            <v>10</v>
          </cell>
          <cell r="B27" t="str">
            <v>ST</v>
          </cell>
        </row>
        <row r="28">
          <cell r="A28" t="str">
            <v>03</v>
          </cell>
          <cell r="B28" t="str">
            <v>PS</v>
          </cell>
        </row>
        <row r="29">
          <cell r="A29" t="str">
            <v>03</v>
          </cell>
          <cell r="B29" t="str">
            <v>SS</v>
          </cell>
        </row>
        <row r="30">
          <cell r="A30" t="str">
            <v>03</v>
          </cell>
          <cell r="B30" t="str">
            <v>PS</v>
          </cell>
        </row>
        <row r="31">
          <cell r="A31" t="str">
            <v>01</v>
          </cell>
          <cell r="B31" t="str">
            <v>IT</v>
          </cell>
        </row>
        <row r="32">
          <cell r="A32" t="str">
            <v>03</v>
          </cell>
          <cell r="B32" t="str">
            <v>ST</v>
          </cell>
        </row>
        <row r="33">
          <cell r="A33" t="str">
            <v>03</v>
          </cell>
          <cell r="B33" t="str">
            <v>PT</v>
          </cell>
        </row>
        <row r="34">
          <cell r="A34" t="str">
            <v>03</v>
          </cell>
          <cell r="B34" t="str">
            <v>ST</v>
          </cell>
        </row>
        <row r="35">
          <cell r="A35" t="str">
            <v>01</v>
          </cell>
          <cell r="B35" t="str">
            <v>IT</v>
          </cell>
        </row>
        <row r="36">
          <cell r="A36" t="str">
            <v>03</v>
          </cell>
          <cell r="B36" t="str">
            <v>IT</v>
          </cell>
        </row>
        <row r="37">
          <cell r="A37" t="str">
            <v>09</v>
          </cell>
          <cell r="B37" t="str">
            <v>ST</v>
          </cell>
        </row>
        <row r="38">
          <cell r="A38" t="str">
            <v>03</v>
          </cell>
          <cell r="B38" t="str">
            <v>PG</v>
          </cell>
        </row>
        <row r="39">
          <cell r="A39" t="str">
            <v>03</v>
          </cell>
          <cell r="B39" t="str">
            <v>SS</v>
          </cell>
        </row>
        <row r="40">
          <cell r="A40" t="str">
            <v>03</v>
          </cell>
          <cell r="B40" t="str">
            <v>PT</v>
          </cell>
        </row>
        <row r="41">
          <cell r="A41" t="str">
            <v>03</v>
          </cell>
          <cell r="B41" t="str">
            <v>PS</v>
          </cell>
        </row>
        <row r="42">
          <cell r="A42" t="str">
            <v>10</v>
          </cell>
          <cell r="B42" t="str">
            <v>ST</v>
          </cell>
        </row>
        <row r="43">
          <cell r="A43" t="str">
            <v>03</v>
          </cell>
          <cell r="B43" t="str">
            <v>PT</v>
          </cell>
        </row>
        <row r="44">
          <cell r="A44" t="str">
            <v>03</v>
          </cell>
          <cell r="B44" t="str">
            <v>PT</v>
          </cell>
        </row>
        <row r="45">
          <cell r="A45" t="str">
            <v>03</v>
          </cell>
          <cell r="B45" t="str">
            <v>PS</v>
          </cell>
        </row>
        <row r="46">
          <cell r="A46" t="str">
            <v>03</v>
          </cell>
          <cell r="B46" t="str">
            <v>IT</v>
          </cell>
        </row>
        <row r="47">
          <cell r="A47" t="str">
            <v>03</v>
          </cell>
          <cell r="B47" t="str">
            <v>ST</v>
          </cell>
        </row>
        <row r="48">
          <cell r="A48" t="str">
            <v>03</v>
          </cell>
          <cell r="B48" t="str">
            <v>SS</v>
          </cell>
        </row>
        <row r="49">
          <cell r="A49" t="str">
            <v>03</v>
          </cell>
          <cell r="B49" t="str">
            <v>SS</v>
          </cell>
        </row>
        <row r="50">
          <cell r="A50" t="str">
            <v>03</v>
          </cell>
          <cell r="B50" t="str">
            <v>PS</v>
          </cell>
        </row>
        <row r="51">
          <cell r="A51" t="str">
            <v>01</v>
          </cell>
          <cell r="B51" t="str">
            <v>IT</v>
          </cell>
        </row>
        <row r="52">
          <cell r="A52" t="str">
            <v>01</v>
          </cell>
          <cell r="B52" t="str">
            <v>ST</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本サービスコーステーブル"/>
      <sheetName val="品目テーブル"/>
      <sheetName val="料金科目テーブル"/>
      <sheetName val="ＫＲＩＳ合成料金科目"/>
      <sheetName val="はじめに"/>
      <sheetName val="モデル"/>
      <sheetName val="テーブル"/>
      <sheetName val="DABINCI料金科目"/>
      <sheetName val="マトリクス"/>
      <sheetName val="ヘッダ"/>
      <sheetName val="データ"/>
    </sheetNames>
    <sheetDataSet>
      <sheetData sheetId="0" refreshError="1"/>
      <sheetData sheetId="1" refreshError="1"/>
      <sheetData sheetId="2" refreshError="1">
        <row r="1">
          <cell r="F1" t="str">
            <v>下５桁</v>
          </cell>
          <cell r="G1" t="str">
            <v>見出し名</v>
          </cell>
          <cell r="H1" t="str">
            <v>料金名称（４層）</v>
          </cell>
          <cell r="I1" t="str">
            <v>文字数</v>
          </cell>
          <cell r="J1" t="str">
            <v>（４層補足）</v>
          </cell>
          <cell r="K1" t="str">
            <v>出力順</v>
          </cell>
          <cell r="L1" t="str">
            <v>ｺﾐｯｼｮﾝ</v>
          </cell>
          <cell r="M1" t="str">
            <v>ﾎﾟｲﾝﾄ</v>
          </cell>
          <cell r="N1" t="str">
            <v>課税ﾌﾗｸﾞ</v>
          </cell>
        </row>
        <row r="2">
          <cell r="F2" t="str">
            <v>0000001</v>
          </cell>
          <cell r="G2" t="str">
            <v>登録料</v>
          </cell>
          <cell r="H2" t="str">
            <v>ＤＩＯＮインターネットアクセス</v>
          </cell>
          <cell r="I2">
            <v>15</v>
          </cell>
          <cell r="J2" t="str">
            <v>なし</v>
          </cell>
          <cell r="K2" t="str">
            <v>1</v>
          </cell>
          <cell r="L2" t="str">
            <v>対象</v>
          </cell>
          <cell r="M2" t="str">
            <v>対象</v>
          </cell>
          <cell r="N2" t="str">
            <v>課税</v>
          </cell>
        </row>
        <row r="3">
          <cell r="F3" t="str">
            <v>0000002</v>
          </cell>
          <cell r="G3" t="str">
            <v>初期費用</v>
          </cell>
          <cell r="H3" t="str">
            <v>ＤＩＯＮ　ＡＤＳＬコース</v>
          </cell>
          <cell r="I3">
            <v>12</v>
          </cell>
          <cell r="J3" t="str">
            <v>なし</v>
          </cell>
          <cell r="K3">
            <v>1</v>
          </cell>
          <cell r="L3" t="str">
            <v>対象</v>
          </cell>
          <cell r="M3" t="str">
            <v>対象</v>
          </cell>
          <cell r="N3" t="str">
            <v>課税</v>
          </cell>
        </row>
        <row r="4">
          <cell r="F4" t="str">
            <v>0000004</v>
          </cell>
          <cell r="G4" t="str">
            <v>登録料</v>
          </cell>
          <cell r="H4" t="str">
            <v>モバイルＧＢ</v>
          </cell>
          <cell r="I4">
            <v>6</v>
          </cell>
          <cell r="N4" t="str">
            <v>課税</v>
          </cell>
        </row>
        <row r="5">
          <cell r="F5" t="str">
            <v>0000005</v>
          </cell>
          <cell r="G5" t="str">
            <v>加入料</v>
          </cell>
          <cell r="H5" t="str">
            <v>メールインワンＦＡＸ</v>
          </cell>
          <cell r="I5">
            <v>10</v>
          </cell>
          <cell r="N5" t="str">
            <v>課税</v>
          </cell>
        </row>
        <row r="6">
          <cell r="F6" t="str">
            <v>0000006</v>
          </cell>
          <cell r="G6" t="str">
            <v>登録料</v>
          </cell>
          <cell r="H6" t="str">
            <v>メールインワンＦＡＸ</v>
          </cell>
          <cell r="I6">
            <v>10</v>
          </cell>
          <cell r="N6" t="str">
            <v>課税</v>
          </cell>
        </row>
        <row r="7">
          <cell r="F7" t="str">
            <v>0000007</v>
          </cell>
          <cell r="G7" t="str">
            <v>初期費用</v>
          </cell>
          <cell r="H7" t="str">
            <v>ＶＡ</v>
          </cell>
          <cell r="I7">
            <v>2</v>
          </cell>
          <cell r="N7" t="str">
            <v>課税</v>
          </cell>
        </row>
        <row r="8">
          <cell r="F8" t="str">
            <v>0000010</v>
          </cell>
          <cell r="G8" t="str">
            <v>初期費用</v>
          </cell>
          <cell r="H8" t="str">
            <v>ｅ＊Ｔｅｍｐｏ</v>
          </cell>
          <cell r="I8">
            <v>7</v>
          </cell>
          <cell r="N8" t="str">
            <v>課税</v>
          </cell>
        </row>
        <row r="9">
          <cell r="F9" t="str">
            <v>0000011</v>
          </cell>
          <cell r="G9" t="str">
            <v>初期費用</v>
          </cell>
          <cell r="H9" t="str">
            <v>ＤＩＯＮショッピングパレード</v>
          </cell>
          <cell r="I9">
            <v>14</v>
          </cell>
          <cell r="N9" t="str">
            <v>課税</v>
          </cell>
        </row>
        <row r="10">
          <cell r="F10" t="str">
            <v>0000012</v>
          </cell>
          <cell r="G10" t="str">
            <v>初期費用</v>
          </cell>
          <cell r="H10" t="str">
            <v>ＰａｙＣｏｕｎｔｅｒ</v>
          </cell>
          <cell r="I10">
            <v>10</v>
          </cell>
          <cell r="N10" t="str">
            <v>課税</v>
          </cell>
        </row>
        <row r="11">
          <cell r="F11" t="str">
            <v>0000013</v>
          </cell>
          <cell r="G11" t="str">
            <v>初期費用</v>
          </cell>
          <cell r="H11" t="str">
            <v>”Ｆ”マンション</v>
          </cell>
          <cell r="I11">
            <v>8</v>
          </cell>
          <cell r="N11" t="str">
            <v>課税</v>
          </cell>
        </row>
        <row r="12">
          <cell r="F12" t="str">
            <v>0000101</v>
          </cell>
          <cell r="G12" t="str">
            <v>変更料</v>
          </cell>
          <cell r="H12" t="str">
            <v>ＤＩＯＮ品目変更</v>
          </cell>
          <cell r="I12">
            <v>8</v>
          </cell>
          <cell r="J12" t="str">
            <v>なし</v>
          </cell>
          <cell r="K12" t="str">
            <v>2</v>
          </cell>
          <cell r="L12" t="str">
            <v>対象</v>
          </cell>
          <cell r="M12" t="str">
            <v>対象</v>
          </cell>
          <cell r="N12" t="str">
            <v>課税</v>
          </cell>
        </row>
        <row r="13">
          <cell r="F13" t="str">
            <v>0000102</v>
          </cell>
          <cell r="G13" t="str">
            <v>変更料</v>
          </cell>
          <cell r="H13" t="str">
            <v>ＤＩＯＮ　ＡＤＳＬコース変更</v>
          </cell>
          <cell r="I13">
            <v>14</v>
          </cell>
          <cell r="J13" t="str">
            <v>なし</v>
          </cell>
          <cell r="K13">
            <v>2</v>
          </cell>
          <cell r="L13" t="str">
            <v>対象</v>
          </cell>
          <cell r="M13" t="str">
            <v>対象</v>
          </cell>
          <cell r="N13" t="str">
            <v>課税</v>
          </cell>
        </row>
        <row r="14">
          <cell r="F14" t="str">
            <v>0000202</v>
          </cell>
          <cell r="G14" t="str">
            <v>初期費用</v>
          </cell>
          <cell r="H14" t="str">
            <v>ＤＩＯＮ　ＡＤＳＬコース</v>
          </cell>
          <cell r="I14">
            <v>12</v>
          </cell>
          <cell r="J14" t="str">
            <v>なし</v>
          </cell>
          <cell r="K14">
            <v>3</v>
          </cell>
          <cell r="L14" t="str">
            <v>対象</v>
          </cell>
          <cell r="M14" t="str">
            <v>対象</v>
          </cell>
          <cell r="N14" t="str">
            <v>課税</v>
          </cell>
        </row>
        <row r="15">
          <cell r="F15" t="str">
            <v>0000213</v>
          </cell>
          <cell r="G15" t="str">
            <v>初期費用</v>
          </cell>
          <cell r="H15" t="str">
            <v>モデム追加料金</v>
          </cell>
          <cell r="I15">
            <v>7</v>
          </cell>
          <cell r="N15" t="str">
            <v>課税</v>
          </cell>
        </row>
        <row r="16">
          <cell r="F16" t="str">
            <v>0000216</v>
          </cell>
          <cell r="G16" t="str">
            <v>登録料</v>
          </cell>
          <cell r="H16" t="str">
            <v>ＩＰ電話登録料（内蔵型）</v>
          </cell>
          <cell r="I16">
            <v>12</v>
          </cell>
          <cell r="N16" t="str">
            <v>課税</v>
          </cell>
        </row>
        <row r="17">
          <cell r="F17" t="str">
            <v>0000302</v>
          </cell>
          <cell r="G17" t="str">
            <v>機器販売</v>
          </cell>
          <cell r="H17" t="str">
            <v>ＡＤＳＬモデム（ＵＳＢ）</v>
          </cell>
          <cell r="I17">
            <v>12</v>
          </cell>
          <cell r="N17" t="str">
            <v>課税</v>
          </cell>
        </row>
        <row r="18">
          <cell r="F18" t="str">
            <v>0000313</v>
          </cell>
          <cell r="G18" t="str">
            <v>初期費用</v>
          </cell>
          <cell r="H18" t="str">
            <v>フィルタ追加料金</v>
          </cell>
          <cell r="I18">
            <v>8</v>
          </cell>
          <cell r="N18" t="str">
            <v>課税</v>
          </cell>
        </row>
        <row r="19">
          <cell r="F19" t="str">
            <v>0000316</v>
          </cell>
          <cell r="G19" t="str">
            <v>登録料</v>
          </cell>
          <cell r="H19" t="str">
            <v>ＩＰ電話登録料（外付け型）</v>
          </cell>
          <cell r="I19">
            <v>13</v>
          </cell>
          <cell r="N19" t="str">
            <v>課税</v>
          </cell>
        </row>
        <row r="20">
          <cell r="F20" t="str">
            <v>0000402</v>
          </cell>
          <cell r="G20" t="str">
            <v>機器販売</v>
          </cell>
          <cell r="H20" t="str">
            <v>ＡＤＳＬモデム（ＵＳＢ）</v>
          </cell>
          <cell r="I20">
            <v>12</v>
          </cell>
          <cell r="N20" t="str">
            <v>課税</v>
          </cell>
        </row>
        <row r="21">
          <cell r="F21" t="str">
            <v>0000502</v>
          </cell>
          <cell r="G21" t="str">
            <v>機器販売</v>
          </cell>
          <cell r="H21" t="str">
            <v>ＡＤＳＬモデム（１０Ｂａｓｅ－Ｔ）</v>
          </cell>
          <cell r="I21">
            <v>17</v>
          </cell>
          <cell r="N21" t="str">
            <v>課税</v>
          </cell>
        </row>
        <row r="22">
          <cell r="F22" t="str">
            <v>0000602</v>
          </cell>
          <cell r="G22" t="str">
            <v>機器販売</v>
          </cell>
          <cell r="H22" t="str">
            <v>ＡＤＳＬモデム（１０Ｂａｓｅ－Ｔ）</v>
          </cell>
          <cell r="I22">
            <v>17</v>
          </cell>
          <cell r="N22" t="str">
            <v>課税</v>
          </cell>
        </row>
        <row r="23">
          <cell r="F23" t="str">
            <v>0000702</v>
          </cell>
          <cell r="G23" t="str">
            <v>機器販売</v>
          </cell>
          <cell r="H23" t="str">
            <v>スプリッタ</v>
          </cell>
          <cell r="I23">
            <v>5</v>
          </cell>
          <cell r="N23" t="str">
            <v>課税</v>
          </cell>
        </row>
        <row r="24">
          <cell r="F24" t="str">
            <v>0000802</v>
          </cell>
          <cell r="G24" t="str">
            <v>機器販売</v>
          </cell>
          <cell r="H24" t="str">
            <v>ＡＤＳＬモデム（ＵＳＢ）</v>
          </cell>
          <cell r="I24">
            <v>12</v>
          </cell>
          <cell r="N24" t="str">
            <v>課税</v>
          </cell>
        </row>
        <row r="25">
          <cell r="F25" t="str">
            <v>0000902</v>
          </cell>
          <cell r="G25" t="str">
            <v>機器販売</v>
          </cell>
          <cell r="H25" t="str">
            <v>ＡＤＳＬモデム（ＵＳＢ）</v>
          </cell>
          <cell r="I25">
            <v>12</v>
          </cell>
          <cell r="N25" t="str">
            <v>課税</v>
          </cell>
        </row>
        <row r="26">
          <cell r="F26" t="str">
            <v>0001002</v>
          </cell>
          <cell r="G26" t="str">
            <v>工事料</v>
          </cell>
          <cell r="H26" t="str">
            <v>ＡＤＳＬモデム設置工事</v>
          </cell>
          <cell r="I26">
            <v>11</v>
          </cell>
          <cell r="J26" t="str">
            <v>なし</v>
          </cell>
          <cell r="K26">
            <v>4</v>
          </cell>
          <cell r="L26" t="str">
            <v>対象</v>
          </cell>
          <cell r="M26" t="str">
            <v>対象</v>
          </cell>
          <cell r="N26" t="str">
            <v>課税</v>
          </cell>
        </row>
        <row r="27">
          <cell r="F27" t="str">
            <v>0001007</v>
          </cell>
          <cell r="G27" t="str">
            <v>変更料</v>
          </cell>
          <cell r="H27" t="str">
            <v>グループ名変更料</v>
          </cell>
          <cell r="I27">
            <v>8</v>
          </cell>
          <cell r="N27" t="str">
            <v>課税</v>
          </cell>
        </row>
        <row r="28">
          <cell r="F28" t="str">
            <v>0001016</v>
          </cell>
          <cell r="G28" t="str">
            <v>工事料</v>
          </cell>
          <cell r="H28" t="str">
            <v>宅内機器設置工事料</v>
          </cell>
          <cell r="I28">
            <v>9</v>
          </cell>
          <cell r="N28" t="str">
            <v>課税</v>
          </cell>
        </row>
        <row r="29">
          <cell r="F29" t="str">
            <v>0001102</v>
          </cell>
          <cell r="G29" t="str">
            <v>工事料</v>
          </cell>
          <cell r="H29" t="str">
            <v>ＮＴＴ（電話共用（交換機工事））</v>
          </cell>
          <cell r="I29">
            <v>16</v>
          </cell>
          <cell r="J29" t="str">
            <v>なし</v>
          </cell>
          <cell r="K29">
            <v>5</v>
          </cell>
          <cell r="L29" t="str">
            <v>対象</v>
          </cell>
          <cell r="M29" t="str">
            <v>対象</v>
          </cell>
          <cell r="N29" t="str">
            <v>課税</v>
          </cell>
        </row>
        <row r="30">
          <cell r="F30" t="str">
            <v>0001113</v>
          </cell>
          <cell r="G30" t="str">
            <v>工事料</v>
          </cell>
          <cell r="H30" t="str">
            <v>モデム設置派遣工事費</v>
          </cell>
          <cell r="I30">
            <v>10</v>
          </cell>
          <cell r="N30" t="str">
            <v>課税</v>
          </cell>
        </row>
        <row r="31">
          <cell r="F31" t="str">
            <v>0001116</v>
          </cell>
          <cell r="G31" t="str">
            <v>変更料</v>
          </cell>
          <cell r="H31" t="str">
            <v>宅内機器変更手数料</v>
          </cell>
          <cell r="I31">
            <v>9</v>
          </cell>
          <cell r="N31" t="str">
            <v>課税</v>
          </cell>
        </row>
        <row r="32">
          <cell r="F32" t="str">
            <v>0001202</v>
          </cell>
          <cell r="G32" t="str">
            <v>工事料</v>
          </cell>
          <cell r="H32" t="str">
            <v>ＮＴＴ（電話共用（交換機工事他））</v>
          </cell>
          <cell r="I32">
            <v>17</v>
          </cell>
          <cell r="J32" t="str">
            <v>なし</v>
          </cell>
          <cell r="K32">
            <v>6</v>
          </cell>
          <cell r="L32" t="str">
            <v>対象</v>
          </cell>
          <cell r="M32" t="str">
            <v>対象</v>
          </cell>
          <cell r="N32" t="str">
            <v>課税</v>
          </cell>
        </row>
        <row r="33">
          <cell r="F33" t="str">
            <v>0001213</v>
          </cell>
          <cell r="G33" t="str">
            <v>工事料</v>
          </cell>
          <cell r="H33" t="str">
            <v>モデム撤去派遣工事料</v>
          </cell>
          <cell r="I33">
            <v>10</v>
          </cell>
          <cell r="N33" t="str">
            <v>課税</v>
          </cell>
        </row>
        <row r="34">
          <cell r="F34" t="str">
            <v>0001302</v>
          </cell>
          <cell r="G34" t="str">
            <v>工事料</v>
          </cell>
          <cell r="H34" t="str">
            <v>ＮＴＴ（ＡＤＳＬ専用（交換機工事））</v>
          </cell>
          <cell r="I34">
            <v>18</v>
          </cell>
          <cell r="N34" t="str">
            <v>課税</v>
          </cell>
        </row>
        <row r="35">
          <cell r="F35" t="str">
            <v>0001313</v>
          </cell>
          <cell r="G35" t="str">
            <v>工事料</v>
          </cell>
          <cell r="H35" t="str">
            <v>モデム変更工事費</v>
          </cell>
          <cell r="I35">
            <v>8</v>
          </cell>
          <cell r="N35" t="str">
            <v>課税</v>
          </cell>
        </row>
        <row r="36">
          <cell r="F36" t="str">
            <v>0001402</v>
          </cell>
          <cell r="G36" t="str">
            <v>工事料</v>
          </cell>
          <cell r="H36" t="str">
            <v>ＮＴＴ（ＡＤＳＬ専用（交換機工事他））</v>
          </cell>
          <cell r="I36">
            <v>19</v>
          </cell>
          <cell r="N36" t="str">
            <v>課税</v>
          </cell>
        </row>
        <row r="37">
          <cell r="F37" t="str">
            <v>0001413</v>
          </cell>
          <cell r="G37" t="str">
            <v>工事料</v>
          </cell>
          <cell r="H37" t="str">
            <v>回線変更工事費</v>
          </cell>
          <cell r="I37">
            <v>7</v>
          </cell>
          <cell r="N37" t="str">
            <v>課税</v>
          </cell>
        </row>
        <row r="38">
          <cell r="F38" t="str">
            <v>0001502</v>
          </cell>
          <cell r="G38" t="str">
            <v>工事料</v>
          </cell>
          <cell r="H38" t="str">
            <v>モデム撤去工事料</v>
          </cell>
          <cell r="I38">
            <v>8</v>
          </cell>
          <cell r="N38" t="str">
            <v>課税</v>
          </cell>
        </row>
        <row r="39">
          <cell r="F39" t="str">
            <v>0001513</v>
          </cell>
          <cell r="G39" t="str">
            <v>工事料</v>
          </cell>
          <cell r="H39" t="str">
            <v>個別工事費</v>
          </cell>
          <cell r="I39">
            <v>5</v>
          </cell>
          <cell r="N39" t="str">
            <v>課税</v>
          </cell>
        </row>
        <row r="40">
          <cell r="F40" t="str">
            <v>0001602</v>
          </cell>
          <cell r="G40" t="str">
            <v>工事料</v>
          </cell>
          <cell r="H40" t="str">
            <v>回線変更工事料</v>
          </cell>
          <cell r="I40">
            <v>7</v>
          </cell>
          <cell r="N40" t="str">
            <v>課税</v>
          </cell>
        </row>
        <row r="41">
          <cell r="F41" t="str">
            <v>0001613</v>
          </cell>
          <cell r="G41" t="str">
            <v>工事料</v>
          </cell>
          <cell r="H41" t="str">
            <v>サテライト工事費</v>
          </cell>
          <cell r="I41">
            <v>8</v>
          </cell>
          <cell r="N41" t="str">
            <v>課税</v>
          </cell>
        </row>
        <row r="42">
          <cell r="F42" t="str">
            <v>0001702</v>
          </cell>
          <cell r="G42" t="str">
            <v>工事料</v>
          </cell>
          <cell r="H42" t="str">
            <v>ＡＤＳＬモデムタイプ変更工事料</v>
          </cell>
          <cell r="I42">
            <v>15</v>
          </cell>
          <cell r="N42" t="str">
            <v>課税</v>
          </cell>
        </row>
        <row r="43">
          <cell r="F43" t="str">
            <v>0001802</v>
          </cell>
          <cell r="G43" t="str">
            <v>工事料</v>
          </cell>
          <cell r="H43" t="str">
            <v>スプリッタ追加工事料</v>
          </cell>
          <cell r="I43">
            <v>10</v>
          </cell>
          <cell r="N43" t="str">
            <v>課税</v>
          </cell>
        </row>
        <row r="44">
          <cell r="F44" t="str">
            <v>0001902</v>
          </cell>
          <cell r="G44" t="str">
            <v>機器販売</v>
          </cell>
          <cell r="H44" t="str">
            <v>スプリッタ追加販売料</v>
          </cell>
          <cell r="I44">
            <v>10</v>
          </cell>
          <cell r="N44" t="str">
            <v>課税</v>
          </cell>
        </row>
        <row r="45">
          <cell r="F45" t="str">
            <v>0002002</v>
          </cell>
          <cell r="G45" t="str">
            <v>工事料</v>
          </cell>
          <cell r="H45" t="str">
            <v>ＡＤＳＬモデム追加設置工事料</v>
          </cell>
          <cell r="I45">
            <v>14</v>
          </cell>
          <cell r="N45" t="str">
            <v>課税</v>
          </cell>
        </row>
        <row r="46">
          <cell r="F46" t="str">
            <v>0002102</v>
          </cell>
          <cell r="G46" t="str">
            <v>工事料</v>
          </cell>
          <cell r="H46" t="str">
            <v>委託工事料（スプリッタ）</v>
          </cell>
          <cell r="I46">
            <v>12</v>
          </cell>
          <cell r="N46" t="str">
            <v>課税</v>
          </cell>
        </row>
        <row r="47">
          <cell r="F47" t="str">
            <v>0002202</v>
          </cell>
          <cell r="G47" t="str">
            <v>工事料</v>
          </cell>
          <cell r="H47" t="str">
            <v>保安器交換工事料</v>
          </cell>
          <cell r="I47">
            <v>8</v>
          </cell>
          <cell r="N47" t="str">
            <v>課税</v>
          </cell>
        </row>
        <row r="48">
          <cell r="F48" t="str">
            <v>0002302</v>
          </cell>
          <cell r="G48" t="str">
            <v>工事料</v>
          </cell>
          <cell r="H48" t="str">
            <v>光収容変更工事料</v>
          </cell>
          <cell r="I48">
            <v>8</v>
          </cell>
          <cell r="N48" t="str">
            <v>課税</v>
          </cell>
        </row>
        <row r="49">
          <cell r="F49" t="str">
            <v>0002402</v>
          </cell>
          <cell r="G49" t="str">
            <v>工事料</v>
          </cell>
          <cell r="H49" t="str">
            <v>ＮＴＴ回線調整工事料（基本）</v>
          </cell>
          <cell r="I49">
            <v>14</v>
          </cell>
          <cell r="N49" t="str">
            <v>課税</v>
          </cell>
        </row>
        <row r="50">
          <cell r="F50" t="str">
            <v>0002502</v>
          </cell>
          <cell r="G50" t="str">
            <v>工事料</v>
          </cell>
          <cell r="H50" t="str">
            <v>ＮＴＴ回線調整工事料（回線収容替え）</v>
          </cell>
          <cell r="I50">
            <v>18</v>
          </cell>
          <cell r="N50" t="str">
            <v>課税</v>
          </cell>
        </row>
        <row r="51">
          <cell r="F51" t="str">
            <v>0002602</v>
          </cell>
          <cell r="G51" t="str">
            <v>工事料</v>
          </cell>
          <cell r="H51" t="str">
            <v>ＮＴＴ回線調整工事料（ＢＴ外し）</v>
          </cell>
          <cell r="I51">
            <v>16</v>
          </cell>
          <cell r="N51" t="str">
            <v>課税</v>
          </cell>
        </row>
        <row r="52">
          <cell r="F52" t="str">
            <v>0002702</v>
          </cell>
          <cell r="G52" t="str">
            <v>工事料</v>
          </cell>
          <cell r="H52" t="str">
            <v>回線申込手続費</v>
          </cell>
          <cell r="I52">
            <v>7</v>
          </cell>
          <cell r="N52" t="str">
            <v>課税</v>
          </cell>
        </row>
        <row r="53">
          <cell r="F53" t="str">
            <v>0002802</v>
          </cell>
          <cell r="G53" t="str">
            <v>工事料</v>
          </cell>
          <cell r="H53" t="str">
            <v>プロトコル変更工事料</v>
          </cell>
          <cell r="I53">
            <v>10</v>
          </cell>
          <cell r="N53" t="str">
            <v>課税</v>
          </cell>
        </row>
        <row r="54">
          <cell r="F54" t="str">
            <v>0002902</v>
          </cell>
          <cell r="G54" t="str">
            <v>工事料</v>
          </cell>
          <cell r="H54" t="str">
            <v>その他工事料</v>
          </cell>
          <cell r="I54">
            <v>6</v>
          </cell>
          <cell r="N54" t="str">
            <v>課税</v>
          </cell>
        </row>
        <row r="55">
          <cell r="F55" t="str">
            <v>0003102</v>
          </cell>
          <cell r="G55" t="str">
            <v>違約金</v>
          </cell>
          <cell r="H55" t="str">
            <v>モデム未回収</v>
          </cell>
          <cell r="I55">
            <v>6</v>
          </cell>
          <cell r="N55" t="str">
            <v>課税</v>
          </cell>
        </row>
        <row r="56">
          <cell r="F56" t="str">
            <v>0003116</v>
          </cell>
          <cell r="G56" t="str">
            <v>違約金</v>
          </cell>
          <cell r="H56" t="str">
            <v>ＩＰ電話用宅内機器違約金</v>
          </cell>
          <cell r="I56">
            <v>12</v>
          </cell>
          <cell r="N56" t="str">
            <v>課税</v>
          </cell>
        </row>
        <row r="57">
          <cell r="F57" t="str">
            <v>0003202</v>
          </cell>
          <cell r="G57" t="str">
            <v>違約金</v>
          </cell>
          <cell r="H57" t="str">
            <v>モデム未回収</v>
          </cell>
          <cell r="I57">
            <v>6</v>
          </cell>
          <cell r="N57" t="str">
            <v>課税</v>
          </cell>
        </row>
        <row r="58">
          <cell r="F58" t="str">
            <v>0004001</v>
          </cell>
          <cell r="G58" t="str">
            <v>通信料</v>
          </cell>
          <cell r="H58" t="str">
            <v>ＤＩＯＮ月額利用料</v>
          </cell>
          <cell r="I58">
            <v>9</v>
          </cell>
          <cell r="J58" t="str">
            <v>なし</v>
          </cell>
          <cell r="K58" t="str">
            <v>3</v>
          </cell>
          <cell r="L58" t="str">
            <v>対象</v>
          </cell>
          <cell r="M58" t="str">
            <v>対象</v>
          </cell>
          <cell r="N58" t="str">
            <v>課税</v>
          </cell>
        </row>
        <row r="59">
          <cell r="F59" t="str">
            <v>0004002</v>
          </cell>
          <cell r="G59" t="str">
            <v>利用料</v>
          </cell>
          <cell r="H59" t="str">
            <v>月額利用料（ＡＤＳＬ電話共用）</v>
          </cell>
          <cell r="I59">
            <v>15</v>
          </cell>
          <cell r="N59" t="str">
            <v>課税</v>
          </cell>
        </row>
        <row r="60">
          <cell r="F60" t="str">
            <v>0004003</v>
          </cell>
          <cell r="G60" t="str">
            <v>通信料</v>
          </cell>
          <cell r="H60" t="str">
            <v>月額利用料（Ｎｅｗｅｂ）</v>
          </cell>
          <cell r="I60">
            <v>12</v>
          </cell>
          <cell r="N60" t="str">
            <v>課税</v>
          </cell>
        </row>
        <row r="61">
          <cell r="F61" t="str">
            <v>0004005</v>
          </cell>
          <cell r="G61" t="str">
            <v>通信料</v>
          </cell>
          <cell r="H61" t="str">
            <v>月額利用料（メールインワンＦＡＸ）</v>
          </cell>
          <cell r="I61">
            <v>17</v>
          </cell>
          <cell r="N61" t="str">
            <v>課税</v>
          </cell>
        </row>
        <row r="62">
          <cell r="F62" t="str">
            <v>0004006</v>
          </cell>
          <cell r="G62" t="str">
            <v>通信料</v>
          </cell>
          <cell r="H62" t="str">
            <v>月額利用料（メールインワンＦＡＸ）</v>
          </cell>
          <cell r="I62">
            <v>17</v>
          </cell>
          <cell r="N62" t="str">
            <v>課税</v>
          </cell>
        </row>
        <row r="63">
          <cell r="F63" t="str">
            <v>0004010</v>
          </cell>
          <cell r="G63" t="str">
            <v>利用料</v>
          </cell>
          <cell r="H63" t="str">
            <v>月額基本料（ｅ＊Ｔｅｍｐｏ）</v>
          </cell>
          <cell r="I63">
            <v>14</v>
          </cell>
          <cell r="N63" t="str">
            <v>課税</v>
          </cell>
        </row>
        <row r="64">
          <cell r="F64" t="str">
            <v>0004011</v>
          </cell>
          <cell r="G64" t="str">
            <v>利用料</v>
          </cell>
          <cell r="H64" t="str">
            <v>月額基本料（ショッピングパレード）</v>
          </cell>
          <cell r="I64">
            <v>17</v>
          </cell>
          <cell r="N64" t="str">
            <v>課税</v>
          </cell>
        </row>
        <row r="65">
          <cell r="F65" t="str">
            <v>0004013</v>
          </cell>
          <cell r="G65" t="str">
            <v>利用料</v>
          </cell>
          <cell r="H65" t="str">
            <v>月額利用料（”Ｆ”マンション）</v>
          </cell>
          <cell r="I65">
            <v>15</v>
          </cell>
          <cell r="N65" t="str">
            <v>課税</v>
          </cell>
        </row>
        <row r="66">
          <cell r="F66" t="str">
            <v>0004016</v>
          </cell>
          <cell r="G66" t="str">
            <v>利用料</v>
          </cell>
          <cell r="H66" t="str">
            <v>月額利用料（ＩＰ電話）</v>
          </cell>
          <cell r="I66">
            <v>11</v>
          </cell>
          <cell r="N66" t="str">
            <v>課税</v>
          </cell>
        </row>
        <row r="67">
          <cell r="F67" t="str">
            <v>0004102</v>
          </cell>
          <cell r="G67" t="str">
            <v>利用料</v>
          </cell>
          <cell r="H67" t="str">
            <v>月額利用料（ＡＤＳＬ専用）</v>
          </cell>
          <cell r="I67">
            <v>13</v>
          </cell>
          <cell r="N67" t="str">
            <v>課税</v>
          </cell>
        </row>
        <row r="68">
          <cell r="F68" t="str">
            <v>0004602</v>
          </cell>
          <cell r="G68" t="str">
            <v>回線使用料</v>
          </cell>
          <cell r="H68" t="str">
            <v>ＮＴＴ回線使用料（電話共用）</v>
          </cell>
          <cell r="I68">
            <v>14</v>
          </cell>
          <cell r="N68" t="str">
            <v>課税</v>
          </cell>
        </row>
        <row r="69">
          <cell r="F69" t="str">
            <v>0004702</v>
          </cell>
          <cell r="G69" t="str">
            <v>回線使用料</v>
          </cell>
          <cell r="H69" t="str">
            <v>ＮＴＴ回線使用料（ＡＤＳＬ専用）</v>
          </cell>
          <cell r="I69">
            <v>16</v>
          </cell>
          <cell r="N69" t="str">
            <v>課税</v>
          </cell>
        </row>
        <row r="70">
          <cell r="F70" t="str">
            <v>0005013</v>
          </cell>
          <cell r="G70" t="str">
            <v>利用料</v>
          </cell>
          <cell r="H70" t="str">
            <v>月額料金（”Ｆ”マンション）</v>
          </cell>
          <cell r="I70">
            <v>14</v>
          </cell>
          <cell r="J70" t="str">
            <v>DABINCI利用量</v>
          </cell>
          <cell r="N70" t="str">
            <v>課税</v>
          </cell>
        </row>
        <row r="71">
          <cell r="F71" t="str">
            <v>0006001</v>
          </cell>
          <cell r="G71" t="str">
            <v>割引額</v>
          </cell>
          <cell r="H71" t="str">
            <v>割引キャンペーン</v>
          </cell>
          <cell r="I71">
            <v>8</v>
          </cell>
          <cell r="J71" t="str">
            <v>なし</v>
          </cell>
          <cell r="K71" t="str">
            <v>6</v>
          </cell>
          <cell r="L71" t="str">
            <v>対象</v>
          </cell>
          <cell r="M71" t="str">
            <v>対象</v>
          </cell>
          <cell r="N71" t="str">
            <v>課税</v>
          </cell>
        </row>
        <row r="72">
          <cell r="F72" t="str">
            <v>0006010</v>
          </cell>
          <cell r="G72" t="str">
            <v>割引額</v>
          </cell>
          <cell r="H72" t="str">
            <v>（ボリュームディスカウントプランＡ）</v>
          </cell>
          <cell r="I72">
            <v>18</v>
          </cell>
          <cell r="N72" t="str">
            <v>課税</v>
          </cell>
        </row>
        <row r="73">
          <cell r="F73" t="str">
            <v>0006102</v>
          </cell>
          <cell r="G73" t="str">
            <v>割引額</v>
          </cell>
          <cell r="H73" t="str">
            <v>初期費用割引（ＡＤＳＬキャンペーン）</v>
          </cell>
          <cell r="I73">
            <v>18</v>
          </cell>
          <cell r="N73" t="str">
            <v>課税</v>
          </cell>
        </row>
        <row r="74">
          <cell r="F74" t="str">
            <v>0006110</v>
          </cell>
          <cell r="G74" t="str">
            <v>割引額</v>
          </cell>
          <cell r="H74" t="str">
            <v>（ボリュームディスカウントプランＢ）</v>
          </cell>
          <cell r="I74">
            <v>18</v>
          </cell>
          <cell r="N74" t="str">
            <v>課税</v>
          </cell>
        </row>
        <row r="75">
          <cell r="F75" t="str">
            <v>0006201</v>
          </cell>
          <cell r="G75" t="str">
            <v>割引額</v>
          </cell>
          <cell r="H75" t="str">
            <v>ＤＩＯＮセット割　付加サービス割引</v>
          </cell>
          <cell r="I75">
            <v>17</v>
          </cell>
          <cell r="J75" t="str">
            <v>なし</v>
          </cell>
          <cell r="K75" t="str">
            <v>8</v>
          </cell>
          <cell r="L75" t="str">
            <v>対象</v>
          </cell>
          <cell r="M75" t="str">
            <v>対象</v>
          </cell>
          <cell r="N75" t="str">
            <v>課税</v>
          </cell>
        </row>
        <row r="76">
          <cell r="F76" t="str">
            <v>0006202</v>
          </cell>
          <cell r="G76" t="str">
            <v>割引額</v>
          </cell>
          <cell r="H76" t="str">
            <v>ＤＩＯＮセット割　付加サービス割引</v>
          </cell>
          <cell r="I76">
            <v>17</v>
          </cell>
          <cell r="N76" t="str">
            <v>課税</v>
          </cell>
        </row>
        <row r="77">
          <cell r="F77" t="str">
            <v>0006203</v>
          </cell>
          <cell r="G77" t="str">
            <v>割引額</v>
          </cell>
          <cell r="H77" t="str">
            <v>ＤＩＯＮセット割　付加サービス割引</v>
          </cell>
          <cell r="I77">
            <v>17</v>
          </cell>
          <cell r="N77" t="str">
            <v>課税</v>
          </cell>
        </row>
        <row r="78">
          <cell r="F78" t="str">
            <v>0006210</v>
          </cell>
          <cell r="G78" t="str">
            <v>割引額</v>
          </cell>
          <cell r="H78" t="str">
            <v>割引額（ＥＣ割引パック）</v>
          </cell>
          <cell r="I78">
            <v>12</v>
          </cell>
        </row>
        <row r="79">
          <cell r="F79" t="str">
            <v>0006211</v>
          </cell>
          <cell r="G79" t="str">
            <v>割引額</v>
          </cell>
          <cell r="H79" t="str">
            <v>割引額（ＥＣ割引パック）</v>
          </cell>
          <cell r="I79">
            <v>12</v>
          </cell>
          <cell r="N79" t="str">
            <v>課税</v>
          </cell>
        </row>
        <row r="80">
          <cell r="F80" t="str">
            <v>0006213</v>
          </cell>
          <cell r="G80" t="str">
            <v>割引額</v>
          </cell>
          <cell r="H80" t="str">
            <v>ＤＩＯＮセット割　付加サービス割引</v>
          </cell>
          <cell r="I80">
            <v>17</v>
          </cell>
          <cell r="N80" t="str">
            <v>課税</v>
          </cell>
        </row>
        <row r="81">
          <cell r="F81" t="str">
            <v>0006301</v>
          </cell>
          <cell r="G81" t="str">
            <v>割引額</v>
          </cell>
          <cell r="H81" t="str">
            <v>ＤＩＯＮセット割　定額料割引</v>
          </cell>
          <cell r="I81">
            <v>14</v>
          </cell>
          <cell r="J81" t="str">
            <v>なし</v>
          </cell>
          <cell r="K81" t="str">
            <v>7</v>
          </cell>
          <cell r="L81" t="str">
            <v>対象</v>
          </cell>
          <cell r="M81" t="str">
            <v>対象</v>
          </cell>
          <cell r="N81" t="str">
            <v>課税</v>
          </cell>
        </row>
        <row r="82">
          <cell r="F82" t="str">
            <v>0006302</v>
          </cell>
          <cell r="G82" t="str">
            <v>割引額</v>
          </cell>
          <cell r="H82" t="str">
            <v>ＤＩＯＮセット割　ＡＤＳＬ定額料割引</v>
          </cell>
          <cell r="I82">
            <v>18</v>
          </cell>
          <cell r="N82" t="str">
            <v>課税</v>
          </cell>
        </row>
        <row r="83">
          <cell r="F83" t="str">
            <v>0006303</v>
          </cell>
          <cell r="G83" t="str">
            <v>割引額</v>
          </cell>
          <cell r="H83" t="str">
            <v>ＤＩＯＮセット割</v>
          </cell>
          <cell r="I83">
            <v>8</v>
          </cell>
          <cell r="J83" t="str">
            <v>DABINCI利用量</v>
          </cell>
          <cell r="N83" t="str">
            <v>課税</v>
          </cell>
        </row>
        <row r="84">
          <cell r="F84" t="str">
            <v>0006312</v>
          </cell>
          <cell r="G84" t="str">
            <v>初期費用</v>
          </cell>
          <cell r="H84" t="str">
            <v>ＰａｙＣｏｕｎｔｅｒ</v>
          </cell>
          <cell r="I84">
            <v>10</v>
          </cell>
          <cell r="N84" t="str">
            <v>課税</v>
          </cell>
        </row>
        <row r="85">
          <cell r="F85" t="str">
            <v>0006402</v>
          </cell>
          <cell r="G85" t="str">
            <v>割引額</v>
          </cell>
          <cell r="H85" t="str">
            <v>設定工事　割引料</v>
          </cell>
          <cell r="I85">
            <v>8</v>
          </cell>
          <cell r="N85" t="str">
            <v>課税</v>
          </cell>
        </row>
        <row r="86">
          <cell r="F86" t="str">
            <v>0007002</v>
          </cell>
          <cell r="G86" t="str">
            <v>工事料</v>
          </cell>
          <cell r="H86" t="str">
            <v>接続速度変更工事料</v>
          </cell>
          <cell r="I86">
            <v>9</v>
          </cell>
          <cell r="N86" t="str">
            <v>課税</v>
          </cell>
        </row>
        <row r="87">
          <cell r="F87" t="str">
            <v>0007102</v>
          </cell>
          <cell r="G87" t="str">
            <v>工事料</v>
          </cell>
          <cell r="H87" t="str">
            <v>移転工事料</v>
          </cell>
          <cell r="I87">
            <v>5</v>
          </cell>
          <cell r="N87" t="str">
            <v>課税</v>
          </cell>
        </row>
        <row r="88">
          <cell r="F88" t="str">
            <v>0007202</v>
          </cell>
          <cell r="G88" t="str">
            <v>工事料</v>
          </cell>
          <cell r="H88" t="str">
            <v>プラン変更料</v>
          </cell>
          <cell r="I88">
            <v>6</v>
          </cell>
          <cell r="N88" t="str">
            <v>課税</v>
          </cell>
        </row>
        <row r="89">
          <cell r="F89" t="str">
            <v>0007302</v>
          </cell>
          <cell r="G89" t="str">
            <v>工事料</v>
          </cell>
          <cell r="H89" t="str">
            <v>設定工事　基本料</v>
          </cell>
          <cell r="I89">
            <v>8</v>
          </cell>
          <cell r="N89" t="str">
            <v>課税</v>
          </cell>
        </row>
        <row r="90">
          <cell r="F90" t="str">
            <v>0007402</v>
          </cell>
          <cell r="G90" t="str">
            <v>工事料</v>
          </cell>
          <cell r="H90" t="str">
            <v>設定工事　追加工事料</v>
          </cell>
          <cell r="I90">
            <v>10</v>
          </cell>
          <cell r="N90" t="str">
            <v>課税</v>
          </cell>
        </row>
        <row r="91">
          <cell r="F91" t="str">
            <v>0008002</v>
          </cell>
          <cell r="G91" t="str">
            <v>機器販売</v>
          </cell>
          <cell r="H91" t="str">
            <v>ＡＤＳＬモデム（１０Ｂａｓｅ－Ｔ）</v>
          </cell>
          <cell r="I91">
            <v>17</v>
          </cell>
          <cell r="N91" t="str">
            <v>課税</v>
          </cell>
        </row>
        <row r="92">
          <cell r="F92" t="str">
            <v>0008102</v>
          </cell>
          <cell r="G92" t="str">
            <v>機器販売</v>
          </cell>
          <cell r="H92" t="str">
            <v>ＡＤＳＬモデム（１０Ｂａｓｅ－Ｔ）</v>
          </cell>
          <cell r="I92">
            <v>17</v>
          </cell>
          <cell r="N92" t="str">
            <v>課税</v>
          </cell>
        </row>
        <row r="93">
          <cell r="F93" t="str">
            <v>0008202</v>
          </cell>
          <cell r="G93" t="str">
            <v>その他</v>
          </cell>
          <cell r="H93" t="str">
            <v>設定工事　付属品購入（ＬＡＮボード）</v>
          </cell>
          <cell r="I93">
            <v>18</v>
          </cell>
          <cell r="N93" t="str">
            <v>課税</v>
          </cell>
        </row>
        <row r="94">
          <cell r="F94" t="str">
            <v>0008302</v>
          </cell>
          <cell r="G94" t="str">
            <v>その他</v>
          </cell>
          <cell r="H94" t="str">
            <v>設定工事　付属品購入（ＬＡＮカード）</v>
          </cell>
          <cell r="I94">
            <v>18</v>
          </cell>
          <cell r="N94" t="str">
            <v>課税</v>
          </cell>
        </row>
        <row r="95">
          <cell r="F95" t="str">
            <v>0008402</v>
          </cell>
          <cell r="G95" t="str">
            <v>その他</v>
          </cell>
          <cell r="H95" t="str">
            <v>設定工事　付属品購入（ＬＡＮケーブル）</v>
          </cell>
          <cell r="I95">
            <v>19</v>
          </cell>
          <cell r="N95" t="str">
            <v>課税</v>
          </cell>
        </row>
        <row r="96">
          <cell r="F96" t="str">
            <v>0008502</v>
          </cell>
          <cell r="G96" t="str">
            <v>その他</v>
          </cell>
          <cell r="H96" t="str">
            <v>設定工事　付属品購入（その他）</v>
          </cell>
          <cell r="I96">
            <v>15</v>
          </cell>
          <cell r="N96" t="str">
            <v>課税</v>
          </cell>
        </row>
        <row r="97">
          <cell r="F97" t="str">
            <v>0009001</v>
          </cell>
          <cell r="G97" t="str">
            <v>料金調整</v>
          </cell>
          <cell r="H97" t="str">
            <v>ＤＩＯＮ料金調整</v>
          </cell>
          <cell r="I97">
            <v>8</v>
          </cell>
          <cell r="J97" t="str">
            <v>なし</v>
          </cell>
          <cell r="K97" t="str">
            <v>9000</v>
          </cell>
          <cell r="L97" t="str">
            <v>対象</v>
          </cell>
          <cell r="M97" t="str">
            <v>対象</v>
          </cell>
          <cell r="N97" t="str">
            <v>課税</v>
          </cell>
        </row>
        <row r="98">
          <cell r="F98" t="str">
            <v>0009002</v>
          </cell>
          <cell r="G98" t="str">
            <v>料金調整</v>
          </cell>
          <cell r="H98" t="str">
            <v>ＤＩＯＮ料金調整</v>
          </cell>
          <cell r="I98">
            <v>8</v>
          </cell>
          <cell r="N98" t="str">
            <v>課税</v>
          </cell>
        </row>
        <row r="99">
          <cell r="F99" t="str">
            <v>0009003</v>
          </cell>
          <cell r="G99" t="str">
            <v>料金調整</v>
          </cell>
          <cell r="H99" t="str">
            <v>ＤＩＯＮ料金調整</v>
          </cell>
          <cell r="I99">
            <v>8</v>
          </cell>
          <cell r="N99" t="str">
            <v>課税</v>
          </cell>
        </row>
        <row r="100">
          <cell r="F100" t="str">
            <v>0009004</v>
          </cell>
          <cell r="G100" t="str">
            <v>料金調整</v>
          </cell>
          <cell r="H100" t="str">
            <v>ＤＩＯＮ料金調整</v>
          </cell>
          <cell r="I100">
            <v>8</v>
          </cell>
          <cell r="N100" t="str">
            <v>課税</v>
          </cell>
        </row>
        <row r="101">
          <cell r="F101" t="str">
            <v>0009005</v>
          </cell>
          <cell r="G101" t="str">
            <v>料金調整</v>
          </cell>
          <cell r="H101" t="str">
            <v>調整金</v>
          </cell>
          <cell r="I101">
            <v>3</v>
          </cell>
          <cell r="N101" t="str">
            <v>課税</v>
          </cell>
        </row>
        <row r="102">
          <cell r="F102" t="str">
            <v>0009006</v>
          </cell>
          <cell r="G102" t="str">
            <v>料金調整</v>
          </cell>
          <cell r="H102" t="str">
            <v>調整金</v>
          </cell>
          <cell r="I102">
            <v>3</v>
          </cell>
          <cell r="N102" t="str">
            <v>課税</v>
          </cell>
        </row>
        <row r="103">
          <cell r="F103" t="str">
            <v>0009007</v>
          </cell>
          <cell r="G103" t="str">
            <v>料金調整</v>
          </cell>
          <cell r="H103" t="str">
            <v>課税調整金</v>
          </cell>
          <cell r="I103">
            <v>5</v>
          </cell>
          <cell r="N103" t="str">
            <v>課税</v>
          </cell>
        </row>
        <row r="104">
          <cell r="F104" t="str">
            <v>0009008</v>
          </cell>
          <cell r="G104" t="str">
            <v>料金調整</v>
          </cell>
          <cell r="H104" t="str">
            <v>ＤＩＯＮ料金調整</v>
          </cell>
          <cell r="I104">
            <v>8</v>
          </cell>
          <cell r="N104" t="str">
            <v>課税</v>
          </cell>
        </row>
        <row r="105">
          <cell r="F105" t="str">
            <v>0009009</v>
          </cell>
          <cell r="G105" t="str">
            <v>料金調整</v>
          </cell>
          <cell r="H105" t="str">
            <v>サーバーレンタル料金調整</v>
          </cell>
          <cell r="I105">
            <v>12</v>
          </cell>
          <cell r="N105" t="str">
            <v>課税</v>
          </cell>
        </row>
        <row r="106">
          <cell r="F106" t="str">
            <v>0009010</v>
          </cell>
          <cell r="G106" t="str">
            <v>料金調整</v>
          </cell>
          <cell r="H106" t="str">
            <v>料金調整額</v>
          </cell>
          <cell r="I106">
            <v>5</v>
          </cell>
          <cell r="N106" t="str">
            <v>課税</v>
          </cell>
        </row>
        <row r="107">
          <cell r="F107" t="str">
            <v>0009011</v>
          </cell>
          <cell r="G107" t="str">
            <v>料金調整</v>
          </cell>
          <cell r="H107" t="str">
            <v>料金調整額</v>
          </cell>
          <cell r="I107">
            <v>5</v>
          </cell>
          <cell r="N107" t="str">
            <v>課税</v>
          </cell>
        </row>
        <row r="108">
          <cell r="F108" t="str">
            <v>0009012</v>
          </cell>
          <cell r="G108" t="str">
            <v>料金調整</v>
          </cell>
          <cell r="H108" t="str">
            <v>料金調整額</v>
          </cell>
          <cell r="I108">
            <v>5</v>
          </cell>
          <cell r="N108" t="str">
            <v>課税</v>
          </cell>
        </row>
        <row r="109">
          <cell r="F109" t="str">
            <v>0009013</v>
          </cell>
          <cell r="G109" t="str">
            <v>料金調整</v>
          </cell>
          <cell r="H109" t="str">
            <v>ＤＩＯＮ料金調整</v>
          </cell>
          <cell r="I109">
            <v>8</v>
          </cell>
          <cell r="N109" t="str">
            <v>課税</v>
          </cell>
        </row>
        <row r="110">
          <cell r="F110" t="str">
            <v>0009014</v>
          </cell>
          <cell r="G110" t="str">
            <v>料金調整</v>
          </cell>
          <cell r="H110" t="str">
            <v>料金調整</v>
          </cell>
          <cell r="I110">
            <v>4</v>
          </cell>
          <cell r="N110" t="str">
            <v>課税</v>
          </cell>
        </row>
        <row r="111">
          <cell r="F111" t="str">
            <v>0009015</v>
          </cell>
          <cell r="G111" t="str">
            <v>料金調整</v>
          </cell>
          <cell r="H111" t="str">
            <v>コンテンツコース料金調整</v>
          </cell>
          <cell r="I111">
            <v>12</v>
          </cell>
          <cell r="N111" t="str">
            <v>課税</v>
          </cell>
        </row>
        <row r="112">
          <cell r="F112" t="str">
            <v>0009016</v>
          </cell>
          <cell r="G112" t="str">
            <v>料金調整</v>
          </cell>
          <cell r="H112" t="str">
            <v>ＩＰ電話料金調整</v>
          </cell>
          <cell r="I112">
            <v>8</v>
          </cell>
          <cell r="N112" t="str">
            <v>課税</v>
          </cell>
        </row>
        <row r="113">
          <cell r="F113" t="str">
            <v>0104001</v>
          </cell>
          <cell r="G113" t="str">
            <v>通信料</v>
          </cell>
          <cell r="H113" t="str">
            <v>ＤＩＯＮ月額利用料</v>
          </cell>
          <cell r="I113">
            <v>9</v>
          </cell>
          <cell r="J113" t="str">
            <v>DABINCI利用量</v>
          </cell>
          <cell r="K113" t="str">
            <v>4</v>
          </cell>
          <cell r="L113" t="str">
            <v>対象</v>
          </cell>
          <cell r="M113" t="str">
            <v>対象</v>
          </cell>
          <cell r="N113" t="str">
            <v>課税</v>
          </cell>
        </row>
        <row r="114">
          <cell r="F114" t="str">
            <v>0104003</v>
          </cell>
          <cell r="G114" t="str">
            <v>通信料</v>
          </cell>
          <cell r="H114" t="str">
            <v>月額利用料（Ｎｅｗｅｂ）</v>
          </cell>
          <cell r="I114">
            <v>12</v>
          </cell>
          <cell r="J114" t="str">
            <v>DABINCI利用量</v>
          </cell>
          <cell r="N114" t="str">
            <v>課税</v>
          </cell>
        </row>
        <row r="115">
          <cell r="F115" t="str">
            <v>0104202</v>
          </cell>
          <cell r="G115" t="str">
            <v>レンタル料</v>
          </cell>
          <cell r="H115" t="str">
            <v>ＡＤＳＬモデム（ＵＳＢ）</v>
          </cell>
          <cell r="I115">
            <v>12</v>
          </cell>
          <cell r="N115" t="str">
            <v>課税</v>
          </cell>
        </row>
        <row r="116">
          <cell r="F116" t="str">
            <v>0104302</v>
          </cell>
          <cell r="G116" t="str">
            <v>レンタル料</v>
          </cell>
          <cell r="H116" t="str">
            <v>ＡＤＳＬモデム（１０Ｂａｓｅ－Ｔ）</v>
          </cell>
          <cell r="I116">
            <v>17</v>
          </cell>
          <cell r="N116" t="str">
            <v>課税</v>
          </cell>
        </row>
        <row r="117">
          <cell r="F117" t="str">
            <v>0104402</v>
          </cell>
          <cell r="G117" t="str">
            <v>レンタル料</v>
          </cell>
          <cell r="H117" t="str">
            <v>ＡＤＳＬモデム（ＵＳＢ）</v>
          </cell>
          <cell r="I117">
            <v>12</v>
          </cell>
          <cell r="N117" t="str">
            <v>課税</v>
          </cell>
        </row>
        <row r="118">
          <cell r="F118" t="str">
            <v>0104502</v>
          </cell>
          <cell r="G118" t="str">
            <v>レンタル料</v>
          </cell>
          <cell r="H118" t="str">
            <v>ＡＤＳＬモデム（１０Ｂａｓｅ－Ｔ）</v>
          </cell>
          <cell r="I118">
            <v>17</v>
          </cell>
          <cell r="N118" t="str">
            <v>課税</v>
          </cell>
        </row>
        <row r="119">
          <cell r="F119" t="str">
            <v>0104802</v>
          </cell>
          <cell r="G119" t="str">
            <v>レンタル料</v>
          </cell>
          <cell r="H119" t="str">
            <v>ＩＰ電話用宅内機器レンタル料</v>
          </cell>
          <cell r="I119">
            <v>14</v>
          </cell>
          <cell r="N119" t="str">
            <v>課税</v>
          </cell>
        </row>
        <row r="120">
          <cell r="F120" t="str">
            <v>0105001</v>
          </cell>
          <cell r="G120" t="str">
            <v>通信料</v>
          </cell>
          <cell r="H120" t="str">
            <v>ＤＩＯＮ利用料（従量分）</v>
          </cell>
          <cell r="I120">
            <v>12</v>
          </cell>
          <cell r="J120" t="str">
            <v>DABINCI利用量</v>
          </cell>
          <cell r="K120" t="str">
            <v>5</v>
          </cell>
          <cell r="L120" t="str">
            <v>対象</v>
          </cell>
          <cell r="M120" t="str">
            <v>対象</v>
          </cell>
          <cell r="N120" t="str">
            <v>課税</v>
          </cell>
        </row>
        <row r="121">
          <cell r="F121" t="str">
            <v>0105003</v>
          </cell>
          <cell r="G121" t="str">
            <v>通信料</v>
          </cell>
          <cell r="H121" t="str">
            <v>接続料（Ｎｅｗｅｂ）</v>
          </cell>
          <cell r="I121">
            <v>10</v>
          </cell>
          <cell r="J121" t="str">
            <v>DABINCI利用量</v>
          </cell>
          <cell r="N121" t="str">
            <v>課税</v>
          </cell>
        </row>
        <row r="122">
          <cell r="F122" t="str">
            <v>0105004</v>
          </cell>
          <cell r="G122" t="str">
            <v>通信料</v>
          </cell>
          <cell r="H122" t="str">
            <v>接続料（モバイルＧＢ）</v>
          </cell>
          <cell r="I122">
            <v>11</v>
          </cell>
          <cell r="J122" t="str">
            <v>DABINCI利用量</v>
          </cell>
          <cell r="N122" t="str">
            <v>課税</v>
          </cell>
        </row>
        <row r="123">
          <cell r="F123" t="str">
            <v>0115100</v>
          </cell>
          <cell r="G123" t="str">
            <v>利用料</v>
          </cell>
          <cell r="H123" t="str">
            <v>海外ローミング（ＫＤＤＩＧ）１０円／分</v>
          </cell>
          <cell r="I123">
            <v>19</v>
          </cell>
          <cell r="J123" t="str">
            <v>DABINCI利用量</v>
          </cell>
          <cell r="N123" t="str">
            <v>非課税</v>
          </cell>
        </row>
        <row r="124">
          <cell r="F124" t="str">
            <v>0115200</v>
          </cell>
          <cell r="G124" t="str">
            <v>利用料</v>
          </cell>
          <cell r="H124" t="str">
            <v>海外ローミング（ＧＲＩＣ）２０円／分</v>
          </cell>
          <cell r="I124">
            <v>18</v>
          </cell>
          <cell r="J124" t="str">
            <v>DABINCI利用量</v>
          </cell>
          <cell r="N124" t="str">
            <v>非課税</v>
          </cell>
        </row>
        <row r="125">
          <cell r="F125" t="str">
            <v>0115300</v>
          </cell>
          <cell r="G125" t="str">
            <v>利用料</v>
          </cell>
          <cell r="H125" t="str">
            <v>海外ローミング（ＩＰＡＳＳ）３０円／分</v>
          </cell>
          <cell r="I125">
            <v>19</v>
          </cell>
          <cell r="J125" t="str">
            <v>DABINCI利用量</v>
          </cell>
          <cell r="N125" t="str">
            <v>非課税</v>
          </cell>
        </row>
        <row r="126">
          <cell r="F126" t="str">
            <v>0130000</v>
          </cell>
          <cell r="G126" t="str">
            <v>登録料</v>
          </cell>
          <cell r="H126" t="str">
            <v>パケットサービス</v>
          </cell>
          <cell r="I126">
            <v>8</v>
          </cell>
          <cell r="N126" t="str">
            <v>課税</v>
          </cell>
        </row>
        <row r="127">
          <cell r="F127" t="str">
            <v>0134000</v>
          </cell>
          <cell r="G127" t="str">
            <v>利用料</v>
          </cell>
          <cell r="H127" t="str">
            <v>パケットサービス月額利用料</v>
          </cell>
          <cell r="I127">
            <v>13</v>
          </cell>
          <cell r="N127" t="str">
            <v>課税</v>
          </cell>
        </row>
        <row r="128">
          <cell r="F128" t="str">
            <v>0136102</v>
          </cell>
          <cell r="G128" t="str">
            <v>割引額</v>
          </cell>
          <cell r="H128" t="str">
            <v>ＡｉｒＨ”　ＡＤＳＬセット割引</v>
          </cell>
          <cell r="I128">
            <v>15</v>
          </cell>
          <cell r="N128" t="str">
            <v>課税</v>
          </cell>
        </row>
        <row r="129">
          <cell r="F129" t="str">
            <v>0145400</v>
          </cell>
          <cell r="G129" t="str">
            <v>利用料</v>
          </cell>
          <cell r="H129" t="str">
            <v>モバイルアクセス（５円／分）</v>
          </cell>
          <cell r="I129">
            <v>14</v>
          </cell>
          <cell r="J129" t="str">
            <v>DABINCI利用量</v>
          </cell>
          <cell r="N129" t="str">
            <v>課税</v>
          </cell>
        </row>
        <row r="130">
          <cell r="F130" t="str">
            <v>0301000</v>
          </cell>
          <cell r="G130" t="str">
            <v>変更料</v>
          </cell>
          <cell r="H130" t="str">
            <v>基本メールアカウント</v>
          </cell>
          <cell r="I130">
            <v>10</v>
          </cell>
          <cell r="N130" t="str">
            <v>課税</v>
          </cell>
        </row>
        <row r="131">
          <cell r="F131" t="str">
            <v>0305000</v>
          </cell>
          <cell r="G131" t="str">
            <v>利用料</v>
          </cell>
          <cell r="H131" t="str">
            <v>メール蓄積容量追加</v>
          </cell>
          <cell r="I131">
            <v>9</v>
          </cell>
          <cell r="N131" t="str">
            <v>課税</v>
          </cell>
        </row>
        <row r="132">
          <cell r="F132" t="str">
            <v>0331000</v>
          </cell>
          <cell r="G132" t="str">
            <v>変更料</v>
          </cell>
          <cell r="H132" t="str">
            <v>追加メールアカウント</v>
          </cell>
          <cell r="I132">
            <v>10</v>
          </cell>
          <cell r="N132" t="str">
            <v>課税</v>
          </cell>
        </row>
        <row r="133">
          <cell r="F133" t="str">
            <v>0334000</v>
          </cell>
          <cell r="G133" t="str">
            <v>利用料</v>
          </cell>
          <cell r="H133" t="str">
            <v>メールアドレス追加</v>
          </cell>
          <cell r="I133">
            <v>9</v>
          </cell>
          <cell r="N133" t="str">
            <v>課税</v>
          </cell>
        </row>
        <row r="134">
          <cell r="F134" t="str">
            <v>0335000</v>
          </cell>
          <cell r="G134" t="str">
            <v>利用料</v>
          </cell>
          <cell r="H134" t="str">
            <v>追加メールアドレス蓄積容量追加</v>
          </cell>
          <cell r="I134">
            <v>15</v>
          </cell>
          <cell r="N134" t="str">
            <v>課税</v>
          </cell>
        </row>
        <row r="135">
          <cell r="F135" t="str">
            <v>0340000</v>
          </cell>
          <cell r="G135" t="str">
            <v>登録料</v>
          </cell>
          <cell r="H135" t="str">
            <v>お好み転送サービス</v>
          </cell>
          <cell r="I135">
            <v>9</v>
          </cell>
          <cell r="N135" t="str">
            <v>課税</v>
          </cell>
        </row>
        <row r="136">
          <cell r="F136" t="str">
            <v>0344000</v>
          </cell>
          <cell r="G136" t="str">
            <v>利用料</v>
          </cell>
          <cell r="H136" t="str">
            <v>お好み転送サービス月額利用料</v>
          </cell>
          <cell r="I136">
            <v>14</v>
          </cell>
          <cell r="N136" t="str">
            <v>課税</v>
          </cell>
        </row>
        <row r="137">
          <cell r="F137" t="str">
            <v>0350000</v>
          </cell>
          <cell r="G137" t="str">
            <v>登録料</v>
          </cell>
          <cell r="H137" t="str">
            <v>お好み着信サービス</v>
          </cell>
          <cell r="I137">
            <v>9</v>
          </cell>
          <cell r="N137" t="str">
            <v>課税</v>
          </cell>
        </row>
        <row r="138">
          <cell r="F138" t="str">
            <v>0354000</v>
          </cell>
          <cell r="G138" t="str">
            <v>利用料</v>
          </cell>
          <cell r="H138" t="str">
            <v>お好み着信サービス月額利用料</v>
          </cell>
          <cell r="I138">
            <v>14</v>
          </cell>
          <cell r="N138" t="str">
            <v>課税</v>
          </cell>
        </row>
        <row r="139">
          <cell r="F139" t="str">
            <v>0605000</v>
          </cell>
          <cell r="G139" t="str">
            <v>利用料</v>
          </cell>
          <cell r="H139" t="str">
            <v>ホームページ公開代理容量追加</v>
          </cell>
          <cell r="I139">
            <v>14</v>
          </cell>
          <cell r="N139" t="str">
            <v>課税</v>
          </cell>
        </row>
        <row r="140">
          <cell r="F140" t="str">
            <v>0634000</v>
          </cell>
          <cell r="G140" t="str">
            <v>利用料</v>
          </cell>
          <cell r="H140" t="str">
            <v>ホームページ公開代理ＵＲＬ追加</v>
          </cell>
          <cell r="I140">
            <v>15</v>
          </cell>
          <cell r="N140" t="str">
            <v>課税</v>
          </cell>
        </row>
        <row r="141">
          <cell r="F141" t="str">
            <v>0634009</v>
          </cell>
          <cell r="G141" t="str">
            <v>利用料</v>
          </cell>
          <cell r="H141" t="str">
            <v>サーバーレンタル月額利用料</v>
          </cell>
          <cell r="I141">
            <v>13</v>
          </cell>
          <cell r="J141" t="str">
            <v>DABINCI利用量</v>
          </cell>
          <cell r="N141" t="str">
            <v>課税</v>
          </cell>
        </row>
        <row r="142">
          <cell r="F142" t="str">
            <v>0635000</v>
          </cell>
          <cell r="G142" t="str">
            <v>利用料</v>
          </cell>
          <cell r="H142" t="str">
            <v>追加ホームページ公開代理ＵＲＬ容量追加</v>
          </cell>
          <cell r="I142">
            <v>19</v>
          </cell>
          <cell r="N142" t="str">
            <v>課税</v>
          </cell>
        </row>
        <row r="143">
          <cell r="F143" t="str">
            <v>0635009</v>
          </cell>
          <cell r="G143" t="str">
            <v>利用料</v>
          </cell>
          <cell r="H143" t="str">
            <v>サーバーレンタル容量追加</v>
          </cell>
          <cell r="I143">
            <v>12</v>
          </cell>
          <cell r="J143" t="str">
            <v>DABINCI利用量</v>
          </cell>
          <cell r="N143" t="str">
            <v>課税</v>
          </cell>
        </row>
        <row r="144">
          <cell r="F144" t="str">
            <v>0904007</v>
          </cell>
          <cell r="G144" t="str">
            <v>利用料</v>
          </cell>
          <cell r="H144" t="str">
            <v>ＶＡ基本料金</v>
          </cell>
          <cell r="I144">
            <v>6</v>
          </cell>
          <cell r="J144" t="str">
            <v>DABINCI利用量</v>
          </cell>
          <cell r="N144" t="str">
            <v>課税</v>
          </cell>
        </row>
        <row r="145">
          <cell r="F145" t="str">
            <v>0905007</v>
          </cell>
          <cell r="G145" t="str">
            <v>利用料</v>
          </cell>
          <cell r="H145" t="str">
            <v>ＶＡ超過料金</v>
          </cell>
          <cell r="I145">
            <v>6</v>
          </cell>
          <cell r="J145" t="str">
            <v>DABINCI利用量</v>
          </cell>
          <cell r="N145" t="str">
            <v>課税</v>
          </cell>
        </row>
        <row r="146">
          <cell r="F146" t="str">
            <v>0934007</v>
          </cell>
          <cell r="G146" t="str">
            <v>利用料</v>
          </cell>
          <cell r="H146" t="str">
            <v>明細サービス料</v>
          </cell>
          <cell r="I146">
            <v>7</v>
          </cell>
          <cell r="N146" t="str">
            <v>課税</v>
          </cell>
        </row>
        <row r="147">
          <cell r="F147" t="str">
            <v>0944007</v>
          </cell>
          <cell r="G147" t="str">
            <v>利用料</v>
          </cell>
          <cell r="H147" t="str">
            <v>明細サービス料</v>
          </cell>
          <cell r="I147">
            <v>7</v>
          </cell>
          <cell r="N147" t="str">
            <v>課税</v>
          </cell>
        </row>
        <row r="148">
          <cell r="F148" t="str">
            <v>0954007</v>
          </cell>
          <cell r="G148" t="str">
            <v>利用料</v>
          </cell>
          <cell r="H148" t="str">
            <v>明細サービス料</v>
          </cell>
          <cell r="I148">
            <v>7</v>
          </cell>
          <cell r="N148" t="str">
            <v>課税</v>
          </cell>
        </row>
        <row r="149">
          <cell r="F149" t="str">
            <v>1005005</v>
          </cell>
          <cell r="G149" t="str">
            <v>通信料</v>
          </cell>
          <cell r="H149" t="str">
            <v>メールインワンＦＡＸ通信料（課税）</v>
          </cell>
          <cell r="I149">
            <v>17</v>
          </cell>
          <cell r="N149" t="str">
            <v>課税</v>
          </cell>
        </row>
        <row r="150">
          <cell r="F150" t="str">
            <v>1005006</v>
          </cell>
          <cell r="G150" t="str">
            <v>通信料</v>
          </cell>
          <cell r="H150" t="str">
            <v>メールインワンＦＡＸ通信料（課税）</v>
          </cell>
          <cell r="I150">
            <v>17</v>
          </cell>
          <cell r="N150" t="str">
            <v>課税</v>
          </cell>
        </row>
        <row r="151">
          <cell r="F151" t="str">
            <v>1005105</v>
          </cell>
          <cell r="G151" t="str">
            <v>通信料</v>
          </cell>
          <cell r="H151" t="str">
            <v>メールインワンＦＡＸ通信料（非課税）</v>
          </cell>
          <cell r="I151">
            <v>18</v>
          </cell>
          <cell r="N151" t="str">
            <v>非課税</v>
          </cell>
        </row>
        <row r="152">
          <cell r="F152" t="str">
            <v>1005106</v>
          </cell>
          <cell r="G152" t="str">
            <v>通信料</v>
          </cell>
          <cell r="H152" t="str">
            <v>メールインワンＦＡＸ通信料（非課税）</v>
          </cell>
          <cell r="I152">
            <v>18</v>
          </cell>
          <cell r="N152" t="str">
            <v>非課税</v>
          </cell>
        </row>
        <row r="153">
          <cell r="F153" t="str">
            <v>1034005</v>
          </cell>
          <cell r="G153" t="str">
            <v>通信料</v>
          </cell>
          <cell r="H153" t="str">
            <v>明細月額利用料</v>
          </cell>
          <cell r="I153">
            <v>7</v>
          </cell>
          <cell r="N153" t="str">
            <v>課税</v>
          </cell>
        </row>
        <row r="154">
          <cell r="F154" t="str">
            <v>1034006</v>
          </cell>
          <cell r="G154" t="str">
            <v>通信料</v>
          </cell>
          <cell r="H154" t="str">
            <v>明細月額利用料</v>
          </cell>
          <cell r="I154">
            <v>7</v>
          </cell>
          <cell r="N154" t="str">
            <v>課税</v>
          </cell>
        </row>
        <row r="155">
          <cell r="F155" t="str">
            <v>1104000</v>
          </cell>
          <cell r="G155" t="str">
            <v>利用料</v>
          </cell>
          <cell r="H155" t="str">
            <v>メーリングリスト月額利用料</v>
          </cell>
          <cell r="I155">
            <v>13</v>
          </cell>
          <cell r="N155" t="str">
            <v>課税</v>
          </cell>
        </row>
        <row r="156">
          <cell r="F156" t="str">
            <v>1200000</v>
          </cell>
          <cell r="G156" t="str">
            <v>手数料</v>
          </cell>
          <cell r="H156" t="str">
            <v>ドメイン名申請手数料</v>
          </cell>
          <cell r="I156">
            <v>10</v>
          </cell>
          <cell r="N156" t="str">
            <v>課税</v>
          </cell>
        </row>
        <row r="157">
          <cell r="F157" t="str">
            <v>1204000</v>
          </cell>
          <cell r="G157" t="str">
            <v>管理料</v>
          </cell>
          <cell r="H157" t="str">
            <v>ドメイン名維持管理料</v>
          </cell>
          <cell r="I157">
            <v>10</v>
          </cell>
          <cell r="N157" t="str">
            <v>課税</v>
          </cell>
        </row>
        <row r="158">
          <cell r="F158" t="str">
            <v>1230008</v>
          </cell>
          <cell r="G158" t="str">
            <v>登録料</v>
          </cell>
          <cell r="H158" t="str">
            <v>メール独自ドメイン</v>
          </cell>
          <cell r="I158">
            <v>9</v>
          </cell>
          <cell r="N158" t="str">
            <v>課税</v>
          </cell>
        </row>
        <row r="159">
          <cell r="F159" t="str">
            <v>1234008</v>
          </cell>
          <cell r="G159" t="str">
            <v>利用料</v>
          </cell>
          <cell r="H159" t="str">
            <v>メール独自ドメイン</v>
          </cell>
          <cell r="I159">
            <v>9</v>
          </cell>
          <cell r="N159" t="str">
            <v>課税</v>
          </cell>
        </row>
        <row r="160">
          <cell r="F160" t="str">
            <v>1240008</v>
          </cell>
          <cell r="G160" t="str">
            <v>登録料</v>
          </cell>
          <cell r="H160" t="str">
            <v>メーリングリスト独自ドメイン</v>
          </cell>
          <cell r="I160">
            <v>14</v>
          </cell>
          <cell r="N160" t="str">
            <v>課税</v>
          </cell>
        </row>
        <row r="161">
          <cell r="F161" t="str">
            <v>1244008</v>
          </cell>
          <cell r="G161" t="str">
            <v>利用料</v>
          </cell>
          <cell r="H161" t="str">
            <v>メーリングリスト独自ドメイン</v>
          </cell>
          <cell r="I161">
            <v>14</v>
          </cell>
          <cell r="N161" t="str">
            <v>課税</v>
          </cell>
        </row>
        <row r="162">
          <cell r="F162" t="str">
            <v>1250008</v>
          </cell>
          <cell r="G162" t="str">
            <v>登録料</v>
          </cell>
          <cell r="H162" t="str">
            <v>ホームページ独自ドメイン</v>
          </cell>
          <cell r="I162">
            <v>12</v>
          </cell>
          <cell r="N162" t="str">
            <v>課税</v>
          </cell>
        </row>
        <row r="163">
          <cell r="F163" t="str">
            <v>1254008</v>
          </cell>
          <cell r="G163" t="str">
            <v>利用料</v>
          </cell>
          <cell r="H163" t="str">
            <v>ホームページ独自ドメイン</v>
          </cell>
          <cell r="I163">
            <v>12</v>
          </cell>
          <cell r="N163" t="str">
            <v>課税</v>
          </cell>
        </row>
        <row r="164">
          <cell r="F164" t="str">
            <v>1330009</v>
          </cell>
          <cell r="G164" t="str">
            <v>登録料</v>
          </cell>
          <cell r="H164" t="str">
            <v>アクセスログ提供サービス</v>
          </cell>
          <cell r="I164">
            <v>12</v>
          </cell>
          <cell r="N164" t="str">
            <v>課税</v>
          </cell>
        </row>
        <row r="165">
          <cell r="F165" t="str">
            <v>1334009</v>
          </cell>
          <cell r="G165" t="str">
            <v>利用料</v>
          </cell>
          <cell r="H165" t="str">
            <v>アクセスログ提供サービス月額利用料</v>
          </cell>
          <cell r="I165">
            <v>17</v>
          </cell>
          <cell r="N165" t="str">
            <v>課税</v>
          </cell>
        </row>
        <row r="166">
          <cell r="F166" t="str">
            <v>1340009</v>
          </cell>
          <cell r="G166" t="str">
            <v>登録料</v>
          </cell>
          <cell r="H166" t="str">
            <v>アクセスログ解析サービス</v>
          </cell>
          <cell r="I166">
            <v>12</v>
          </cell>
          <cell r="N166" t="str">
            <v>課税</v>
          </cell>
        </row>
        <row r="167">
          <cell r="F167" t="str">
            <v>1344009</v>
          </cell>
          <cell r="G167" t="str">
            <v>利用料</v>
          </cell>
          <cell r="H167" t="str">
            <v>アクセスログ解析サービス月額利用料</v>
          </cell>
          <cell r="I167">
            <v>17</v>
          </cell>
          <cell r="N167" t="str">
            <v>課税</v>
          </cell>
        </row>
        <row r="168">
          <cell r="F168" t="str">
            <v>1634012</v>
          </cell>
          <cell r="G168" t="str">
            <v>利用料</v>
          </cell>
          <cell r="H168" t="str">
            <v>第１種クレジット決済月額基本料</v>
          </cell>
          <cell r="I168">
            <v>15</v>
          </cell>
          <cell r="N168" t="str">
            <v>課税</v>
          </cell>
        </row>
        <row r="169">
          <cell r="F169" t="str">
            <v>1636212</v>
          </cell>
          <cell r="G169" t="str">
            <v>割引額</v>
          </cell>
          <cell r="H169" t="str">
            <v>（ＥＣ割引パック）</v>
          </cell>
          <cell r="I169">
            <v>9</v>
          </cell>
          <cell r="N169" t="str">
            <v>課税</v>
          </cell>
        </row>
        <row r="170">
          <cell r="F170" t="str">
            <v>1644012</v>
          </cell>
          <cell r="G170" t="str">
            <v>利用料</v>
          </cell>
          <cell r="H170" t="str">
            <v>コンビニ決済月額基本料</v>
          </cell>
          <cell r="I170">
            <v>11</v>
          </cell>
          <cell r="N170" t="str">
            <v>課税</v>
          </cell>
        </row>
        <row r="171">
          <cell r="F171" t="str">
            <v>1646212</v>
          </cell>
          <cell r="G171" t="str">
            <v>割引額</v>
          </cell>
          <cell r="H171" t="str">
            <v>（ＥＣ割引パック）</v>
          </cell>
          <cell r="I171">
            <v>9</v>
          </cell>
          <cell r="N171" t="str">
            <v>課税</v>
          </cell>
        </row>
        <row r="172">
          <cell r="F172" t="str">
            <v>1654012</v>
          </cell>
          <cell r="G172" t="str">
            <v>利用料</v>
          </cell>
          <cell r="H172" t="str">
            <v>プリペイド決済月額基本料</v>
          </cell>
          <cell r="I172">
            <v>12</v>
          </cell>
          <cell r="N172" t="str">
            <v>課税</v>
          </cell>
        </row>
        <row r="173">
          <cell r="F173" t="str">
            <v>1656212</v>
          </cell>
          <cell r="G173" t="str">
            <v>割引額</v>
          </cell>
          <cell r="H173" t="str">
            <v>（ＥＣ割引パック）</v>
          </cell>
          <cell r="I173">
            <v>9</v>
          </cell>
          <cell r="N173" t="str">
            <v>課税</v>
          </cell>
        </row>
        <row r="174">
          <cell r="F174" t="str">
            <v>1664012</v>
          </cell>
          <cell r="G174" t="str">
            <v>利用料</v>
          </cell>
          <cell r="H174" t="str">
            <v>代引決済月額基本料</v>
          </cell>
          <cell r="I174">
            <v>9</v>
          </cell>
          <cell r="N174" t="str">
            <v>課税</v>
          </cell>
        </row>
        <row r="175">
          <cell r="F175" t="str">
            <v>1665012</v>
          </cell>
          <cell r="G175" t="str">
            <v>その他</v>
          </cell>
          <cell r="H175" t="str">
            <v>代引／物流連携運送料金等</v>
          </cell>
          <cell r="I175">
            <v>12</v>
          </cell>
          <cell r="N175" t="str">
            <v>課税</v>
          </cell>
        </row>
        <row r="176">
          <cell r="F176" t="str">
            <v>1666212</v>
          </cell>
          <cell r="G176" t="str">
            <v>割引額</v>
          </cell>
          <cell r="H176" t="str">
            <v>代引決済割引</v>
          </cell>
          <cell r="I176">
            <v>6</v>
          </cell>
          <cell r="N176" t="str">
            <v>課税</v>
          </cell>
        </row>
        <row r="177">
          <cell r="F177" t="str">
            <v>1674012</v>
          </cell>
          <cell r="G177" t="str">
            <v>利用料</v>
          </cell>
          <cell r="H177" t="str">
            <v>ＤＩＯＮ回収代行月額基本料</v>
          </cell>
          <cell r="I177">
            <v>13</v>
          </cell>
          <cell r="N177" t="str">
            <v>課税</v>
          </cell>
        </row>
        <row r="178">
          <cell r="F178" t="str">
            <v>1684012</v>
          </cell>
          <cell r="G178" t="str">
            <v>利用料</v>
          </cell>
          <cell r="H178" t="str">
            <v>第２種クレジット決済月額基本料</v>
          </cell>
          <cell r="I178">
            <v>15</v>
          </cell>
          <cell r="N178" t="str">
            <v>課税</v>
          </cell>
        </row>
        <row r="179">
          <cell r="F179" t="str">
            <v>1685012</v>
          </cell>
          <cell r="G179" t="str">
            <v>利用料</v>
          </cell>
          <cell r="H179" t="str">
            <v>第２種クレジット決済従量料金</v>
          </cell>
          <cell r="I179">
            <v>14</v>
          </cell>
          <cell r="N179" t="str">
            <v>課税</v>
          </cell>
        </row>
        <row r="180">
          <cell r="F180" t="str">
            <v>1686212</v>
          </cell>
          <cell r="G180" t="str">
            <v>割引額</v>
          </cell>
          <cell r="H180" t="str">
            <v>（ＥＣ割引パック）</v>
          </cell>
          <cell r="I180">
            <v>9</v>
          </cell>
          <cell r="N180" t="str">
            <v>課税</v>
          </cell>
        </row>
        <row r="181">
          <cell r="F181" t="str">
            <v>1694012</v>
          </cell>
          <cell r="G181" t="str">
            <v>利用料</v>
          </cell>
          <cell r="H181" t="str">
            <v>物流連携月額基本料</v>
          </cell>
          <cell r="I181">
            <v>9</v>
          </cell>
          <cell r="N181" t="str">
            <v>課税</v>
          </cell>
        </row>
        <row r="182">
          <cell r="F182" t="str">
            <v>1695012</v>
          </cell>
          <cell r="G182" t="str">
            <v>その他</v>
          </cell>
          <cell r="H182" t="str">
            <v>代引／物流連携運送料金等</v>
          </cell>
          <cell r="I182">
            <v>12</v>
          </cell>
          <cell r="N182" t="str">
            <v>課税</v>
          </cell>
        </row>
        <row r="183">
          <cell r="F183" t="str">
            <v>1734000</v>
          </cell>
          <cell r="G183" t="str">
            <v>利用料</v>
          </cell>
          <cell r="H183" t="str">
            <v>ビデオチャット月額利用料</v>
          </cell>
          <cell r="I183">
            <v>12</v>
          </cell>
          <cell r="N183" t="str">
            <v>課税</v>
          </cell>
        </row>
        <row r="184">
          <cell r="F184" t="str">
            <v>1734015</v>
          </cell>
          <cell r="G184" t="str">
            <v>利用料</v>
          </cell>
          <cell r="H184" t="str">
            <v>ビデオチャットサービス月額利用料</v>
          </cell>
          <cell r="I184">
            <v>16</v>
          </cell>
          <cell r="N184" t="str">
            <v>課税</v>
          </cell>
        </row>
        <row r="185">
          <cell r="F185" t="str">
            <v>1735000</v>
          </cell>
          <cell r="G185" t="str">
            <v>利用料</v>
          </cell>
          <cell r="H185" t="str">
            <v>ビデオチャット日額利用料</v>
          </cell>
          <cell r="I185">
            <v>12</v>
          </cell>
          <cell r="J185" t="str">
            <v>DABINCI利用量</v>
          </cell>
          <cell r="N185" t="str">
            <v>課税</v>
          </cell>
        </row>
        <row r="186">
          <cell r="F186" t="str">
            <v>1735015</v>
          </cell>
          <cell r="G186" t="str">
            <v>利用料</v>
          </cell>
          <cell r="H186" t="str">
            <v>ビデオチャットサービス日額利用料</v>
          </cell>
          <cell r="I186">
            <v>16</v>
          </cell>
          <cell r="J186" t="str">
            <v>DABINCI利用量</v>
          </cell>
          <cell r="N186" t="str">
            <v>課税</v>
          </cell>
        </row>
        <row r="187">
          <cell r="F187" t="str">
            <v>1904816</v>
          </cell>
          <cell r="G187" t="str">
            <v>機能使用料</v>
          </cell>
          <cell r="H187" t="str">
            <v>ＩＰ電話サービス機能使用料</v>
          </cell>
          <cell r="I187">
            <v>13</v>
          </cell>
          <cell r="N187" t="str">
            <v>課税</v>
          </cell>
        </row>
        <row r="188">
          <cell r="F188" t="str">
            <v>1904916</v>
          </cell>
          <cell r="G188" t="str">
            <v>レンタル料</v>
          </cell>
          <cell r="H188" t="str">
            <v>ＩＰ電話アダプターレンタル料</v>
          </cell>
          <cell r="I188">
            <v>14</v>
          </cell>
          <cell r="N188" t="str">
            <v>課税</v>
          </cell>
        </row>
        <row r="189">
          <cell r="F189" t="str">
            <v>1905016</v>
          </cell>
          <cell r="G189" t="str">
            <v>通信料</v>
          </cell>
          <cell r="H189" t="str">
            <v>ＩＰ電話サービス国内通話料（課税）</v>
          </cell>
          <cell r="I189">
            <v>17</v>
          </cell>
          <cell r="J189" t="str">
            <v>DABINCI利用量</v>
          </cell>
          <cell r="N189" t="str">
            <v>課税</v>
          </cell>
        </row>
        <row r="190">
          <cell r="F190" t="str">
            <v>1905116</v>
          </cell>
          <cell r="G190" t="str">
            <v>通信料</v>
          </cell>
          <cell r="H190" t="str">
            <v>ＩＰ電話サービス国際通話料（非課税）</v>
          </cell>
          <cell r="I190">
            <v>18</v>
          </cell>
          <cell r="J190" t="str">
            <v>DABINCI利用量</v>
          </cell>
          <cell r="N190" t="str">
            <v>非課税</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6.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kddi.com/smc/fmconline/bbcappl/schema/reg_diff_industries_appl_request" TargetMode="External"/><Relationship Id="rId1" Type="http://schemas.openxmlformats.org/officeDocument/2006/relationships/hyperlink" Target="http://kddi.com/smc/fmconline/bbcappl/schema/reg_diff_industries_appl_response" TargetMode="External"/><Relationship Id="rId4" Type="http://schemas.openxmlformats.org/officeDocument/2006/relationships/drawing" Target="../drawings/drawing2.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92D050"/>
  </sheetPr>
  <dimension ref="B1:F61"/>
  <sheetViews>
    <sheetView workbookViewId="0">
      <pane xSplit="2" ySplit="4" topLeftCell="C5" activePane="bottomRight" state="frozen"/>
      <selection pane="topRight" activeCell="C1" sqref="C1"/>
      <selection pane="bottomLeft" activeCell="A5" sqref="A5"/>
      <selection pane="bottomRight" activeCell="D5" sqref="D5"/>
    </sheetView>
  </sheetViews>
  <sheetFormatPr defaultColWidth="7.86328125" defaultRowHeight="10.5"/>
  <cols>
    <col min="1" max="1" width="1.265625" style="9" customWidth="1"/>
    <col min="2" max="2" width="3.86328125" style="9" customWidth="1"/>
    <col min="3" max="3" width="17.59765625" style="9" bestFit="1" customWidth="1"/>
    <col min="4" max="4" width="39.1328125" style="9" customWidth="1"/>
    <col min="5" max="5" width="68.73046875" style="9" customWidth="1"/>
    <col min="6" max="6" width="11" style="9" customWidth="1"/>
    <col min="7" max="16384" width="7.86328125" style="9"/>
  </cols>
  <sheetData>
    <row r="1" spans="2:6" ht="7.5" customHeight="1">
      <c r="D1" s="22"/>
      <c r="E1" s="22"/>
    </row>
    <row r="2" spans="2:6" ht="23.25" thickBot="1">
      <c r="B2" s="25" t="s">
        <v>88</v>
      </c>
      <c r="C2" s="25"/>
      <c r="D2" s="24"/>
      <c r="E2" s="24"/>
      <c r="F2" s="23"/>
    </row>
    <row r="3" spans="2:6" ht="11.25" thickTop="1" thickBot="1">
      <c r="D3" s="22"/>
      <c r="E3" s="22"/>
      <c r="F3" s="21"/>
    </row>
    <row r="4" spans="2:6">
      <c r="B4" s="20" t="s">
        <v>87</v>
      </c>
      <c r="C4" s="19" t="s">
        <v>86</v>
      </c>
      <c r="D4" s="18" t="s">
        <v>85</v>
      </c>
      <c r="E4" s="18" t="s">
        <v>84</v>
      </c>
      <c r="F4" s="17" t="s">
        <v>83</v>
      </c>
    </row>
    <row r="5" spans="2:6" ht="63">
      <c r="B5" s="16">
        <f t="shared" ref="B5:B48" si="0">ROW()-4</f>
        <v>1</v>
      </c>
      <c r="C5" s="373" t="s">
        <v>82</v>
      </c>
      <c r="D5" s="15" t="s">
        <v>750</v>
      </c>
      <c r="E5" s="15" t="s">
        <v>764</v>
      </c>
      <c r="F5" s="14">
        <v>1</v>
      </c>
    </row>
    <row r="6" spans="2:6" ht="63">
      <c r="B6" s="16">
        <f t="shared" si="0"/>
        <v>2</v>
      </c>
      <c r="C6" s="374"/>
      <c r="D6" s="15" t="s">
        <v>543</v>
      </c>
      <c r="E6" s="15" t="s">
        <v>542</v>
      </c>
      <c r="F6" s="14">
        <v>2</v>
      </c>
    </row>
    <row r="7" spans="2:6" ht="63">
      <c r="B7" s="16">
        <f t="shared" si="0"/>
        <v>3</v>
      </c>
      <c r="C7" s="374"/>
      <c r="D7" s="15" t="s">
        <v>544</v>
      </c>
      <c r="E7" s="15" t="s">
        <v>545</v>
      </c>
      <c r="F7" s="14">
        <v>3</v>
      </c>
    </row>
    <row r="8" spans="2:6" ht="63">
      <c r="B8" s="16">
        <f t="shared" si="0"/>
        <v>4</v>
      </c>
      <c r="C8" s="374"/>
      <c r="D8" s="15" t="s">
        <v>751</v>
      </c>
      <c r="E8" s="15" t="s">
        <v>764</v>
      </c>
      <c r="F8" s="14">
        <v>4</v>
      </c>
    </row>
    <row r="9" spans="2:6" ht="63">
      <c r="B9" s="16">
        <f t="shared" si="0"/>
        <v>5</v>
      </c>
      <c r="C9" s="374"/>
      <c r="D9" s="15" t="s">
        <v>546</v>
      </c>
      <c r="E9" s="15" t="s">
        <v>542</v>
      </c>
      <c r="F9" s="14">
        <v>5</v>
      </c>
    </row>
    <row r="10" spans="2:6" ht="63">
      <c r="B10" s="16">
        <f t="shared" si="0"/>
        <v>6</v>
      </c>
      <c r="C10" s="374"/>
      <c r="D10" s="15" t="s">
        <v>547</v>
      </c>
      <c r="E10" s="15" t="s">
        <v>545</v>
      </c>
      <c r="F10" s="14">
        <v>6</v>
      </c>
    </row>
    <row r="11" spans="2:6" ht="63">
      <c r="B11" s="16">
        <f t="shared" si="0"/>
        <v>7</v>
      </c>
      <c r="C11" s="374"/>
      <c r="D11" s="15" t="s">
        <v>752</v>
      </c>
      <c r="E11" s="15" t="s">
        <v>764</v>
      </c>
      <c r="F11" s="14">
        <v>7</v>
      </c>
    </row>
    <row r="12" spans="2:6" ht="63">
      <c r="B12" s="16">
        <f t="shared" si="0"/>
        <v>8</v>
      </c>
      <c r="C12" s="374"/>
      <c r="D12" s="15" t="s">
        <v>548</v>
      </c>
      <c r="E12" s="15" t="s">
        <v>542</v>
      </c>
      <c r="F12" s="14">
        <v>8</v>
      </c>
    </row>
    <row r="13" spans="2:6" ht="63">
      <c r="B13" s="16">
        <f t="shared" si="0"/>
        <v>9</v>
      </c>
      <c r="C13" s="374"/>
      <c r="D13" s="15" t="s">
        <v>549</v>
      </c>
      <c r="E13" s="15" t="s">
        <v>545</v>
      </c>
      <c r="F13" s="14">
        <v>9</v>
      </c>
    </row>
    <row r="14" spans="2:6" ht="63">
      <c r="B14" s="16">
        <f t="shared" si="0"/>
        <v>10</v>
      </c>
      <c r="C14" s="374"/>
      <c r="D14" s="15" t="s">
        <v>753</v>
      </c>
      <c r="E14" s="15" t="s">
        <v>764</v>
      </c>
      <c r="F14" s="14">
        <v>10</v>
      </c>
    </row>
    <row r="15" spans="2:6" ht="63">
      <c r="B15" s="16">
        <f t="shared" si="0"/>
        <v>11</v>
      </c>
      <c r="C15" s="374"/>
      <c r="D15" s="15" t="s">
        <v>550</v>
      </c>
      <c r="E15" s="15" t="s">
        <v>542</v>
      </c>
      <c r="F15" s="14">
        <v>11</v>
      </c>
    </row>
    <row r="16" spans="2:6" ht="63">
      <c r="B16" s="16">
        <f t="shared" si="0"/>
        <v>12</v>
      </c>
      <c r="C16" s="374"/>
      <c r="D16" s="15" t="s">
        <v>551</v>
      </c>
      <c r="E16" s="15" t="s">
        <v>545</v>
      </c>
      <c r="F16" s="14">
        <v>12</v>
      </c>
    </row>
    <row r="17" spans="2:6" ht="63">
      <c r="B17" s="16">
        <f t="shared" si="0"/>
        <v>13</v>
      </c>
      <c r="C17" s="374"/>
      <c r="D17" s="15" t="s">
        <v>754</v>
      </c>
      <c r="E17" s="15" t="s">
        <v>764</v>
      </c>
      <c r="F17" s="14">
        <v>13</v>
      </c>
    </row>
    <row r="18" spans="2:6" ht="63">
      <c r="B18" s="16">
        <f t="shared" si="0"/>
        <v>14</v>
      </c>
      <c r="C18" s="374"/>
      <c r="D18" s="15" t="s">
        <v>552</v>
      </c>
      <c r="E18" s="15" t="s">
        <v>542</v>
      </c>
      <c r="F18" s="14">
        <v>14</v>
      </c>
    </row>
    <row r="19" spans="2:6" ht="63">
      <c r="B19" s="16">
        <f t="shared" si="0"/>
        <v>15</v>
      </c>
      <c r="C19" s="374"/>
      <c r="D19" s="15" t="s">
        <v>553</v>
      </c>
      <c r="E19" s="15" t="s">
        <v>545</v>
      </c>
      <c r="F19" s="14">
        <v>15</v>
      </c>
    </row>
    <row r="20" spans="2:6" ht="63">
      <c r="B20" s="16">
        <f t="shared" si="0"/>
        <v>16</v>
      </c>
      <c r="C20" s="374"/>
      <c r="D20" s="15" t="s">
        <v>755</v>
      </c>
      <c r="E20" s="15" t="s">
        <v>764</v>
      </c>
      <c r="F20" s="14">
        <v>16</v>
      </c>
    </row>
    <row r="21" spans="2:6" ht="63">
      <c r="B21" s="16">
        <f t="shared" si="0"/>
        <v>17</v>
      </c>
      <c r="C21" s="374"/>
      <c r="D21" s="15" t="s">
        <v>554</v>
      </c>
      <c r="E21" s="15" t="s">
        <v>542</v>
      </c>
      <c r="F21" s="14">
        <v>17</v>
      </c>
    </row>
    <row r="22" spans="2:6" ht="63">
      <c r="B22" s="16">
        <f t="shared" si="0"/>
        <v>18</v>
      </c>
      <c r="C22" s="374"/>
      <c r="D22" s="15" t="s">
        <v>555</v>
      </c>
      <c r="E22" s="15" t="s">
        <v>545</v>
      </c>
      <c r="F22" s="14">
        <v>18</v>
      </c>
    </row>
    <row r="23" spans="2:6" ht="63">
      <c r="B23" s="16">
        <f t="shared" si="0"/>
        <v>19</v>
      </c>
      <c r="C23" s="374"/>
      <c r="D23" s="15" t="s">
        <v>756</v>
      </c>
      <c r="E23" s="15" t="s">
        <v>764</v>
      </c>
      <c r="F23" s="14">
        <v>19</v>
      </c>
    </row>
    <row r="24" spans="2:6" ht="63">
      <c r="B24" s="16">
        <f t="shared" si="0"/>
        <v>20</v>
      </c>
      <c r="C24" s="374"/>
      <c r="D24" s="15" t="s">
        <v>556</v>
      </c>
      <c r="E24" s="15" t="s">
        <v>542</v>
      </c>
      <c r="F24" s="14">
        <v>20</v>
      </c>
    </row>
    <row r="25" spans="2:6" ht="63">
      <c r="B25" s="16">
        <f t="shared" si="0"/>
        <v>21</v>
      </c>
      <c r="C25" s="374"/>
      <c r="D25" s="15" t="s">
        <v>557</v>
      </c>
      <c r="E25" s="15" t="s">
        <v>545</v>
      </c>
      <c r="F25" s="14">
        <v>21</v>
      </c>
    </row>
    <row r="26" spans="2:6" ht="63">
      <c r="B26" s="16">
        <f t="shared" si="0"/>
        <v>22</v>
      </c>
      <c r="C26" s="374"/>
      <c r="D26" s="15" t="s">
        <v>757</v>
      </c>
      <c r="E26" s="15" t="s">
        <v>764</v>
      </c>
      <c r="F26" s="14">
        <v>22</v>
      </c>
    </row>
    <row r="27" spans="2:6" ht="63">
      <c r="B27" s="16">
        <f t="shared" si="0"/>
        <v>23</v>
      </c>
      <c r="C27" s="374"/>
      <c r="D27" s="15" t="s">
        <v>559</v>
      </c>
      <c r="E27" s="15" t="s">
        <v>542</v>
      </c>
      <c r="F27" s="14">
        <v>23</v>
      </c>
    </row>
    <row r="28" spans="2:6" ht="63">
      <c r="B28" s="16">
        <f t="shared" si="0"/>
        <v>24</v>
      </c>
      <c r="C28" s="374"/>
      <c r="D28" s="15" t="s">
        <v>560</v>
      </c>
      <c r="E28" s="15" t="s">
        <v>545</v>
      </c>
      <c r="F28" s="14">
        <v>24</v>
      </c>
    </row>
    <row r="29" spans="2:6" ht="63">
      <c r="B29" s="16">
        <f t="shared" si="0"/>
        <v>25</v>
      </c>
      <c r="C29" s="374"/>
      <c r="D29" s="15" t="s">
        <v>758</v>
      </c>
      <c r="E29" s="15" t="s">
        <v>764</v>
      </c>
      <c r="F29" s="14">
        <v>25</v>
      </c>
    </row>
    <row r="30" spans="2:6" ht="63">
      <c r="B30" s="16">
        <f t="shared" si="0"/>
        <v>26</v>
      </c>
      <c r="C30" s="374"/>
      <c r="D30" s="15" t="s">
        <v>558</v>
      </c>
      <c r="E30" s="15" t="s">
        <v>542</v>
      </c>
      <c r="F30" s="14">
        <v>26</v>
      </c>
    </row>
    <row r="31" spans="2:6" ht="63">
      <c r="B31" s="16">
        <f t="shared" si="0"/>
        <v>27</v>
      </c>
      <c r="C31" s="374"/>
      <c r="D31" s="15" t="s">
        <v>561</v>
      </c>
      <c r="E31" s="15" t="s">
        <v>545</v>
      </c>
      <c r="F31" s="14">
        <v>27</v>
      </c>
    </row>
    <row r="32" spans="2:6" ht="63">
      <c r="B32" s="16">
        <f t="shared" si="0"/>
        <v>28</v>
      </c>
      <c r="C32" s="374"/>
      <c r="D32" s="15" t="s">
        <v>759</v>
      </c>
      <c r="E32" s="15" t="s">
        <v>764</v>
      </c>
      <c r="F32" s="14">
        <v>28</v>
      </c>
    </row>
    <row r="33" spans="2:6" ht="63">
      <c r="B33" s="16">
        <f t="shared" si="0"/>
        <v>29</v>
      </c>
      <c r="C33" s="374"/>
      <c r="D33" s="15" t="s">
        <v>562</v>
      </c>
      <c r="E33" s="15" t="s">
        <v>542</v>
      </c>
      <c r="F33" s="14">
        <v>29</v>
      </c>
    </row>
    <row r="34" spans="2:6" ht="63">
      <c r="B34" s="16">
        <f t="shared" si="0"/>
        <v>30</v>
      </c>
      <c r="C34" s="374"/>
      <c r="D34" s="15" t="s">
        <v>563</v>
      </c>
      <c r="E34" s="15" t="s">
        <v>545</v>
      </c>
      <c r="F34" s="14">
        <v>30</v>
      </c>
    </row>
    <row r="35" spans="2:6" ht="63">
      <c r="B35" s="16">
        <f t="shared" si="0"/>
        <v>31</v>
      </c>
      <c r="C35" s="374"/>
      <c r="D35" s="15" t="s">
        <v>760</v>
      </c>
      <c r="E35" s="15" t="s">
        <v>764</v>
      </c>
      <c r="F35" s="14">
        <v>31</v>
      </c>
    </row>
    <row r="36" spans="2:6" ht="63">
      <c r="B36" s="16">
        <f t="shared" si="0"/>
        <v>32</v>
      </c>
      <c r="C36" s="374"/>
      <c r="D36" s="15" t="s">
        <v>564</v>
      </c>
      <c r="E36" s="15" t="s">
        <v>542</v>
      </c>
      <c r="F36" s="14">
        <v>32</v>
      </c>
    </row>
    <row r="37" spans="2:6" ht="63">
      <c r="B37" s="16">
        <f t="shared" si="0"/>
        <v>33</v>
      </c>
      <c r="C37" s="374"/>
      <c r="D37" s="15" t="s">
        <v>565</v>
      </c>
      <c r="E37" s="15" t="s">
        <v>545</v>
      </c>
      <c r="F37" s="14">
        <v>33</v>
      </c>
    </row>
    <row r="38" spans="2:6" ht="63">
      <c r="B38" s="16">
        <f t="shared" si="0"/>
        <v>34</v>
      </c>
      <c r="C38" s="374"/>
      <c r="D38" s="15" t="s">
        <v>761</v>
      </c>
      <c r="E38" s="15" t="s">
        <v>764</v>
      </c>
      <c r="F38" s="14">
        <v>34</v>
      </c>
    </row>
    <row r="39" spans="2:6" ht="63">
      <c r="B39" s="16">
        <f t="shared" si="0"/>
        <v>35</v>
      </c>
      <c r="C39" s="374"/>
      <c r="D39" s="15" t="s">
        <v>566</v>
      </c>
      <c r="E39" s="15" t="s">
        <v>542</v>
      </c>
      <c r="F39" s="14">
        <v>35</v>
      </c>
    </row>
    <row r="40" spans="2:6" ht="63">
      <c r="B40" s="16">
        <f t="shared" si="0"/>
        <v>36</v>
      </c>
      <c r="C40" s="374"/>
      <c r="D40" s="15" t="s">
        <v>567</v>
      </c>
      <c r="E40" s="15" t="s">
        <v>545</v>
      </c>
      <c r="F40" s="14">
        <v>36</v>
      </c>
    </row>
    <row r="41" spans="2:6" ht="63">
      <c r="B41" s="16">
        <f t="shared" si="0"/>
        <v>37</v>
      </c>
      <c r="C41" s="374"/>
      <c r="D41" s="15" t="s">
        <v>762</v>
      </c>
      <c r="E41" s="15" t="s">
        <v>764</v>
      </c>
      <c r="F41" s="14">
        <v>37</v>
      </c>
    </row>
    <row r="42" spans="2:6" ht="63">
      <c r="B42" s="16">
        <f t="shared" si="0"/>
        <v>38</v>
      </c>
      <c r="C42" s="374"/>
      <c r="D42" s="15" t="s">
        <v>568</v>
      </c>
      <c r="E42" s="15" t="s">
        <v>542</v>
      </c>
      <c r="F42" s="14">
        <v>38</v>
      </c>
    </row>
    <row r="43" spans="2:6" ht="63">
      <c r="B43" s="16">
        <f t="shared" si="0"/>
        <v>39</v>
      </c>
      <c r="C43" s="374"/>
      <c r="D43" s="15" t="s">
        <v>569</v>
      </c>
      <c r="E43" s="15" t="s">
        <v>545</v>
      </c>
      <c r="F43" s="14">
        <v>39</v>
      </c>
    </row>
    <row r="44" spans="2:6" ht="63">
      <c r="B44" s="16">
        <f t="shared" si="0"/>
        <v>40</v>
      </c>
      <c r="C44" s="374"/>
      <c r="D44" s="15" t="s">
        <v>763</v>
      </c>
      <c r="E44" s="15" t="s">
        <v>764</v>
      </c>
      <c r="F44" s="14">
        <v>40</v>
      </c>
    </row>
    <row r="45" spans="2:6" ht="63">
      <c r="B45" s="16">
        <f t="shared" si="0"/>
        <v>41</v>
      </c>
      <c r="C45" s="374"/>
      <c r="D45" s="15" t="s">
        <v>570</v>
      </c>
      <c r="E45" s="15" t="s">
        <v>542</v>
      </c>
      <c r="F45" s="14">
        <v>41</v>
      </c>
    </row>
    <row r="46" spans="2:6" ht="63">
      <c r="B46" s="16">
        <f t="shared" si="0"/>
        <v>42</v>
      </c>
      <c r="C46" s="374"/>
      <c r="D46" s="15" t="s">
        <v>571</v>
      </c>
      <c r="E46" s="15" t="s">
        <v>545</v>
      </c>
      <c r="F46" s="14">
        <v>42</v>
      </c>
    </row>
    <row r="47" spans="2:6" ht="52.5">
      <c r="B47" s="16">
        <f t="shared" si="0"/>
        <v>43</v>
      </c>
      <c r="C47" s="375"/>
      <c r="D47" s="15" t="s">
        <v>572</v>
      </c>
      <c r="E47" s="15" t="s">
        <v>81</v>
      </c>
      <c r="F47" s="14">
        <v>43</v>
      </c>
    </row>
    <row r="48" spans="2:6" ht="10.9" thickBot="1">
      <c r="B48" s="13">
        <f t="shared" si="0"/>
        <v>44</v>
      </c>
      <c r="C48" s="12"/>
      <c r="D48" s="11"/>
      <c r="E48" s="11"/>
      <c r="F48" s="10"/>
    </row>
    <row r="49" ht="26.25" customHeight="1"/>
    <row r="50" ht="11.25" customHeight="1"/>
    <row r="51" ht="11.25" customHeight="1"/>
    <row r="52" ht="11.25" customHeight="1"/>
    <row r="53" ht="11.25" customHeight="1"/>
    <row r="54" ht="11.25" customHeight="1"/>
    <row r="55" ht="11.25" customHeight="1"/>
    <row r="56" ht="11.25" customHeight="1"/>
    <row r="57" ht="11.25" customHeight="1"/>
    <row r="58" ht="11.25" customHeight="1"/>
    <row r="59" ht="11.25" customHeight="1"/>
    <row r="60" ht="11.25" customHeight="1"/>
    <row r="61" ht="11.25" customHeight="1"/>
  </sheetData>
  <phoneticPr fontId="3"/>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70C0"/>
  </sheetPr>
  <dimension ref="A1:BK208"/>
  <sheetViews>
    <sheetView view="pageBreakPreview" zoomScaleNormal="100" zoomScaleSheetLayoutView="75" workbookViewId="0">
      <pane xSplit="20" ySplit="7" topLeftCell="U92" activePane="bottomRight" state="frozen"/>
      <selection pane="topRight"/>
      <selection pane="bottomLeft"/>
      <selection pane="bottomRight" activeCell="X128" sqref="X128"/>
    </sheetView>
  </sheetViews>
  <sheetFormatPr defaultColWidth="2.59765625" defaultRowHeight="15.2" customHeight="1"/>
  <cols>
    <col min="1" max="4" width="2.59765625" style="26" customWidth="1"/>
    <col min="5" max="5" width="3.73046875" style="26" customWidth="1"/>
    <col min="6" max="14" width="2.59765625" style="26" customWidth="1"/>
    <col min="15" max="15" width="2.73046875" style="26" customWidth="1"/>
    <col min="16" max="18" width="2.59765625" style="26" customWidth="1"/>
    <col min="19" max="19" width="10.1328125" style="26" customWidth="1"/>
    <col min="20" max="20" width="31.46484375" style="26" customWidth="1"/>
    <col min="21" max="63" width="2.59765625" style="26" customWidth="1"/>
    <col min="64" max="16384" width="2.59765625" style="26"/>
  </cols>
  <sheetData>
    <row r="1" spans="1:63" ht="15.2" customHeight="1" thickBot="1"/>
    <row r="2" spans="1:63" ht="19.5" customHeight="1">
      <c r="A2" s="171" t="s">
        <v>293</v>
      </c>
      <c r="B2" s="170"/>
      <c r="C2" s="170"/>
      <c r="D2" s="169"/>
      <c r="E2" s="386" t="s">
        <v>292</v>
      </c>
      <c r="F2" s="387"/>
      <c r="G2" s="387"/>
      <c r="H2" s="387"/>
      <c r="I2" s="387"/>
      <c r="J2" s="387"/>
      <c r="K2" s="387"/>
      <c r="L2" s="387"/>
      <c r="M2" s="387"/>
      <c r="N2" s="387"/>
      <c r="O2" s="388"/>
      <c r="P2" s="168" t="s">
        <v>291</v>
      </c>
      <c r="Q2" s="167"/>
      <c r="R2" s="167"/>
      <c r="S2" s="166"/>
      <c r="T2" s="165" t="s">
        <v>290</v>
      </c>
      <c r="U2" s="164" t="s">
        <v>289</v>
      </c>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row>
    <row r="3" spans="1:63" ht="19.5" customHeight="1">
      <c r="A3" s="161" t="s">
        <v>288</v>
      </c>
      <c r="B3" s="160"/>
      <c r="C3" s="160"/>
      <c r="D3" s="159"/>
      <c r="E3" s="389" t="s">
        <v>287</v>
      </c>
      <c r="F3" s="390"/>
      <c r="G3" s="390"/>
      <c r="H3" s="390"/>
      <c r="I3" s="390"/>
      <c r="J3" s="390"/>
      <c r="K3" s="390"/>
      <c r="L3" s="390"/>
      <c r="M3" s="390"/>
      <c r="N3" s="390"/>
      <c r="O3" s="391"/>
      <c r="P3" s="158"/>
      <c r="Q3" s="157"/>
      <c r="R3" s="157"/>
      <c r="S3" s="156"/>
      <c r="T3" s="155" t="s">
        <v>286</v>
      </c>
      <c r="U3" s="162" t="s">
        <v>285</v>
      </c>
      <c r="V3" s="162"/>
      <c r="W3" s="162"/>
      <c r="X3" s="162"/>
      <c r="Y3" s="162"/>
      <c r="Z3" s="162"/>
      <c r="AA3" s="162"/>
      <c r="AB3" s="162"/>
      <c r="AC3" s="162"/>
      <c r="AD3" s="162"/>
      <c r="AE3" s="162"/>
      <c r="AF3" s="162"/>
      <c r="AG3" s="162"/>
      <c r="AH3" s="162"/>
      <c r="AI3" s="162"/>
      <c r="AJ3" s="162"/>
      <c r="AK3" s="162"/>
      <c r="AL3" s="162"/>
      <c r="AM3" s="162"/>
      <c r="AN3" s="162"/>
      <c r="AO3" s="162"/>
      <c r="AP3" s="162"/>
      <c r="AQ3" s="162"/>
      <c r="AR3" s="162"/>
      <c r="AS3" s="162"/>
      <c r="AT3" s="162"/>
      <c r="AU3" s="162"/>
      <c r="AV3" s="162"/>
      <c r="AW3" s="162"/>
      <c r="AX3" s="162"/>
      <c r="AY3" s="162"/>
      <c r="AZ3" s="162"/>
      <c r="BA3" s="162"/>
      <c r="BB3" s="162"/>
      <c r="BC3" s="162"/>
      <c r="BD3" s="162"/>
      <c r="BE3" s="162"/>
      <c r="BF3" s="162"/>
      <c r="BG3" s="162"/>
      <c r="BH3" s="162"/>
      <c r="BI3" s="162"/>
      <c r="BJ3" s="162"/>
      <c r="BK3" s="162"/>
    </row>
    <row r="4" spans="1:63" ht="20.100000000000001" customHeight="1">
      <c r="A4" s="161" t="s">
        <v>284</v>
      </c>
      <c r="B4" s="160"/>
      <c r="C4" s="160"/>
      <c r="D4" s="159"/>
      <c r="E4" s="389" t="s">
        <v>283</v>
      </c>
      <c r="F4" s="390"/>
      <c r="G4" s="390"/>
      <c r="H4" s="390"/>
      <c r="I4" s="390"/>
      <c r="J4" s="390"/>
      <c r="K4" s="390"/>
      <c r="L4" s="390"/>
      <c r="M4" s="390"/>
      <c r="N4" s="390"/>
      <c r="O4" s="391"/>
      <c r="P4" s="158"/>
      <c r="Q4" s="157"/>
      <c r="R4" s="157"/>
      <c r="S4" s="156"/>
      <c r="T4" s="155" t="s">
        <v>282</v>
      </c>
      <c r="U4" s="154"/>
      <c r="V4" s="154"/>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c r="AX4" s="154"/>
      <c r="AY4" s="154"/>
      <c r="AZ4" s="154"/>
      <c r="BA4" s="154"/>
      <c r="BB4" s="154"/>
      <c r="BC4" s="154"/>
      <c r="BD4" s="154"/>
      <c r="BE4" s="154"/>
      <c r="BF4" s="154"/>
      <c r="BG4" s="154"/>
      <c r="BH4" s="154"/>
      <c r="BI4" s="154"/>
      <c r="BJ4" s="154"/>
      <c r="BK4" s="154"/>
    </row>
    <row r="5" spans="1:63" ht="18.95" customHeight="1" thickBot="1">
      <c r="A5" s="153" t="s">
        <v>281</v>
      </c>
      <c r="B5" s="148"/>
      <c r="C5" s="148"/>
      <c r="D5" s="147"/>
      <c r="E5" s="152"/>
      <c r="F5" s="151"/>
      <c r="G5" s="151"/>
      <c r="H5" s="151"/>
      <c r="I5" s="151"/>
      <c r="J5" s="151"/>
      <c r="K5" s="151"/>
      <c r="L5" s="151"/>
      <c r="M5" s="151"/>
      <c r="N5" s="151"/>
      <c r="O5" s="150"/>
      <c r="P5" s="149"/>
      <c r="Q5" s="148"/>
      <c r="R5" s="148"/>
      <c r="S5" s="147"/>
      <c r="T5" s="146" t="s">
        <v>280</v>
      </c>
      <c r="U5" s="145"/>
      <c r="V5" s="145"/>
      <c r="W5" s="145"/>
      <c r="X5" s="145"/>
      <c r="Y5" s="145"/>
      <c r="Z5" s="145"/>
      <c r="AA5" s="145"/>
      <c r="AB5" s="145"/>
      <c r="AC5" s="145"/>
      <c r="AD5" s="145"/>
      <c r="AE5" s="145"/>
      <c r="AF5" s="145"/>
      <c r="AG5" s="145"/>
      <c r="AH5" s="145"/>
      <c r="AI5" s="145"/>
      <c r="AJ5" s="145"/>
      <c r="AK5" s="145"/>
      <c r="AL5" s="145"/>
      <c r="AM5" s="145"/>
      <c r="AN5" s="145"/>
      <c r="AO5" s="145"/>
      <c r="AP5" s="145"/>
      <c r="AQ5" s="145"/>
      <c r="AR5" s="145"/>
      <c r="AS5" s="145"/>
      <c r="AT5" s="145"/>
      <c r="AU5" s="145"/>
      <c r="AV5" s="145"/>
      <c r="AW5" s="145"/>
      <c r="AX5" s="145"/>
      <c r="AY5" s="145"/>
      <c r="AZ5" s="145"/>
      <c r="BA5" s="145"/>
      <c r="BB5" s="145"/>
      <c r="BC5" s="145"/>
      <c r="BD5" s="145"/>
      <c r="BE5" s="145"/>
      <c r="BF5" s="145"/>
      <c r="BG5" s="145"/>
      <c r="BH5" s="145"/>
      <c r="BI5" s="145"/>
      <c r="BJ5" s="145"/>
      <c r="BK5" s="145"/>
    </row>
    <row r="6" spans="1:63" ht="15.2" customHeight="1">
      <c r="A6" s="144"/>
      <c r="B6" s="143"/>
      <c r="C6" s="143"/>
      <c r="D6" s="143"/>
      <c r="E6" s="143"/>
      <c r="F6" s="143"/>
      <c r="G6" s="143"/>
      <c r="H6" s="143"/>
      <c r="I6" s="143"/>
      <c r="J6" s="143"/>
      <c r="K6" s="143"/>
      <c r="L6" s="143"/>
      <c r="M6" s="143"/>
      <c r="N6" s="143"/>
      <c r="O6" s="143"/>
      <c r="P6" s="143"/>
      <c r="Q6" s="143"/>
      <c r="R6" s="143"/>
      <c r="S6" s="143"/>
      <c r="T6" s="143"/>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row>
    <row r="7" spans="1:63" ht="16.5" customHeight="1" thickBot="1">
      <c r="A7" s="142"/>
      <c r="B7" s="141"/>
      <c r="C7" s="141"/>
      <c r="D7" s="141"/>
      <c r="E7" s="141"/>
      <c r="F7" s="141"/>
      <c r="G7" s="141"/>
      <c r="H7" s="141"/>
      <c r="I7" s="141"/>
      <c r="J7" s="141"/>
      <c r="K7" s="141"/>
      <c r="L7" s="141"/>
      <c r="M7" s="141"/>
      <c r="N7" s="141"/>
      <c r="O7" s="141"/>
      <c r="P7" s="141"/>
      <c r="Q7" s="141"/>
      <c r="R7" s="141"/>
      <c r="S7" s="141"/>
      <c r="T7" s="140"/>
      <c r="U7" s="139" t="s">
        <v>57</v>
      </c>
      <c r="V7" s="139" t="s">
        <v>65</v>
      </c>
      <c r="W7" s="139" t="s">
        <v>70</v>
      </c>
      <c r="X7" s="139" t="s">
        <v>78</v>
      </c>
      <c r="Y7" s="139" t="s">
        <v>77</v>
      </c>
      <c r="Z7" s="139" t="s">
        <v>505</v>
      </c>
      <c r="AA7" s="139" t="s">
        <v>506</v>
      </c>
      <c r="AB7" s="139" t="s">
        <v>276</v>
      </c>
      <c r="AC7" s="139" t="s">
        <v>507</v>
      </c>
      <c r="AD7" s="139" t="s">
        <v>48</v>
      </c>
      <c r="AE7" s="139" t="s">
        <v>508</v>
      </c>
      <c r="AF7" s="139" t="s">
        <v>509</v>
      </c>
      <c r="AG7" s="139" t="s">
        <v>510</v>
      </c>
      <c r="AH7" s="139" t="s">
        <v>511</v>
      </c>
      <c r="AI7" s="139" t="s">
        <v>512</v>
      </c>
      <c r="AJ7" s="139" t="s">
        <v>513</v>
      </c>
      <c r="AK7" s="139" t="s">
        <v>514</v>
      </c>
      <c r="AL7" s="139" t="s">
        <v>515</v>
      </c>
      <c r="AM7" s="139" t="s">
        <v>516</v>
      </c>
      <c r="AN7" s="139" t="s">
        <v>80</v>
      </c>
      <c r="AO7" s="139" t="s">
        <v>517</v>
      </c>
      <c r="AP7" s="139" t="s">
        <v>518</v>
      </c>
      <c r="AQ7" s="139" t="s">
        <v>519</v>
      </c>
      <c r="AR7" s="139" t="s">
        <v>520</v>
      </c>
      <c r="AS7" s="139" t="s">
        <v>521</v>
      </c>
      <c r="AT7" s="139" t="s">
        <v>522</v>
      </c>
      <c r="AU7" s="139" t="s">
        <v>523</v>
      </c>
      <c r="AV7" s="139" t="s">
        <v>524</v>
      </c>
      <c r="AW7" s="139" t="s">
        <v>525</v>
      </c>
      <c r="AX7" s="139" t="s">
        <v>526</v>
      </c>
      <c r="AY7" s="139" t="s">
        <v>527</v>
      </c>
      <c r="AZ7" s="139" t="s">
        <v>528</v>
      </c>
      <c r="BA7" s="139" t="s">
        <v>529</v>
      </c>
      <c r="BB7" s="139" t="s">
        <v>530</v>
      </c>
      <c r="BC7" s="139" t="s">
        <v>531</v>
      </c>
      <c r="BD7" s="139" t="s">
        <v>532</v>
      </c>
      <c r="BE7" s="139" t="s">
        <v>533</v>
      </c>
      <c r="BF7" s="139" t="s">
        <v>534</v>
      </c>
      <c r="BG7" s="139" t="s">
        <v>535</v>
      </c>
      <c r="BH7" s="139" t="s">
        <v>536</v>
      </c>
      <c r="BI7" s="139" t="s">
        <v>537</v>
      </c>
      <c r="BJ7" s="139" t="s">
        <v>538</v>
      </c>
      <c r="BK7" s="139" t="s">
        <v>539</v>
      </c>
    </row>
    <row r="8" spans="1:63" s="27" customFormat="1" ht="15.2" customHeight="1" thickTop="1">
      <c r="A8" s="138" t="s">
        <v>279</v>
      </c>
      <c r="B8" s="137"/>
      <c r="C8" s="137"/>
      <c r="D8" s="137"/>
      <c r="E8" s="137"/>
      <c r="F8" s="137"/>
      <c r="G8" s="137"/>
      <c r="H8" s="136"/>
      <c r="I8" s="136"/>
      <c r="J8" s="135"/>
      <c r="K8" s="135"/>
      <c r="L8" s="135"/>
      <c r="M8" s="135"/>
      <c r="N8" s="135"/>
      <c r="O8" s="135"/>
      <c r="P8" s="135"/>
      <c r="Q8" s="135"/>
      <c r="R8" s="135"/>
      <c r="S8" s="135"/>
      <c r="T8" s="134"/>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c r="BF8" s="133"/>
      <c r="BG8" s="133"/>
      <c r="BH8" s="133"/>
      <c r="BI8" s="133"/>
      <c r="BJ8" s="133"/>
      <c r="BK8" s="133"/>
    </row>
    <row r="9" spans="1:63" s="27" customFormat="1" ht="15.2" customHeight="1">
      <c r="A9" s="64"/>
      <c r="B9" s="120" t="s">
        <v>278</v>
      </c>
      <c r="C9" s="119"/>
      <c r="D9" s="112"/>
      <c r="E9" s="112"/>
      <c r="F9" s="112"/>
      <c r="G9" s="112"/>
      <c r="H9" s="112"/>
      <c r="I9" s="118"/>
      <c r="J9" s="112"/>
      <c r="K9" s="118"/>
      <c r="L9" s="118"/>
      <c r="M9" s="112"/>
      <c r="N9" s="112"/>
      <c r="O9" s="112"/>
      <c r="P9" s="112"/>
      <c r="Q9" s="112"/>
      <c r="R9" s="118"/>
      <c r="S9" s="112"/>
      <c r="T9" s="117"/>
      <c r="U9" s="110"/>
      <c r="V9" s="110"/>
      <c r="W9" s="109"/>
      <c r="X9" s="109"/>
      <c r="Y9" s="110"/>
      <c r="Z9" s="109"/>
      <c r="AA9" s="109"/>
      <c r="AB9" s="110"/>
      <c r="AC9" s="109"/>
      <c r="AD9" s="109"/>
      <c r="AE9" s="110"/>
      <c r="AF9" s="109"/>
      <c r="AG9" s="109"/>
      <c r="AH9" s="110"/>
      <c r="AI9" s="109"/>
      <c r="AJ9" s="109"/>
      <c r="AK9" s="110"/>
      <c r="AL9" s="109"/>
      <c r="AM9" s="109"/>
      <c r="AN9" s="110"/>
      <c r="AO9" s="109"/>
      <c r="AP9" s="109"/>
      <c r="AQ9" s="110"/>
      <c r="AR9" s="109"/>
      <c r="AS9" s="109"/>
      <c r="AT9" s="110"/>
      <c r="AU9" s="109"/>
      <c r="AV9" s="109"/>
      <c r="AW9" s="110"/>
      <c r="AX9" s="109"/>
      <c r="AY9" s="109"/>
      <c r="AZ9" s="110"/>
      <c r="BA9" s="109"/>
      <c r="BB9" s="109"/>
      <c r="BC9" s="110"/>
      <c r="BD9" s="109"/>
      <c r="BE9" s="109"/>
      <c r="BF9" s="110"/>
      <c r="BG9" s="109"/>
      <c r="BH9" s="109"/>
      <c r="BI9" s="110"/>
      <c r="BJ9" s="109"/>
      <c r="BK9" s="109"/>
    </row>
    <row r="10" spans="1:63" s="27" customFormat="1" ht="12">
      <c r="A10" s="64"/>
      <c r="B10" s="63"/>
      <c r="C10" s="123" t="s">
        <v>277</v>
      </c>
      <c r="D10" s="122"/>
      <c r="E10" s="122"/>
      <c r="F10" s="122"/>
      <c r="G10" s="122"/>
      <c r="H10" s="122"/>
      <c r="I10" s="122"/>
      <c r="J10" s="122"/>
      <c r="K10" s="122"/>
      <c r="L10" s="122"/>
      <c r="M10" s="122"/>
      <c r="N10" s="122"/>
      <c r="O10" s="122"/>
      <c r="P10" s="122"/>
      <c r="Q10" s="122"/>
      <c r="R10" s="121"/>
      <c r="S10" s="104" t="s">
        <v>276</v>
      </c>
      <c r="T10" s="103"/>
      <c r="U10" s="57" t="s">
        <v>23</v>
      </c>
      <c r="V10" s="57" t="s">
        <v>23</v>
      </c>
      <c r="W10" s="57" t="s">
        <v>23</v>
      </c>
      <c r="X10" s="57" t="s">
        <v>23</v>
      </c>
      <c r="Y10" s="57" t="s">
        <v>23</v>
      </c>
      <c r="Z10" s="57" t="s">
        <v>23</v>
      </c>
      <c r="AA10" s="57" t="s">
        <v>23</v>
      </c>
      <c r="AB10" s="57" t="s">
        <v>23</v>
      </c>
      <c r="AC10" s="57" t="s">
        <v>23</v>
      </c>
      <c r="AD10" s="57" t="s">
        <v>23</v>
      </c>
      <c r="AE10" s="57" t="s">
        <v>23</v>
      </c>
      <c r="AF10" s="57" t="s">
        <v>23</v>
      </c>
      <c r="AG10" s="57" t="s">
        <v>23</v>
      </c>
      <c r="AH10" s="57" t="s">
        <v>23</v>
      </c>
      <c r="AI10" s="57" t="s">
        <v>23</v>
      </c>
      <c r="AJ10" s="57" t="s">
        <v>23</v>
      </c>
      <c r="AK10" s="57" t="s">
        <v>23</v>
      </c>
      <c r="AL10" s="57" t="s">
        <v>23</v>
      </c>
      <c r="AM10" s="57" t="s">
        <v>23</v>
      </c>
      <c r="AN10" s="57" t="s">
        <v>23</v>
      </c>
      <c r="AO10" s="57" t="s">
        <v>23</v>
      </c>
      <c r="AP10" s="57" t="s">
        <v>23</v>
      </c>
      <c r="AQ10" s="57" t="s">
        <v>23</v>
      </c>
      <c r="AR10" s="57" t="s">
        <v>23</v>
      </c>
      <c r="AS10" s="57" t="s">
        <v>23</v>
      </c>
      <c r="AT10" s="57" t="s">
        <v>23</v>
      </c>
      <c r="AU10" s="57" t="s">
        <v>23</v>
      </c>
      <c r="AV10" s="57" t="s">
        <v>23</v>
      </c>
      <c r="AW10" s="57" t="s">
        <v>23</v>
      </c>
      <c r="AX10" s="57" t="s">
        <v>23</v>
      </c>
      <c r="AY10" s="57" t="s">
        <v>23</v>
      </c>
      <c r="AZ10" s="57" t="s">
        <v>23</v>
      </c>
      <c r="BA10" s="57" t="s">
        <v>23</v>
      </c>
      <c r="BB10" s="57" t="s">
        <v>23</v>
      </c>
      <c r="BC10" s="57" t="s">
        <v>23</v>
      </c>
      <c r="BD10" s="57" t="s">
        <v>23</v>
      </c>
      <c r="BE10" s="57" t="s">
        <v>23</v>
      </c>
      <c r="BF10" s="57" t="s">
        <v>23</v>
      </c>
      <c r="BG10" s="57" t="s">
        <v>23</v>
      </c>
      <c r="BH10" s="57" t="s">
        <v>23</v>
      </c>
      <c r="BI10" s="57" t="s">
        <v>23</v>
      </c>
      <c r="BJ10" s="57" t="s">
        <v>23</v>
      </c>
      <c r="BK10" s="57" t="s">
        <v>23</v>
      </c>
    </row>
    <row r="11" spans="1:63" s="27" customFormat="1" ht="12">
      <c r="A11" s="64"/>
      <c r="B11" s="63"/>
      <c r="C11" s="123" t="s">
        <v>275</v>
      </c>
      <c r="D11" s="122"/>
      <c r="E11" s="122"/>
      <c r="F11" s="122"/>
      <c r="G11" s="122"/>
      <c r="H11" s="122"/>
      <c r="I11" s="122"/>
      <c r="J11" s="122"/>
      <c r="K11" s="122"/>
      <c r="L11" s="122"/>
      <c r="M11" s="122"/>
      <c r="N11" s="122"/>
      <c r="O11" s="122"/>
      <c r="P11" s="122"/>
      <c r="Q11" s="122"/>
      <c r="R11" s="121"/>
      <c r="S11" s="104" t="s">
        <v>274</v>
      </c>
      <c r="T11" s="103"/>
      <c r="U11" s="57" t="s">
        <v>23</v>
      </c>
      <c r="V11" s="57" t="s">
        <v>23</v>
      </c>
      <c r="W11" s="57" t="s">
        <v>23</v>
      </c>
      <c r="X11" s="57" t="s">
        <v>23</v>
      </c>
      <c r="Y11" s="57" t="s">
        <v>23</v>
      </c>
      <c r="Z11" s="57" t="s">
        <v>23</v>
      </c>
      <c r="AA11" s="57" t="s">
        <v>23</v>
      </c>
      <c r="AB11" s="57" t="s">
        <v>23</v>
      </c>
      <c r="AC11" s="57" t="s">
        <v>23</v>
      </c>
      <c r="AD11" s="57" t="s">
        <v>23</v>
      </c>
      <c r="AE11" s="57" t="s">
        <v>23</v>
      </c>
      <c r="AF11" s="57" t="s">
        <v>23</v>
      </c>
      <c r="AG11" s="57" t="s">
        <v>23</v>
      </c>
      <c r="AH11" s="57" t="s">
        <v>23</v>
      </c>
      <c r="AI11" s="57" t="s">
        <v>23</v>
      </c>
      <c r="AJ11" s="57" t="s">
        <v>23</v>
      </c>
      <c r="AK11" s="57" t="s">
        <v>23</v>
      </c>
      <c r="AL11" s="57" t="s">
        <v>23</v>
      </c>
      <c r="AM11" s="57" t="s">
        <v>23</v>
      </c>
      <c r="AN11" s="57" t="s">
        <v>23</v>
      </c>
      <c r="AO11" s="57" t="s">
        <v>23</v>
      </c>
      <c r="AP11" s="57" t="s">
        <v>23</v>
      </c>
      <c r="AQ11" s="57" t="s">
        <v>23</v>
      </c>
      <c r="AR11" s="57" t="s">
        <v>23</v>
      </c>
      <c r="AS11" s="57" t="s">
        <v>23</v>
      </c>
      <c r="AT11" s="57" t="s">
        <v>23</v>
      </c>
      <c r="AU11" s="57" t="s">
        <v>23</v>
      </c>
      <c r="AV11" s="57" t="s">
        <v>23</v>
      </c>
      <c r="AW11" s="57" t="s">
        <v>23</v>
      </c>
      <c r="AX11" s="57" t="s">
        <v>23</v>
      </c>
      <c r="AY11" s="57" t="s">
        <v>23</v>
      </c>
      <c r="AZ11" s="57" t="s">
        <v>23</v>
      </c>
      <c r="BA11" s="57" t="s">
        <v>23</v>
      </c>
      <c r="BB11" s="57" t="s">
        <v>23</v>
      </c>
      <c r="BC11" s="57" t="s">
        <v>23</v>
      </c>
      <c r="BD11" s="57" t="s">
        <v>23</v>
      </c>
      <c r="BE11" s="57" t="s">
        <v>23</v>
      </c>
      <c r="BF11" s="57" t="s">
        <v>23</v>
      </c>
      <c r="BG11" s="57" t="s">
        <v>23</v>
      </c>
      <c r="BH11" s="57" t="s">
        <v>23</v>
      </c>
      <c r="BI11" s="57" t="s">
        <v>23</v>
      </c>
      <c r="BJ11" s="57" t="s">
        <v>23</v>
      </c>
      <c r="BK11" s="57" t="s">
        <v>23</v>
      </c>
    </row>
    <row r="12" spans="1:63" s="27" customFormat="1" ht="12">
      <c r="A12" s="64"/>
      <c r="B12" s="63"/>
      <c r="C12" s="123" t="s">
        <v>273</v>
      </c>
      <c r="D12" s="122"/>
      <c r="E12" s="122"/>
      <c r="F12" s="122"/>
      <c r="G12" s="122"/>
      <c r="H12" s="122"/>
      <c r="I12" s="122"/>
      <c r="J12" s="122"/>
      <c r="K12" s="122"/>
      <c r="L12" s="122"/>
      <c r="M12" s="122"/>
      <c r="N12" s="122"/>
      <c r="O12" s="122"/>
      <c r="P12" s="122"/>
      <c r="Q12" s="122"/>
      <c r="R12" s="121"/>
      <c r="S12" s="104" t="s">
        <v>272</v>
      </c>
      <c r="T12" s="103"/>
      <c r="U12" s="57" t="s">
        <v>23</v>
      </c>
      <c r="V12" s="57" t="s">
        <v>23</v>
      </c>
      <c r="W12" s="57" t="s">
        <v>23</v>
      </c>
      <c r="X12" s="57" t="s">
        <v>23</v>
      </c>
      <c r="Y12" s="57" t="s">
        <v>23</v>
      </c>
      <c r="Z12" s="57" t="s">
        <v>23</v>
      </c>
      <c r="AA12" s="57" t="s">
        <v>23</v>
      </c>
      <c r="AB12" s="57" t="s">
        <v>23</v>
      </c>
      <c r="AC12" s="57" t="s">
        <v>23</v>
      </c>
      <c r="AD12" s="57" t="s">
        <v>23</v>
      </c>
      <c r="AE12" s="57" t="s">
        <v>23</v>
      </c>
      <c r="AF12" s="57" t="s">
        <v>23</v>
      </c>
      <c r="AG12" s="57" t="s">
        <v>23</v>
      </c>
      <c r="AH12" s="57" t="s">
        <v>23</v>
      </c>
      <c r="AI12" s="57" t="s">
        <v>23</v>
      </c>
      <c r="AJ12" s="57" t="s">
        <v>23</v>
      </c>
      <c r="AK12" s="57" t="s">
        <v>23</v>
      </c>
      <c r="AL12" s="57" t="s">
        <v>23</v>
      </c>
      <c r="AM12" s="57" t="s">
        <v>23</v>
      </c>
      <c r="AN12" s="57" t="s">
        <v>23</v>
      </c>
      <c r="AO12" s="57" t="s">
        <v>23</v>
      </c>
      <c r="AP12" s="57" t="s">
        <v>23</v>
      </c>
      <c r="AQ12" s="57" t="s">
        <v>23</v>
      </c>
      <c r="AR12" s="57" t="s">
        <v>23</v>
      </c>
      <c r="AS12" s="57" t="s">
        <v>23</v>
      </c>
      <c r="AT12" s="57" t="s">
        <v>23</v>
      </c>
      <c r="AU12" s="57" t="s">
        <v>23</v>
      </c>
      <c r="AV12" s="57" t="s">
        <v>23</v>
      </c>
      <c r="AW12" s="57" t="s">
        <v>23</v>
      </c>
      <c r="AX12" s="57" t="s">
        <v>23</v>
      </c>
      <c r="AY12" s="57" t="s">
        <v>23</v>
      </c>
      <c r="AZ12" s="57" t="s">
        <v>23</v>
      </c>
      <c r="BA12" s="57" t="s">
        <v>23</v>
      </c>
      <c r="BB12" s="57" t="s">
        <v>23</v>
      </c>
      <c r="BC12" s="57" t="s">
        <v>23</v>
      </c>
      <c r="BD12" s="57" t="s">
        <v>23</v>
      </c>
      <c r="BE12" s="57" t="s">
        <v>23</v>
      </c>
      <c r="BF12" s="57" t="s">
        <v>23</v>
      </c>
      <c r="BG12" s="57" t="s">
        <v>23</v>
      </c>
      <c r="BH12" s="57" t="s">
        <v>23</v>
      </c>
      <c r="BI12" s="57" t="s">
        <v>23</v>
      </c>
      <c r="BJ12" s="57" t="s">
        <v>23</v>
      </c>
      <c r="BK12" s="57" t="s">
        <v>23</v>
      </c>
    </row>
    <row r="13" spans="1:63" s="27" customFormat="1" ht="12">
      <c r="A13" s="64"/>
      <c r="B13" s="63"/>
      <c r="C13" s="123" t="s">
        <v>271</v>
      </c>
      <c r="D13" s="122"/>
      <c r="E13" s="122"/>
      <c r="F13" s="122"/>
      <c r="G13" s="122"/>
      <c r="H13" s="122"/>
      <c r="I13" s="122"/>
      <c r="J13" s="122"/>
      <c r="K13" s="122"/>
      <c r="L13" s="122"/>
      <c r="M13" s="122"/>
      <c r="N13" s="122"/>
      <c r="O13" s="122"/>
      <c r="P13" s="122"/>
      <c r="Q13" s="122"/>
      <c r="R13" s="121"/>
      <c r="S13" s="104" t="s">
        <v>270</v>
      </c>
      <c r="T13" s="103"/>
      <c r="U13" s="57" t="s">
        <v>23</v>
      </c>
      <c r="V13" s="57" t="s">
        <v>23</v>
      </c>
      <c r="W13" s="57" t="s">
        <v>23</v>
      </c>
      <c r="X13" s="57" t="s">
        <v>23</v>
      </c>
      <c r="Y13" s="57" t="s">
        <v>23</v>
      </c>
      <c r="Z13" s="57" t="s">
        <v>23</v>
      </c>
      <c r="AA13" s="57" t="s">
        <v>23</v>
      </c>
      <c r="AB13" s="57" t="s">
        <v>23</v>
      </c>
      <c r="AC13" s="57" t="s">
        <v>23</v>
      </c>
      <c r="AD13" s="57" t="s">
        <v>23</v>
      </c>
      <c r="AE13" s="57" t="s">
        <v>23</v>
      </c>
      <c r="AF13" s="57" t="s">
        <v>23</v>
      </c>
      <c r="AG13" s="57" t="s">
        <v>23</v>
      </c>
      <c r="AH13" s="57" t="s">
        <v>23</v>
      </c>
      <c r="AI13" s="57" t="s">
        <v>23</v>
      </c>
      <c r="AJ13" s="57" t="s">
        <v>23</v>
      </c>
      <c r="AK13" s="57" t="s">
        <v>23</v>
      </c>
      <c r="AL13" s="57" t="s">
        <v>23</v>
      </c>
      <c r="AM13" s="57" t="s">
        <v>23</v>
      </c>
      <c r="AN13" s="57" t="s">
        <v>23</v>
      </c>
      <c r="AO13" s="57" t="s">
        <v>23</v>
      </c>
      <c r="AP13" s="57" t="s">
        <v>23</v>
      </c>
      <c r="AQ13" s="57" t="s">
        <v>23</v>
      </c>
      <c r="AR13" s="57" t="s">
        <v>23</v>
      </c>
      <c r="AS13" s="57" t="s">
        <v>23</v>
      </c>
      <c r="AT13" s="57" t="s">
        <v>23</v>
      </c>
      <c r="AU13" s="57" t="s">
        <v>23</v>
      </c>
      <c r="AV13" s="57" t="s">
        <v>23</v>
      </c>
      <c r="AW13" s="57" t="s">
        <v>23</v>
      </c>
      <c r="AX13" s="57" t="s">
        <v>23</v>
      </c>
      <c r="AY13" s="57" t="s">
        <v>23</v>
      </c>
      <c r="AZ13" s="57" t="s">
        <v>23</v>
      </c>
      <c r="BA13" s="57" t="s">
        <v>23</v>
      </c>
      <c r="BB13" s="57" t="s">
        <v>23</v>
      </c>
      <c r="BC13" s="57" t="s">
        <v>23</v>
      </c>
      <c r="BD13" s="57" t="s">
        <v>23</v>
      </c>
      <c r="BE13" s="57" t="s">
        <v>23</v>
      </c>
      <c r="BF13" s="57" t="s">
        <v>23</v>
      </c>
      <c r="BG13" s="57" t="s">
        <v>23</v>
      </c>
      <c r="BH13" s="57" t="s">
        <v>23</v>
      </c>
      <c r="BI13" s="57" t="s">
        <v>23</v>
      </c>
      <c r="BJ13" s="57" t="s">
        <v>23</v>
      </c>
      <c r="BK13" s="57" t="s">
        <v>23</v>
      </c>
    </row>
    <row r="14" spans="1:63" s="27" customFormat="1" ht="12">
      <c r="A14" s="64"/>
      <c r="B14" s="63"/>
      <c r="C14" s="123" t="s">
        <v>269</v>
      </c>
      <c r="D14" s="122"/>
      <c r="E14" s="122"/>
      <c r="F14" s="122"/>
      <c r="G14" s="122"/>
      <c r="H14" s="122"/>
      <c r="I14" s="122"/>
      <c r="J14" s="122"/>
      <c r="K14" s="122"/>
      <c r="L14" s="122"/>
      <c r="M14" s="122"/>
      <c r="N14" s="122"/>
      <c r="O14" s="122"/>
      <c r="P14" s="122"/>
      <c r="Q14" s="122"/>
      <c r="R14" s="121"/>
      <c r="S14" s="104" t="s">
        <v>268</v>
      </c>
      <c r="T14" s="103"/>
      <c r="U14" s="57" t="s">
        <v>23</v>
      </c>
      <c r="V14" s="57" t="s">
        <v>23</v>
      </c>
      <c r="W14" s="57" t="s">
        <v>23</v>
      </c>
      <c r="X14" s="57" t="s">
        <v>23</v>
      </c>
      <c r="Y14" s="57" t="s">
        <v>23</v>
      </c>
      <c r="Z14" s="57" t="s">
        <v>23</v>
      </c>
      <c r="AA14" s="57" t="s">
        <v>23</v>
      </c>
      <c r="AB14" s="57" t="s">
        <v>23</v>
      </c>
      <c r="AC14" s="57" t="s">
        <v>23</v>
      </c>
      <c r="AD14" s="57" t="s">
        <v>23</v>
      </c>
      <c r="AE14" s="57" t="s">
        <v>23</v>
      </c>
      <c r="AF14" s="57" t="s">
        <v>23</v>
      </c>
      <c r="AG14" s="57" t="s">
        <v>23</v>
      </c>
      <c r="AH14" s="57" t="s">
        <v>23</v>
      </c>
      <c r="AI14" s="57" t="s">
        <v>23</v>
      </c>
      <c r="AJ14" s="57" t="s">
        <v>23</v>
      </c>
      <c r="AK14" s="57" t="s">
        <v>23</v>
      </c>
      <c r="AL14" s="57" t="s">
        <v>23</v>
      </c>
      <c r="AM14" s="57" t="s">
        <v>23</v>
      </c>
      <c r="AN14" s="57" t="s">
        <v>23</v>
      </c>
      <c r="AO14" s="57" t="s">
        <v>23</v>
      </c>
      <c r="AP14" s="57" t="s">
        <v>23</v>
      </c>
      <c r="AQ14" s="57" t="s">
        <v>23</v>
      </c>
      <c r="AR14" s="57" t="s">
        <v>23</v>
      </c>
      <c r="AS14" s="57" t="s">
        <v>23</v>
      </c>
      <c r="AT14" s="57" t="s">
        <v>23</v>
      </c>
      <c r="AU14" s="57" t="s">
        <v>23</v>
      </c>
      <c r="AV14" s="57" t="s">
        <v>23</v>
      </c>
      <c r="AW14" s="57" t="s">
        <v>23</v>
      </c>
      <c r="AX14" s="57" t="s">
        <v>23</v>
      </c>
      <c r="AY14" s="57" t="s">
        <v>23</v>
      </c>
      <c r="AZ14" s="57" t="s">
        <v>23</v>
      </c>
      <c r="BA14" s="57" t="s">
        <v>23</v>
      </c>
      <c r="BB14" s="57" t="s">
        <v>23</v>
      </c>
      <c r="BC14" s="57" t="s">
        <v>23</v>
      </c>
      <c r="BD14" s="57" t="s">
        <v>23</v>
      </c>
      <c r="BE14" s="57" t="s">
        <v>23</v>
      </c>
      <c r="BF14" s="57" t="s">
        <v>23</v>
      </c>
      <c r="BG14" s="57" t="s">
        <v>23</v>
      </c>
      <c r="BH14" s="57" t="s">
        <v>23</v>
      </c>
      <c r="BI14" s="57" t="s">
        <v>23</v>
      </c>
      <c r="BJ14" s="57" t="s">
        <v>23</v>
      </c>
      <c r="BK14" s="57" t="s">
        <v>23</v>
      </c>
    </row>
    <row r="15" spans="1:63" s="27" customFormat="1" ht="12">
      <c r="A15" s="64"/>
      <c r="B15" s="63"/>
      <c r="C15" s="123" t="s">
        <v>267</v>
      </c>
      <c r="D15" s="122"/>
      <c r="E15" s="122"/>
      <c r="F15" s="122"/>
      <c r="G15" s="122"/>
      <c r="H15" s="122"/>
      <c r="I15" s="122"/>
      <c r="J15" s="122"/>
      <c r="K15" s="122"/>
      <c r="L15" s="122"/>
      <c r="M15" s="122"/>
      <c r="N15" s="122"/>
      <c r="O15" s="122"/>
      <c r="P15" s="122"/>
      <c r="Q15" s="122"/>
      <c r="R15" s="121"/>
      <c r="S15" s="104" t="s">
        <v>266</v>
      </c>
      <c r="T15" s="103"/>
      <c r="U15" s="57" t="s">
        <v>23</v>
      </c>
      <c r="V15" s="57" t="s">
        <v>23</v>
      </c>
      <c r="W15" s="57" t="s">
        <v>23</v>
      </c>
      <c r="X15" s="57" t="s">
        <v>23</v>
      </c>
      <c r="Y15" s="57" t="s">
        <v>23</v>
      </c>
      <c r="Z15" s="57" t="s">
        <v>23</v>
      </c>
      <c r="AA15" s="57" t="s">
        <v>23</v>
      </c>
      <c r="AB15" s="57" t="s">
        <v>23</v>
      </c>
      <c r="AC15" s="57" t="s">
        <v>23</v>
      </c>
      <c r="AD15" s="57" t="s">
        <v>23</v>
      </c>
      <c r="AE15" s="57" t="s">
        <v>23</v>
      </c>
      <c r="AF15" s="57" t="s">
        <v>23</v>
      </c>
      <c r="AG15" s="57" t="s">
        <v>23</v>
      </c>
      <c r="AH15" s="57" t="s">
        <v>23</v>
      </c>
      <c r="AI15" s="57" t="s">
        <v>23</v>
      </c>
      <c r="AJ15" s="57" t="s">
        <v>23</v>
      </c>
      <c r="AK15" s="57" t="s">
        <v>23</v>
      </c>
      <c r="AL15" s="57" t="s">
        <v>23</v>
      </c>
      <c r="AM15" s="57" t="s">
        <v>23</v>
      </c>
      <c r="AN15" s="57" t="s">
        <v>23</v>
      </c>
      <c r="AO15" s="57" t="s">
        <v>23</v>
      </c>
      <c r="AP15" s="57" t="s">
        <v>23</v>
      </c>
      <c r="AQ15" s="57" t="s">
        <v>23</v>
      </c>
      <c r="AR15" s="57" t="s">
        <v>23</v>
      </c>
      <c r="AS15" s="57" t="s">
        <v>23</v>
      </c>
      <c r="AT15" s="57" t="s">
        <v>23</v>
      </c>
      <c r="AU15" s="57" t="s">
        <v>23</v>
      </c>
      <c r="AV15" s="57" t="s">
        <v>23</v>
      </c>
      <c r="AW15" s="57" t="s">
        <v>23</v>
      </c>
      <c r="AX15" s="57" t="s">
        <v>23</v>
      </c>
      <c r="AY15" s="57" t="s">
        <v>23</v>
      </c>
      <c r="AZ15" s="57" t="s">
        <v>23</v>
      </c>
      <c r="BA15" s="57" t="s">
        <v>23</v>
      </c>
      <c r="BB15" s="57" t="s">
        <v>23</v>
      </c>
      <c r="BC15" s="57" t="s">
        <v>23</v>
      </c>
      <c r="BD15" s="57" t="s">
        <v>23</v>
      </c>
      <c r="BE15" s="57" t="s">
        <v>23</v>
      </c>
      <c r="BF15" s="57" t="s">
        <v>23</v>
      </c>
      <c r="BG15" s="57" t="s">
        <v>23</v>
      </c>
      <c r="BH15" s="57" t="s">
        <v>23</v>
      </c>
      <c r="BI15" s="57" t="s">
        <v>23</v>
      </c>
      <c r="BJ15" s="57" t="s">
        <v>23</v>
      </c>
      <c r="BK15" s="57" t="s">
        <v>23</v>
      </c>
    </row>
    <row r="16" spans="1:63" s="27" customFormat="1" ht="12">
      <c r="A16" s="64"/>
      <c r="B16" s="63"/>
      <c r="C16" s="123" t="s">
        <v>265</v>
      </c>
      <c r="D16" s="122"/>
      <c r="E16" s="122"/>
      <c r="F16" s="122"/>
      <c r="G16" s="122"/>
      <c r="H16" s="122"/>
      <c r="I16" s="122"/>
      <c r="J16" s="122"/>
      <c r="K16" s="122"/>
      <c r="L16" s="122"/>
      <c r="M16" s="122"/>
      <c r="N16" s="122"/>
      <c r="O16" s="122"/>
      <c r="P16" s="122"/>
      <c r="Q16" s="122"/>
      <c r="R16" s="121"/>
      <c r="S16" s="104" t="s">
        <v>264</v>
      </c>
      <c r="T16" s="103"/>
      <c r="U16" s="57" t="s">
        <v>23</v>
      </c>
      <c r="V16" s="57" t="s">
        <v>23</v>
      </c>
      <c r="W16" s="57" t="s">
        <v>23</v>
      </c>
      <c r="X16" s="57" t="s">
        <v>23</v>
      </c>
      <c r="Y16" s="57" t="s">
        <v>23</v>
      </c>
      <c r="Z16" s="57" t="s">
        <v>23</v>
      </c>
      <c r="AA16" s="57" t="s">
        <v>23</v>
      </c>
      <c r="AB16" s="57" t="s">
        <v>23</v>
      </c>
      <c r="AC16" s="57" t="s">
        <v>23</v>
      </c>
      <c r="AD16" s="57" t="s">
        <v>23</v>
      </c>
      <c r="AE16" s="57" t="s">
        <v>23</v>
      </c>
      <c r="AF16" s="57" t="s">
        <v>23</v>
      </c>
      <c r="AG16" s="57" t="s">
        <v>23</v>
      </c>
      <c r="AH16" s="57" t="s">
        <v>23</v>
      </c>
      <c r="AI16" s="57" t="s">
        <v>23</v>
      </c>
      <c r="AJ16" s="57" t="s">
        <v>23</v>
      </c>
      <c r="AK16" s="57" t="s">
        <v>23</v>
      </c>
      <c r="AL16" s="57" t="s">
        <v>23</v>
      </c>
      <c r="AM16" s="57" t="s">
        <v>23</v>
      </c>
      <c r="AN16" s="57" t="s">
        <v>23</v>
      </c>
      <c r="AO16" s="57" t="s">
        <v>23</v>
      </c>
      <c r="AP16" s="57" t="s">
        <v>23</v>
      </c>
      <c r="AQ16" s="57" t="s">
        <v>23</v>
      </c>
      <c r="AR16" s="57" t="s">
        <v>23</v>
      </c>
      <c r="AS16" s="57" t="s">
        <v>23</v>
      </c>
      <c r="AT16" s="57" t="s">
        <v>23</v>
      </c>
      <c r="AU16" s="57" t="s">
        <v>23</v>
      </c>
      <c r="AV16" s="57" t="s">
        <v>23</v>
      </c>
      <c r="AW16" s="57" t="s">
        <v>23</v>
      </c>
      <c r="AX16" s="57" t="s">
        <v>23</v>
      </c>
      <c r="AY16" s="57" t="s">
        <v>23</v>
      </c>
      <c r="AZ16" s="57" t="s">
        <v>23</v>
      </c>
      <c r="BA16" s="57" t="s">
        <v>23</v>
      </c>
      <c r="BB16" s="57" t="s">
        <v>23</v>
      </c>
      <c r="BC16" s="57" t="s">
        <v>23</v>
      </c>
      <c r="BD16" s="57" t="s">
        <v>23</v>
      </c>
      <c r="BE16" s="57" t="s">
        <v>23</v>
      </c>
      <c r="BF16" s="57" t="s">
        <v>23</v>
      </c>
      <c r="BG16" s="57" t="s">
        <v>23</v>
      </c>
      <c r="BH16" s="57" t="s">
        <v>23</v>
      </c>
      <c r="BI16" s="57" t="s">
        <v>23</v>
      </c>
      <c r="BJ16" s="57" t="s">
        <v>23</v>
      </c>
      <c r="BK16" s="57" t="s">
        <v>23</v>
      </c>
    </row>
    <row r="17" spans="1:63" s="27" customFormat="1" ht="12">
      <c r="A17" s="64"/>
      <c r="B17" s="63"/>
      <c r="C17" s="123" t="s">
        <v>263</v>
      </c>
      <c r="D17" s="122"/>
      <c r="E17" s="122"/>
      <c r="F17" s="122"/>
      <c r="G17" s="122"/>
      <c r="H17" s="122"/>
      <c r="I17" s="122"/>
      <c r="J17" s="122"/>
      <c r="K17" s="122"/>
      <c r="L17" s="122"/>
      <c r="M17" s="122"/>
      <c r="N17" s="122"/>
      <c r="O17" s="122"/>
      <c r="P17" s="122"/>
      <c r="Q17" s="122"/>
      <c r="R17" s="121"/>
      <c r="S17" s="104" t="s">
        <v>262</v>
      </c>
      <c r="T17" s="103"/>
      <c r="U17" s="57" t="s">
        <v>23</v>
      </c>
      <c r="V17" s="57" t="s">
        <v>23</v>
      </c>
      <c r="W17" s="57" t="s">
        <v>23</v>
      </c>
      <c r="X17" s="57" t="s">
        <v>23</v>
      </c>
      <c r="Y17" s="57" t="s">
        <v>23</v>
      </c>
      <c r="Z17" s="57" t="s">
        <v>23</v>
      </c>
      <c r="AA17" s="57" t="s">
        <v>23</v>
      </c>
      <c r="AB17" s="57" t="s">
        <v>23</v>
      </c>
      <c r="AC17" s="57" t="s">
        <v>23</v>
      </c>
      <c r="AD17" s="57" t="s">
        <v>23</v>
      </c>
      <c r="AE17" s="57" t="s">
        <v>23</v>
      </c>
      <c r="AF17" s="57" t="s">
        <v>23</v>
      </c>
      <c r="AG17" s="57" t="s">
        <v>23</v>
      </c>
      <c r="AH17" s="57" t="s">
        <v>23</v>
      </c>
      <c r="AI17" s="57" t="s">
        <v>23</v>
      </c>
      <c r="AJ17" s="57" t="s">
        <v>23</v>
      </c>
      <c r="AK17" s="57" t="s">
        <v>23</v>
      </c>
      <c r="AL17" s="57" t="s">
        <v>23</v>
      </c>
      <c r="AM17" s="57" t="s">
        <v>23</v>
      </c>
      <c r="AN17" s="57" t="s">
        <v>23</v>
      </c>
      <c r="AO17" s="57" t="s">
        <v>23</v>
      </c>
      <c r="AP17" s="57" t="s">
        <v>23</v>
      </c>
      <c r="AQ17" s="57" t="s">
        <v>23</v>
      </c>
      <c r="AR17" s="57" t="s">
        <v>23</v>
      </c>
      <c r="AS17" s="57" t="s">
        <v>23</v>
      </c>
      <c r="AT17" s="57" t="s">
        <v>23</v>
      </c>
      <c r="AU17" s="57" t="s">
        <v>23</v>
      </c>
      <c r="AV17" s="57" t="s">
        <v>23</v>
      </c>
      <c r="AW17" s="57" t="s">
        <v>23</v>
      </c>
      <c r="AX17" s="57" t="s">
        <v>23</v>
      </c>
      <c r="AY17" s="57" t="s">
        <v>23</v>
      </c>
      <c r="AZ17" s="57" t="s">
        <v>23</v>
      </c>
      <c r="BA17" s="57" t="s">
        <v>23</v>
      </c>
      <c r="BB17" s="57" t="s">
        <v>23</v>
      </c>
      <c r="BC17" s="57" t="s">
        <v>23</v>
      </c>
      <c r="BD17" s="57" t="s">
        <v>23</v>
      </c>
      <c r="BE17" s="57" t="s">
        <v>23</v>
      </c>
      <c r="BF17" s="57" t="s">
        <v>23</v>
      </c>
      <c r="BG17" s="57" t="s">
        <v>23</v>
      </c>
      <c r="BH17" s="57" t="s">
        <v>23</v>
      </c>
      <c r="BI17" s="57" t="s">
        <v>23</v>
      </c>
      <c r="BJ17" s="57" t="s">
        <v>23</v>
      </c>
      <c r="BK17" s="57" t="s">
        <v>23</v>
      </c>
    </row>
    <row r="18" spans="1:63" s="27" customFormat="1" ht="12">
      <c r="A18" s="64"/>
      <c r="B18" s="63"/>
      <c r="C18" s="123" t="s">
        <v>261</v>
      </c>
      <c r="D18" s="122"/>
      <c r="E18" s="122"/>
      <c r="F18" s="122"/>
      <c r="G18" s="122"/>
      <c r="H18" s="122"/>
      <c r="I18" s="122"/>
      <c r="J18" s="122"/>
      <c r="K18" s="122"/>
      <c r="L18" s="122"/>
      <c r="M18" s="122"/>
      <c r="N18" s="122"/>
      <c r="O18" s="122"/>
      <c r="P18" s="122"/>
      <c r="Q18" s="122"/>
      <c r="R18" s="121"/>
      <c r="S18" s="104" t="s">
        <v>260</v>
      </c>
      <c r="T18" s="103"/>
      <c r="U18" s="57" t="s">
        <v>23</v>
      </c>
      <c r="V18" s="57" t="s">
        <v>23</v>
      </c>
      <c r="W18" s="57" t="s">
        <v>23</v>
      </c>
      <c r="X18" s="57" t="s">
        <v>23</v>
      </c>
      <c r="Y18" s="57" t="s">
        <v>23</v>
      </c>
      <c r="Z18" s="57" t="s">
        <v>23</v>
      </c>
      <c r="AA18" s="57" t="s">
        <v>23</v>
      </c>
      <c r="AB18" s="57" t="s">
        <v>23</v>
      </c>
      <c r="AC18" s="57" t="s">
        <v>23</v>
      </c>
      <c r="AD18" s="57" t="s">
        <v>23</v>
      </c>
      <c r="AE18" s="57" t="s">
        <v>23</v>
      </c>
      <c r="AF18" s="57" t="s">
        <v>23</v>
      </c>
      <c r="AG18" s="57" t="s">
        <v>23</v>
      </c>
      <c r="AH18" s="57" t="s">
        <v>23</v>
      </c>
      <c r="AI18" s="57" t="s">
        <v>23</v>
      </c>
      <c r="AJ18" s="57" t="s">
        <v>23</v>
      </c>
      <c r="AK18" s="57" t="s">
        <v>23</v>
      </c>
      <c r="AL18" s="57" t="s">
        <v>23</v>
      </c>
      <c r="AM18" s="57" t="s">
        <v>23</v>
      </c>
      <c r="AN18" s="57" t="s">
        <v>23</v>
      </c>
      <c r="AO18" s="57" t="s">
        <v>23</v>
      </c>
      <c r="AP18" s="57" t="s">
        <v>23</v>
      </c>
      <c r="AQ18" s="57" t="s">
        <v>23</v>
      </c>
      <c r="AR18" s="57" t="s">
        <v>23</v>
      </c>
      <c r="AS18" s="57" t="s">
        <v>23</v>
      </c>
      <c r="AT18" s="57" t="s">
        <v>23</v>
      </c>
      <c r="AU18" s="57" t="s">
        <v>23</v>
      </c>
      <c r="AV18" s="57" t="s">
        <v>23</v>
      </c>
      <c r="AW18" s="57" t="s">
        <v>23</v>
      </c>
      <c r="AX18" s="57" t="s">
        <v>23</v>
      </c>
      <c r="AY18" s="57" t="s">
        <v>23</v>
      </c>
      <c r="AZ18" s="57" t="s">
        <v>23</v>
      </c>
      <c r="BA18" s="57" t="s">
        <v>23</v>
      </c>
      <c r="BB18" s="57" t="s">
        <v>23</v>
      </c>
      <c r="BC18" s="57" t="s">
        <v>23</v>
      </c>
      <c r="BD18" s="57" t="s">
        <v>23</v>
      </c>
      <c r="BE18" s="57" t="s">
        <v>23</v>
      </c>
      <c r="BF18" s="57" t="s">
        <v>23</v>
      </c>
      <c r="BG18" s="57" t="s">
        <v>23</v>
      </c>
      <c r="BH18" s="57" t="s">
        <v>23</v>
      </c>
      <c r="BI18" s="57" t="s">
        <v>23</v>
      </c>
      <c r="BJ18" s="57" t="s">
        <v>23</v>
      </c>
      <c r="BK18" s="57" t="s">
        <v>23</v>
      </c>
    </row>
    <row r="19" spans="1:63" s="27" customFormat="1" ht="12">
      <c r="A19" s="64"/>
      <c r="B19" s="63"/>
      <c r="C19" s="123" t="s">
        <v>259</v>
      </c>
      <c r="D19" s="122"/>
      <c r="E19" s="122"/>
      <c r="F19" s="122"/>
      <c r="G19" s="122"/>
      <c r="H19" s="122"/>
      <c r="I19" s="122"/>
      <c r="J19" s="122"/>
      <c r="K19" s="122"/>
      <c r="L19" s="122"/>
      <c r="M19" s="122"/>
      <c r="N19" s="122"/>
      <c r="O19" s="122"/>
      <c r="P19" s="122"/>
      <c r="Q19" s="122"/>
      <c r="R19" s="121"/>
      <c r="S19" s="104" t="s">
        <v>258</v>
      </c>
      <c r="T19" s="103"/>
      <c r="U19" s="57" t="s">
        <v>23</v>
      </c>
      <c r="V19" s="57" t="s">
        <v>23</v>
      </c>
      <c r="W19" s="57" t="s">
        <v>23</v>
      </c>
      <c r="X19" s="57" t="s">
        <v>23</v>
      </c>
      <c r="Y19" s="57" t="s">
        <v>23</v>
      </c>
      <c r="Z19" s="57" t="s">
        <v>23</v>
      </c>
      <c r="AA19" s="57" t="s">
        <v>23</v>
      </c>
      <c r="AB19" s="57" t="s">
        <v>23</v>
      </c>
      <c r="AC19" s="57" t="s">
        <v>23</v>
      </c>
      <c r="AD19" s="57" t="s">
        <v>23</v>
      </c>
      <c r="AE19" s="57" t="s">
        <v>23</v>
      </c>
      <c r="AF19" s="57" t="s">
        <v>23</v>
      </c>
      <c r="AG19" s="57" t="s">
        <v>23</v>
      </c>
      <c r="AH19" s="57" t="s">
        <v>23</v>
      </c>
      <c r="AI19" s="57" t="s">
        <v>23</v>
      </c>
      <c r="AJ19" s="57" t="s">
        <v>23</v>
      </c>
      <c r="AK19" s="57" t="s">
        <v>23</v>
      </c>
      <c r="AL19" s="57" t="s">
        <v>23</v>
      </c>
      <c r="AM19" s="57" t="s">
        <v>23</v>
      </c>
      <c r="AN19" s="57" t="s">
        <v>23</v>
      </c>
      <c r="AO19" s="57" t="s">
        <v>23</v>
      </c>
      <c r="AP19" s="57" t="s">
        <v>23</v>
      </c>
      <c r="AQ19" s="57" t="s">
        <v>23</v>
      </c>
      <c r="AR19" s="57" t="s">
        <v>23</v>
      </c>
      <c r="AS19" s="57" t="s">
        <v>23</v>
      </c>
      <c r="AT19" s="57" t="s">
        <v>23</v>
      </c>
      <c r="AU19" s="57" t="s">
        <v>23</v>
      </c>
      <c r="AV19" s="57" t="s">
        <v>23</v>
      </c>
      <c r="AW19" s="57" t="s">
        <v>23</v>
      </c>
      <c r="AX19" s="57" t="s">
        <v>23</v>
      </c>
      <c r="AY19" s="57" t="s">
        <v>23</v>
      </c>
      <c r="AZ19" s="57" t="s">
        <v>23</v>
      </c>
      <c r="BA19" s="57" t="s">
        <v>23</v>
      </c>
      <c r="BB19" s="57" t="s">
        <v>23</v>
      </c>
      <c r="BC19" s="57" t="s">
        <v>23</v>
      </c>
      <c r="BD19" s="57" t="s">
        <v>23</v>
      </c>
      <c r="BE19" s="57" t="s">
        <v>23</v>
      </c>
      <c r="BF19" s="57" t="s">
        <v>23</v>
      </c>
      <c r="BG19" s="57" t="s">
        <v>23</v>
      </c>
      <c r="BH19" s="57" t="s">
        <v>23</v>
      </c>
      <c r="BI19" s="57" t="s">
        <v>23</v>
      </c>
      <c r="BJ19" s="57" t="s">
        <v>23</v>
      </c>
      <c r="BK19" s="57" t="s">
        <v>23</v>
      </c>
    </row>
    <row r="20" spans="1:63" s="27" customFormat="1" ht="12">
      <c r="A20" s="64"/>
      <c r="B20" s="63"/>
      <c r="C20" s="123" t="s">
        <v>257</v>
      </c>
      <c r="D20" s="122"/>
      <c r="E20" s="122"/>
      <c r="F20" s="122"/>
      <c r="G20" s="122"/>
      <c r="H20" s="122"/>
      <c r="I20" s="122"/>
      <c r="J20" s="122"/>
      <c r="K20" s="122"/>
      <c r="L20" s="122"/>
      <c r="M20" s="122"/>
      <c r="N20" s="122"/>
      <c r="O20" s="122"/>
      <c r="P20" s="122"/>
      <c r="Q20" s="122"/>
      <c r="R20" s="121"/>
      <c r="S20" s="104" t="s">
        <v>256</v>
      </c>
      <c r="T20" s="103"/>
      <c r="U20" s="57" t="s">
        <v>23</v>
      </c>
      <c r="V20" s="57" t="s">
        <v>23</v>
      </c>
      <c r="W20" s="57" t="s">
        <v>23</v>
      </c>
      <c r="X20" s="57" t="s">
        <v>23</v>
      </c>
      <c r="Y20" s="57" t="s">
        <v>23</v>
      </c>
      <c r="Z20" s="57" t="s">
        <v>23</v>
      </c>
      <c r="AA20" s="57" t="s">
        <v>23</v>
      </c>
      <c r="AB20" s="57" t="s">
        <v>23</v>
      </c>
      <c r="AC20" s="57" t="s">
        <v>23</v>
      </c>
      <c r="AD20" s="57" t="s">
        <v>23</v>
      </c>
      <c r="AE20" s="57" t="s">
        <v>23</v>
      </c>
      <c r="AF20" s="57" t="s">
        <v>23</v>
      </c>
      <c r="AG20" s="57" t="s">
        <v>23</v>
      </c>
      <c r="AH20" s="57" t="s">
        <v>23</v>
      </c>
      <c r="AI20" s="57" t="s">
        <v>23</v>
      </c>
      <c r="AJ20" s="57" t="s">
        <v>23</v>
      </c>
      <c r="AK20" s="57" t="s">
        <v>23</v>
      </c>
      <c r="AL20" s="57" t="s">
        <v>23</v>
      </c>
      <c r="AM20" s="57" t="s">
        <v>23</v>
      </c>
      <c r="AN20" s="57" t="s">
        <v>23</v>
      </c>
      <c r="AO20" s="57" t="s">
        <v>23</v>
      </c>
      <c r="AP20" s="57" t="s">
        <v>23</v>
      </c>
      <c r="AQ20" s="57" t="s">
        <v>23</v>
      </c>
      <c r="AR20" s="57" t="s">
        <v>23</v>
      </c>
      <c r="AS20" s="57" t="s">
        <v>23</v>
      </c>
      <c r="AT20" s="57" t="s">
        <v>23</v>
      </c>
      <c r="AU20" s="57" t="s">
        <v>23</v>
      </c>
      <c r="AV20" s="57" t="s">
        <v>23</v>
      </c>
      <c r="AW20" s="57" t="s">
        <v>23</v>
      </c>
      <c r="AX20" s="57" t="s">
        <v>23</v>
      </c>
      <c r="AY20" s="57" t="s">
        <v>23</v>
      </c>
      <c r="AZ20" s="57" t="s">
        <v>23</v>
      </c>
      <c r="BA20" s="57" t="s">
        <v>23</v>
      </c>
      <c r="BB20" s="57" t="s">
        <v>23</v>
      </c>
      <c r="BC20" s="57" t="s">
        <v>23</v>
      </c>
      <c r="BD20" s="57" t="s">
        <v>23</v>
      </c>
      <c r="BE20" s="57" t="s">
        <v>23</v>
      </c>
      <c r="BF20" s="57" t="s">
        <v>23</v>
      </c>
      <c r="BG20" s="57" t="s">
        <v>23</v>
      </c>
      <c r="BH20" s="57" t="s">
        <v>23</v>
      </c>
      <c r="BI20" s="57" t="s">
        <v>23</v>
      </c>
      <c r="BJ20" s="57" t="s">
        <v>23</v>
      </c>
      <c r="BK20" s="57" t="s">
        <v>23</v>
      </c>
    </row>
    <row r="21" spans="1:63" s="27" customFormat="1" ht="12">
      <c r="A21" s="64"/>
      <c r="B21" s="63"/>
      <c r="C21" s="123" t="s">
        <v>255</v>
      </c>
      <c r="D21" s="122"/>
      <c r="E21" s="122"/>
      <c r="F21" s="122"/>
      <c r="G21" s="122"/>
      <c r="H21" s="122"/>
      <c r="I21" s="122"/>
      <c r="J21" s="122"/>
      <c r="K21" s="122"/>
      <c r="L21" s="122"/>
      <c r="M21" s="122"/>
      <c r="N21" s="122"/>
      <c r="O21" s="122"/>
      <c r="P21" s="122"/>
      <c r="Q21" s="122"/>
      <c r="R21" s="121"/>
      <c r="S21" s="104" t="s">
        <v>254</v>
      </c>
      <c r="T21" s="103"/>
      <c r="U21" s="57" t="s">
        <v>23</v>
      </c>
      <c r="V21" s="57" t="s">
        <v>23</v>
      </c>
      <c r="W21" s="57" t="s">
        <v>23</v>
      </c>
      <c r="X21" s="57" t="s">
        <v>23</v>
      </c>
      <c r="Y21" s="57" t="s">
        <v>23</v>
      </c>
      <c r="Z21" s="57" t="s">
        <v>23</v>
      </c>
      <c r="AA21" s="57" t="s">
        <v>23</v>
      </c>
      <c r="AB21" s="57" t="s">
        <v>23</v>
      </c>
      <c r="AC21" s="57" t="s">
        <v>23</v>
      </c>
      <c r="AD21" s="57" t="s">
        <v>23</v>
      </c>
      <c r="AE21" s="57" t="s">
        <v>23</v>
      </c>
      <c r="AF21" s="57" t="s">
        <v>23</v>
      </c>
      <c r="AG21" s="57" t="s">
        <v>23</v>
      </c>
      <c r="AH21" s="57" t="s">
        <v>23</v>
      </c>
      <c r="AI21" s="57" t="s">
        <v>23</v>
      </c>
      <c r="AJ21" s="57" t="s">
        <v>23</v>
      </c>
      <c r="AK21" s="57" t="s">
        <v>23</v>
      </c>
      <c r="AL21" s="57" t="s">
        <v>23</v>
      </c>
      <c r="AM21" s="57" t="s">
        <v>23</v>
      </c>
      <c r="AN21" s="57" t="s">
        <v>23</v>
      </c>
      <c r="AO21" s="57" t="s">
        <v>23</v>
      </c>
      <c r="AP21" s="57" t="s">
        <v>23</v>
      </c>
      <c r="AQ21" s="57" t="s">
        <v>23</v>
      </c>
      <c r="AR21" s="57" t="s">
        <v>23</v>
      </c>
      <c r="AS21" s="57" t="s">
        <v>23</v>
      </c>
      <c r="AT21" s="57" t="s">
        <v>23</v>
      </c>
      <c r="AU21" s="57" t="s">
        <v>23</v>
      </c>
      <c r="AV21" s="57" t="s">
        <v>23</v>
      </c>
      <c r="AW21" s="57" t="s">
        <v>23</v>
      </c>
      <c r="AX21" s="57" t="s">
        <v>23</v>
      </c>
      <c r="AY21" s="57" t="s">
        <v>23</v>
      </c>
      <c r="AZ21" s="57" t="s">
        <v>23</v>
      </c>
      <c r="BA21" s="57" t="s">
        <v>23</v>
      </c>
      <c r="BB21" s="57" t="s">
        <v>23</v>
      </c>
      <c r="BC21" s="57" t="s">
        <v>23</v>
      </c>
      <c r="BD21" s="57" t="s">
        <v>23</v>
      </c>
      <c r="BE21" s="57" t="s">
        <v>23</v>
      </c>
      <c r="BF21" s="57" t="s">
        <v>23</v>
      </c>
      <c r="BG21" s="57" t="s">
        <v>23</v>
      </c>
      <c r="BH21" s="57" t="s">
        <v>23</v>
      </c>
      <c r="BI21" s="57" t="s">
        <v>23</v>
      </c>
      <c r="BJ21" s="57" t="s">
        <v>23</v>
      </c>
      <c r="BK21" s="57" t="s">
        <v>23</v>
      </c>
    </row>
    <row r="22" spans="1:63" s="27" customFormat="1" ht="12">
      <c r="A22" s="64"/>
      <c r="B22" s="63"/>
      <c r="C22" s="123" t="s">
        <v>253</v>
      </c>
      <c r="D22" s="122"/>
      <c r="E22" s="122"/>
      <c r="F22" s="122"/>
      <c r="G22" s="122"/>
      <c r="H22" s="122"/>
      <c r="I22" s="122"/>
      <c r="J22" s="122"/>
      <c r="K22" s="122"/>
      <c r="L22" s="122"/>
      <c r="M22" s="122"/>
      <c r="N22" s="122"/>
      <c r="O22" s="122"/>
      <c r="P22" s="122"/>
      <c r="Q22" s="122"/>
      <c r="R22" s="121"/>
      <c r="S22" s="104" t="s">
        <v>75</v>
      </c>
      <c r="T22" s="103"/>
      <c r="U22" s="57" t="s">
        <v>23</v>
      </c>
      <c r="V22" s="57" t="s">
        <v>23</v>
      </c>
      <c r="W22" s="57" t="s">
        <v>23</v>
      </c>
      <c r="X22" s="57" t="s">
        <v>23</v>
      </c>
      <c r="Y22" s="57" t="s">
        <v>23</v>
      </c>
      <c r="Z22" s="57" t="s">
        <v>23</v>
      </c>
      <c r="AA22" s="57" t="s">
        <v>23</v>
      </c>
      <c r="AB22" s="57" t="s">
        <v>23</v>
      </c>
      <c r="AC22" s="57" t="s">
        <v>23</v>
      </c>
      <c r="AD22" s="57" t="s">
        <v>23</v>
      </c>
      <c r="AE22" s="57" t="s">
        <v>23</v>
      </c>
      <c r="AF22" s="57" t="s">
        <v>23</v>
      </c>
      <c r="AG22" s="57" t="s">
        <v>23</v>
      </c>
      <c r="AH22" s="57" t="s">
        <v>23</v>
      </c>
      <c r="AI22" s="57" t="s">
        <v>23</v>
      </c>
      <c r="AJ22" s="57" t="s">
        <v>23</v>
      </c>
      <c r="AK22" s="57" t="s">
        <v>23</v>
      </c>
      <c r="AL22" s="57" t="s">
        <v>23</v>
      </c>
      <c r="AM22" s="57" t="s">
        <v>23</v>
      </c>
      <c r="AN22" s="57" t="s">
        <v>23</v>
      </c>
      <c r="AO22" s="57" t="s">
        <v>23</v>
      </c>
      <c r="AP22" s="57" t="s">
        <v>23</v>
      </c>
      <c r="AQ22" s="57" t="s">
        <v>23</v>
      </c>
      <c r="AR22" s="57" t="s">
        <v>23</v>
      </c>
      <c r="AS22" s="57" t="s">
        <v>23</v>
      </c>
      <c r="AT22" s="57" t="s">
        <v>23</v>
      </c>
      <c r="AU22" s="57" t="s">
        <v>23</v>
      </c>
      <c r="AV22" s="57" t="s">
        <v>23</v>
      </c>
      <c r="AW22" s="57" t="s">
        <v>23</v>
      </c>
      <c r="AX22" s="57" t="s">
        <v>23</v>
      </c>
      <c r="AY22" s="57" t="s">
        <v>23</v>
      </c>
      <c r="AZ22" s="57" t="s">
        <v>23</v>
      </c>
      <c r="BA22" s="57" t="s">
        <v>23</v>
      </c>
      <c r="BB22" s="57" t="s">
        <v>23</v>
      </c>
      <c r="BC22" s="57" t="s">
        <v>23</v>
      </c>
      <c r="BD22" s="57" t="s">
        <v>23</v>
      </c>
      <c r="BE22" s="57" t="s">
        <v>23</v>
      </c>
      <c r="BF22" s="57" t="s">
        <v>23</v>
      </c>
      <c r="BG22" s="57" t="s">
        <v>23</v>
      </c>
      <c r="BH22" s="57" t="s">
        <v>23</v>
      </c>
      <c r="BI22" s="57" t="s">
        <v>23</v>
      </c>
      <c r="BJ22" s="57" t="s">
        <v>23</v>
      </c>
      <c r="BK22" s="57" t="s">
        <v>23</v>
      </c>
    </row>
    <row r="23" spans="1:63" s="27" customFormat="1" ht="12">
      <c r="A23" s="64"/>
      <c r="B23" s="63"/>
      <c r="C23" s="123" t="s">
        <v>252</v>
      </c>
      <c r="D23" s="122"/>
      <c r="E23" s="122"/>
      <c r="F23" s="122"/>
      <c r="G23" s="122"/>
      <c r="H23" s="122"/>
      <c r="I23" s="122"/>
      <c r="J23" s="122"/>
      <c r="K23" s="122"/>
      <c r="L23" s="122"/>
      <c r="M23" s="122"/>
      <c r="N23" s="122"/>
      <c r="O23" s="122"/>
      <c r="P23" s="122"/>
      <c r="Q23" s="122"/>
      <c r="R23" s="121"/>
      <c r="S23" s="104" t="s">
        <v>75</v>
      </c>
      <c r="T23" s="103"/>
      <c r="U23" s="57" t="s">
        <v>23</v>
      </c>
      <c r="V23" s="57" t="s">
        <v>23</v>
      </c>
      <c r="W23" s="57" t="s">
        <v>23</v>
      </c>
      <c r="X23" s="57" t="s">
        <v>23</v>
      </c>
      <c r="Y23" s="57" t="s">
        <v>23</v>
      </c>
      <c r="Z23" s="57" t="s">
        <v>23</v>
      </c>
      <c r="AA23" s="57" t="s">
        <v>23</v>
      </c>
      <c r="AB23" s="57" t="s">
        <v>23</v>
      </c>
      <c r="AC23" s="57" t="s">
        <v>23</v>
      </c>
      <c r="AD23" s="57" t="s">
        <v>23</v>
      </c>
      <c r="AE23" s="57" t="s">
        <v>23</v>
      </c>
      <c r="AF23" s="57" t="s">
        <v>23</v>
      </c>
      <c r="AG23" s="57" t="s">
        <v>23</v>
      </c>
      <c r="AH23" s="57" t="s">
        <v>23</v>
      </c>
      <c r="AI23" s="57" t="s">
        <v>23</v>
      </c>
      <c r="AJ23" s="57" t="s">
        <v>23</v>
      </c>
      <c r="AK23" s="57" t="s">
        <v>23</v>
      </c>
      <c r="AL23" s="57" t="s">
        <v>23</v>
      </c>
      <c r="AM23" s="57" t="s">
        <v>23</v>
      </c>
      <c r="AN23" s="57" t="s">
        <v>23</v>
      </c>
      <c r="AO23" s="57" t="s">
        <v>23</v>
      </c>
      <c r="AP23" s="57" t="s">
        <v>23</v>
      </c>
      <c r="AQ23" s="57" t="s">
        <v>23</v>
      </c>
      <c r="AR23" s="57" t="s">
        <v>23</v>
      </c>
      <c r="AS23" s="57" t="s">
        <v>23</v>
      </c>
      <c r="AT23" s="57" t="s">
        <v>23</v>
      </c>
      <c r="AU23" s="57" t="s">
        <v>23</v>
      </c>
      <c r="AV23" s="57" t="s">
        <v>23</v>
      </c>
      <c r="AW23" s="57" t="s">
        <v>23</v>
      </c>
      <c r="AX23" s="57" t="s">
        <v>23</v>
      </c>
      <c r="AY23" s="57" t="s">
        <v>23</v>
      </c>
      <c r="AZ23" s="57" t="s">
        <v>23</v>
      </c>
      <c r="BA23" s="57" t="s">
        <v>23</v>
      </c>
      <c r="BB23" s="57" t="s">
        <v>23</v>
      </c>
      <c r="BC23" s="57" t="s">
        <v>23</v>
      </c>
      <c r="BD23" s="57" t="s">
        <v>23</v>
      </c>
      <c r="BE23" s="57" t="s">
        <v>23</v>
      </c>
      <c r="BF23" s="57" t="s">
        <v>23</v>
      </c>
      <c r="BG23" s="57" t="s">
        <v>23</v>
      </c>
      <c r="BH23" s="57" t="s">
        <v>23</v>
      </c>
      <c r="BI23" s="57" t="s">
        <v>23</v>
      </c>
      <c r="BJ23" s="57" t="s">
        <v>23</v>
      </c>
      <c r="BK23" s="57" t="s">
        <v>23</v>
      </c>
    </row>
    <row r="24" spans="1:63" s="27" customFormat="1" ht="12">
      <c r="A24" s="64"/>
      <c r="B24" s="63"/>
      <c r="C24" s="123" t="s">
        <v>251</v>
      </c>
      <c r="D24" s="122"/>
      <c r="E24" s="122"/>
      <c r="F24" s="122"/>
      <c r="G24" s="122"/>
      <c r="H24" s="122"/>
      <c r="I24" s="122"/>
      <c r="J24" s="122"/>
      <c r="K24" s="122"/>
      <c r="L24" s="122"/>
      <c r="M24" s="122"/>
      <c r="N24" s="122"/>
      <c r="O24" s="122"/>
      <c r="P24" s="122"/>
      <c r="Q24" s="122"/>
      <c r="R24" s="121"/>
      <c r="S24" s="104" t="s">
        <v>75</v>
      </c>
      <c r="T24" s="103"/>
      <c r="U24" s="57" t="s">
        <v>23</v>
      </c>
      <c r="V24" s="57" t="s">
        <v>23</v>
      </c>
      <c r="W24" s="57" t="s">
        <v>23</v>
      </c>
      <c r="X24" s="57" t="s">
        <v>23</v>
      </c>
      <c r="Y24" s="57" t="s">
        <v>23</v>
      </c>
      <c r="Z24" s="57" t="s">
        <v>23</v>
      </c>
      <c r="AA24" s="57" t="s">
        <v>23</v>
      </c>
      <c r="AB24" s="57" t="s">
        <v>23</v>
      </c>
      <c r="AC24" s="57" t="s">
        <v>23</v>
      </c>
      <c r="AD24" s="57" t="s">
        <v>23</v>
      </c>
      <c r="AE24" s="57" t="s">
        <v>23</v>
      </c>
      <c r="AF24" s="57" t="s">
        <v>23</v>
      </c>
      <c r="AG24" s="57" t="s">
        <v>23</v>
      </c>
      <c r="AH24" s="57" t="s">
        <v>23</v>
      </c>
      <c r="AI24" s="57" t="s">
        <v>23</v>
      </c>
      <c r="AJ24" s="57" t="s">
        <v>23</v>
      </c>
      <c r="AK24" s="57" t="s">
        <v>23</v>
      </c>
      <c r="AL24" s="57" t="s">
        <v>23</v>
      </c>
      <c r="AM24" s="57" t="s">
        <v>23</v>
      </c>
      <c r="AN24" s="57" t="s">
        <v>23</v>
      </c>
      <c r="AO24" s="57" t="s">
        <v>23</v>
      </c>
      <c r="AP24" s="57" t="s">
        <v>23</v>
      </c>
      <c r="AQ24" s="57" t="s">
        <v>23</v>
      </c>
      <c r="AR24" s="57" t="s">
        <v>23</v>
      </c>
      <c r="AS24" s="57" t="s">
        <v>23</v>
      </c>
      <c r="AT24" s="57" t="s">
        <v>23</v>
      </c>
      <c r="AU24" s="57" t="s">
        <v>23</v>
      </c>
      <c r="AV24" s="57" t="s">
        <v>23</v>
      </c>
      <c r="AW24" s="57" t="s">
        <v>23</v>
      </c>
      <c r="AX24" s="57" t="s">
        <v>23</v>
      </c>
      <c r="AY24" s="57" t="s">
        <v>23</v>
      </c>
      <c r="AZ24" s="57" t="s">
        <v>23</v>
      </c>
      <c r="BA24" s="57" t="s">
        <v>23</v>
      </c>
      <c r="BB24" s="57" t="s">
        <v>23</v>
      </c>
      <c r="BC24" s="57" t="s">
        <v>23</v>
      </c>
      <c r="BD24" s="57" t="s">
        <v>23</v>
      </c>
      <c r="BE24" s="57" t="s">
        <v>23</v>
      </c>
      <c r="BF24" s="57" t="s">
        <v>23</v>
      </c>
      <c r="BG24" s="57" t="s">
        <v>23</v>
      </c>
      <c r="BH24" s="57" t="s">
        <v>23</v>
      </c>
      <c r="BI24" s="57" t="s">
        <v>23</v>
      </c>
      <c r="BJ24" s="57" t="s">
        <v>23</v>
      </c>
      <c r="BK24" s="57" t="s">
        <v>23</v>
      </c>
    </row>
    <row r="25" spans="1:63" s="27" customFormat="1" ht="12">
      <c r="A25" s="64"/>
      <c r="B25" s="63"/>
      <c r="C25" s="123" t="s">
        <v>250</v>
      </c>
      <c r="D25" s="122"/>
      <c r="E25" s="122"/>
      <c r="F25" s="122"/>
      <c r="G25" s="122"/>
      <c r="H25" s="122"/>
      <c r="I25" s="122"/>
      <c r="J25" s="122"/>
      <c r="K25" s="122"/>
      <c r="L25" s="122"/>
      <c r="M25" s="122"/>
      <c r="N25" s="122"/>
      <c r="O25" s="122"/>
      <c r="P25" s="122"/>
      <c r="Q25" s="122"/>
      <c r="R25" s="121"/>
      <c r="S25" s="104" t="s">
        <v>57</v>
      </c>
      <c r="T25" s="103"/>
      <c r="U25" s="57" t="s">
        <v>23</v>
      </c>
      <c r="V25" s="57" t="s">
        <v>23</v>
      </c>
      <c r="W25" s="57" t="s">
        <v>23</v>
      </c>
      <c r="X25" s="57" t="s">
        <v>23</v>
      </c>
      <c r="Y25" s="57" t="s">
        <v>23</v>
      </c>
      <c r="Z25" s="57" t="s">
        <v>23</v>
      </c>
      <c r="AA25" s="57" t="s">
        <v>23</v>
      </c>
      <c r="AB25" s="57" t="s">
        <v>23</v>
      </c>
      <c r="AC25" s="57" t="s">
        <v>23</v>
      </c>
      <c r="AD25" s="57" t="s">
        <v>23</v>
      </c>
      <c r="AE25" s="57" t="s">
        <v>23</v>
      </c>
      <c r="AF25" s="57" t="s">
        <v>23</v>
      </c>
      <c r="AG25" s="57" t="s">
        <v>23</v>
      </c>
      <c r="AH25" s="57" t="s">
        <v>23</v>
      </c>
      <c r="AI25" s="57" t="s">
        <v>23</v>
      </c>
      <c r="AJ25" s="57" t="s">
        <v>23</v>
      </c>
      <c r="AK25" s="57" t="s">
        <v>23</v>
      </c>
      <c r="AL25" s="57" t="s">
        <v>23</v>
      </c>
      <c r="AM25" s="57" t="s">
        <v>23</v>
      </c>
      <c r="AN25" s="57" t="s">
        <v>23</v>
      </c>
      <c r="AO25" s="57" t="s">
        <v>23</v>
      </c>
      <c r="AP25" s="57" t="s">
        <v>23</v>
      </c>
      <c r="AQ25" s="57" t="s">
        <v>23</v>
      </c>
      <c r="AR25" s="57" t="s">
        <v>23</v>
      </c>
      <c r="AS25" s="57" t="s">
        <v>23</v>
      </c>
      <c r="AT25" s="57" t="s">
        <v>23</v>
      </c>
      <c r="AU25" s="57" t="s">
        <v>23</v>
      </c>
      <c r="AV25" s="57" t="s">
        <v>23</v>
      </c>
      <c r="AW25" s="57" t="s">
        <v>23</v>
      </c>
      <c r="AX25" s="57" t="s">
        <v>23</v>
      </c>
      <c r="AY25" s="57" t="s">
        <v>23</v>
      </c>
      <c r="AZ25" s="57" t="s">
        <v>23</v>
      </c>
      <c r="BA25" s="57" t="s">
        <v>23</v>
      </c>
      <c r="BB25" s="57" t="s">
        <v>23</v>
      </c>
      <c r="BC25" s="57" t="s">
        <v>23</v>
      </c>
      <c r="BD25" s="57" t="s">
        <v>23</v>
      </c>
      <c r="BE25" s="57" t="s">
        <v>23</v>
      </c>
      <c r="BF25" s="57" t="s">
        <v>23</v>
      </c>
      <c r="BG25" s="57" t="s">
        <v>23</v>
      </c>
      <c r="BH25" s="57" t="s">
        <v>23</v>
      </c>
      <c r="BI25" s="57" t="s">
        <v>23</v>
      </c>
      <c r="BJ25" s="57" t="s">
        <v>23</v>
      </c>
      <c r="BK25" s="57" t="s">
        <v>23</v>
      </c>
    </row>
    <row r="26" spans="1:63" s="27" customFormat="1" ht="12">
      <c r="A26" s="64"/>
      <c r="B26" s="63"/>
      <c r="C26" s="123" t="s">
        <v>249</v>
      </c>
      <c r="D26" s="122"/>
      <c r="E26" s="122"/>
      <c r="F26" s="122"/>
      <c r="G26" s="122"/>
      <c r="H26" s="122"/>
      <c r="I26" s="122"/>
      <c r="J26" s="122"/>
      <c r="K26" s="122"/>
      <c r="L26" s="122"/>
      <c r="M26" s="122"/>
      <c r="N26" s="122"/>
      <c r="O26" s="122"/>
      <c r="P26" s="122"/>
      <c r="Q26" s="122"/>
      <c r="R26" s="121"/>
      <c r="S26" s="104" t="s">
        <v>66</v>
      </c>
      <c r="T26" s="103"/>
      <c r="U26" s="57" t="s">
        <v>59</v>
      </c>
      <c r="V26" s="57" t="s">
        <v>59</v>
      </c>
      <c r="W26" s="57" t="s">
        <v>59</v>
      </c>
      <c r="X26" s="57" t="s">
        <v>59</v>
      </c>
      <c r="Y26" s="57" t="s">
        <v>59</v>
      </c>
      <c r="Z26" s="57" t="s">
        <v>59</v>
      </c>
      <c r="AA26" s="57" t="s">
        <v>59</v>
      </c>
      <c r="AB26" s="57" t="s">
        <v>59</v>
      </c>
      <c r="AC26" s="57" t="s">
        <v>59</v>
      </c>
      <c r="AD26" s="57" t="s">
        <v>59</v>
      </c>
      <c r="AE26" s="57" t="s">
        <v>59</v>
      </c>
      <c r="AF26" s="57" t="s">
        <v>59</v>
      </c>
      <c r="AG26" s="57" t="s">
        <v>59</v>
      </c>
      <c r="AH26" s="57" t="s">
        <v>59</v>
      </c>
      <c r="AI26" s="57" t="s">
        <v>59</v>
      </c>
      <c r="AJ26" s="57" t="s">
        <v>59</v>
      </c>
      <c r="AK26" s="57" t="s">
        <v>59</v>
      </c>
      <c r="AL26" s="57" t="s">
        <v>59</v>
      </c>
      <c r="AM26" s="57" t="s">
        <v>59</v>
      </c>
      <c r="AN26" s="57" t="s">
        <v>59</v>
      </c>
      <c r="AO26" s="57" t="s">
        <v>59</v>
      </c>
      <c r="AP26" s="57" t="s">
        <v>59</v>
      </c>
      <c r="AQ26" s="57" t="s">
        <v>59</v>
      </c>
      <c r="AR26" s="57" t="s">
        <v>59</v>
      </c>
      <c r="AS26" s="57" t="s">
        <v>59</v>
      </c>
      <c r="AT26" s="57" t="s">
        <v>59</v>
      </c>
      <c r="AU26" s="57" t="s">
        <v>59</v>
      </c>
      <c r="AV26" s="57" t="s">
        <v>59</v>
      </c>
      <c r="AW26" s="57" t="s">
        <v>59</v>
      </c>
      <c r="AX26" s="57" t="s">
        <v>59</v>
      </c>
      <c r="AY26" s="57" t="s">
        <v>59</v>
      </c>
      <c r="AZ26" s="57" t="s">
        <v>59</v>
      </c>
      <c r="BA26" s="57" t="s">
        <v>59</v>
      </c>
      <c r="BB26" s="57" t="s">
        <v>59</v>
      </c>
      <c r="BC26" s="57" t="s">
        <v>59</v>
      </c>
      <c r="BD26" s="57" t="s">
        <v>59</v>
      </c>
      <c r="BE26" s="57" t="s">
        <v>59</v>
      </c>
      <c r="BF26" s="57" t="s">
        <v>59</v>
      </c>
      <c r="BG26" s="57" t="s">
        <v>59</v>
      </c>
      <c r="BH26" s="57" t="s">
        <v>59</v>
      </c>
      <c r="BI26" s="57" t="s">
        <v>59</v>
      </c>
      <c r="BJ26" s="57" t="s">
        <v>59</v>
      </c>
      <c r="BK26" s="57" t="s">
        <v>59</v>
      </c>
    </row>
    <row r="27" spans="1:63" s="27" customFormat="1" ht="12">
      <c r="A27" s="64"/>
      <c r="B27" s="63"/>
      <c r="C27" s="123" t="s">
        <v>248</v>
      </c>
      <c r="D27" s="122"/>
      <c r="E27" s="122"/>
      <c r="F27" s="122"/>
      <c r="G27" s="122"/>
      <c r="H27" s="122"/>
      <c r="I27" s="122"/>
      <c r="J27" s="122"/>
      <c r="K27" s="122"/>
      <c r="L27" s="122"/>
      <c r="M27" s="122"/>
      <c r="N27" s="122"/>
      <c r="O27" s="122"/>
      <c r="P27" s="122"/>
      <c r="Q27" s="122"/>
      <c r="R27" s="121"/>
      <c r="S27" s="104" t="s">
        <v>66</v>
      </c>
      <c r="T27" s="103"/>
      <c r="U27" s="57" t="s">
        <v>59</v>
      </c>
      <c r="V27" s="57" t="s">
        <v>59</v>
      </c>
      <c r="W27" s="57" t="s">
        <v>59</v>
      </c>
      <c r="X27" s="57" t="s">
        <v>59</v>
      </c>
      <c r="Y27" s="57" t="s">
        <v>59</v>
      </c>
      <c r="Z27" s="57" t="s">
        <v>59</v>
      </c>
      <c r="AA27" s="57" t="s">
        <v>59</v>
      </c>
      <c r="AB27" s="57" t="s">
        <v>59</v>
      </c>
      <c r="AC27" s="57" t="s">
        <v>59</v>
      </c>
      <c r="AD27" s="57" t="s">
        <v>59</v>
      </c>
      <c r="AE27" s="57" t="s">
        <v>59</v>
      </c>
      <c r="AF27" s="57" t="s">
        <v>59</v>
      </c>
      <c r="AG27" s="57" t="s">
        <v>59</v>
      </c>
      <c r="AH27" s="57" t="s">
        <v>59</v>
      </c>
      <c r="AI27" s="57" t="s">
        <v>59</v>
      </c>
      <c r="AJ27" s="57" t="s">
        <v>59</v>
      </c>
      <c r="AK27" s="57" t="s">
        <v>59</v>
      </c>
      <c r="AL27" s="57" t="s">
        <v>59</v>
      </c>
      <c r="AM27" s="57" t="s">
        <v>59</v>
      </c>
      <c r="AN27" s="57" t="s">
        <v>59</v>
      </c>
      <c r="AO27" s="57" t="s">
        <v>59</v>
      </c>
      <c r="AP27" s="57" t="s">
        <v>59</v>
      </c>
      <c r="AQ27" s="57" t="s">
        <v>59</v>
      </c>
      <c r="AR27" s="57" t="s">
        <v>59</v>
      </c>
      <c r="AS27" s="57" t="s">
        <v>59</v>
      </c>
      <c r="AT27" s="57" t="s">
        <v>59</v>
      </c>
      <c r="AU27" s="57" t="s">
        <v>59</v>
      </c>
      <c r="AV27" s="57" t="s">
        <v>59</v>
      </c>
      <c r="AW27" s="57" t="s">
        <v>59</v>
      </c>
      <c r="AX27" s="57" t="s">
        <v>59</v>
      </c>
      <c r="AY27" s="57" t="s">
        <v>59</v>
      </c>
      <c r="AZ27" s="57" t="s">
        <v>59</v>
      </c>
      <c r="BA27" s="57" t="s">
        <v>59</v>
      </c>
      <c r="BB27" s="57" t="s">
        <v>59</v>
      </c>
      <c r="BC27" s="57" t="s">
        <v>59</v>
      </c>
      <c r="BD27" s="57" t="s">
        <v>59</v>
      </c>
      <c r="BE27" s="57" t="s">
        <v>59</v>
      </c>
      <c r="BF27" s="57" t="s">
        <v>59</v>
      </c>
      <c r="BG27" s="57" t="s">
        <v>59</v>
      </c>
      <c r="BH27" s="57" t="s">
        <v>59</v>
      </c>
      <c r="BI27" s="57" t="s">
        <v>59</v>
      </c>
      <c r="BJ27" s="57" t="s">
        <v>59</v>
      </c>
      <c r="BK27" s="57" t="s">
        <v>59</v>
      </c>
    </row>
    <row r="28" spans="1:63" s="27" customFormat="1" ht="12">
      <c r="A28" s="64"/>
      <c r="B28" s="63"/>
      <c r="C28" s="123" t="s">
        <v>247</v>
      </c>
      <c r="D28" s="122"/>
      <c r="E28" s="122"/>
      <c r="F28" s="122"/>
      <c r="G28" s="122"/>
      <c r="H28" s="122"/>
      <c r="I28" s="122"/>
      <c r="J28" s="122"/>
      <c r="K28" s="122"/>
      <c r="L28" s="122"/>
      <c r="M28" s="122"/>
      <c r="N28" s="122"/>
      <c r="O28" s="122"/>
      <c r="P28" s="122"/>
      <c r="Q28" s="122"/>
      <c r="R28" s="121"/>
      <c r="S28" s="104" t="s">
        <v>66</v>
      </c>
      <c r="T28" s="103"/>
      <c r="U28" s="57" t="s">
        <v>59</v>
      </c>
      <c r="V28" s="57" t="s">
        <v>59</v>
      </c>
      <c r="W28" s="57" t="s">
        <v>59</v>
      </c>
      <c r="X28" s="57" t="s">
        <v>59</v>
      </c>
      <c r="Y28" s="57" t="s">
        <v>59</v>
      </c>
      <c r="Z28" s="57" t="s">
        <v>59</v>
      </c>
      <c r="AA28" s="57" t="s">
        <v>59</v>
      </c>
      <c r="AB28" s="57" t="s">
        <v>59</v>
      </c>
      <c r="AC28" s="57" t="s">
        <v>59</v>
      </c>
      <c r="AD28" s="57" t="s">
        <v>59</v>
      </c>
      <c r="AE28" s="57" t="s">
        <v>59</v>
      </c>
      <c r="AF28" s="57" t="s">
        <v>59</v>
      </c>
      <c r="AG28" s="57" t="s">
        <v>59</v>
      </c>
      <c r="AH28" s="57" t="s">
        <v>59</v>
      </c>
      <c r="AI28" s="57" t="s">
        <v>59</v>
      </c>
      <c r="AJ28" s="57" t="s">
        <v>59</v>
      </c>
      <c r="AK28" s="57" t="s">
        <v>59</v>
      </c>
      <c r="AL28" s="57" t="s">
        <v>59</v>
      </c>
      <c r="AM28" s="57" t="s">
        <v>59</v>
      </c>
      <c r="AN28" s="57" t="s">
        <v>59</v>
      </c>
      <c r="AO28" s="57" t="s">
        <v>59</v>
      </c>
      <c r="AP28" s="57" t="s">
        <v>59</v>
      </c>
      <c r="AQ28" s="57" t="s">
        <v>59</v>
      </c>
      <c r="AR28" s="57" t="s">
        <v>59</v>
      </c>
      <c r="AS28" s="57" t="s">
        <v>59</v>
      </c>
      <c r="AT28" s="57" t="s">
        <v>59</v>
      </c>
      <c r="AU28" s="57" t="s">
        <v>59</v>
      </c>
      <c r="AV28" s="57" t="s">
        <v>59</v>
      </c>
      <c r="AW28" s="57" t="s">
        <v>59</v>
      </c>
      <c r="AX28" s="57" t="s">
        <v>59</v>
      </c>
      <c r="AY28" s="57" t="s">
        <v>59</v>
      </c>
      <c r="AZ28" s="57" t="s">
        <v>59</v>
      </c>
      <c r="BA28" s="57" t="s">
        <v>59</v>
      </c>
      <c r="BB28" s="57" t="s">
        <v>59</v>
      </c>
      <c r="BC28" s="57" t="s">
        <v>59</v>
      </c>
      <c r="BD28" s="57" t="s">
        <v>59</v>
      </c>
      <c r="BE28" s="57" t="s">
        <v>59</v>
      </c>
      <c r="BF28" s="57" t="s">
        <v>59</v>
      </c>
      <c r="BG28" s="57" t="s">
        <v>59</v>
      </c>
      <c r="BH28" s="57" t="s">
        <v>59</v>
      </c>
      <c r="BI28" s="57" t="s">
        <v>59</v>
      </c>
      <c r="BJ28" s="57" t="s">
        <v>59</v>
      </c>
      <c r="BK28" s="57" t="s">
        <v>59</v>
      </c>
    </row>
    <row r="29" spans="1:63" s="27" customFormat="1" ht="12">
      <c r="A29" s="64"/>
      <c r="B29" s="63"/>
      <c r="C29" s="123" t="s">
        <v>246</v>
      </c>
      <c r="D29" s="122"/>
      <c r="E29" s="122"/>
      <c r="F29" s="122"/>
      <c r="G29" s="122"/>
      <c r="H29" s="122"/>
      <c r="I29" s="122"/>
      <c r="J29" s="122"/>
      <c r="K29" s="122"/>
      <c r="L29" s="122"/>
      <c r="M29" s="122"/>
      <c r="N29" s="122"/>
      <c r="O29" s="122"/>
      <c r="P29" s="122"/>
      <c r="Q29" s="122"/>
      <c r="R29" s="121"/>
      <c r="S29" s="104" t="s">
        <v>66</v>
      </c>
      <c r="T29" s="103"/>
      <c r="U29" s="57" t="s">
        <v>59</v>
      </c>
      <c r="V29" s="57" t="s">
        <v>59</v>
      </c>
      <c r="W29" s="57" t="s">
        <v>59</v>
      </c>
      <c r="X29" s="57" t="s">
        <v>59</v>
      </c>
      <c r="Y29" s="57" t="s">
        <v>59</v>
      </c>
      <c r="Z29" s="57" t="s">
        <v>59</v>
      </c>
      <c r="AA29" s="57" t="s">
        <v>59</v>
      </c>
      <c r="AB29" s="57" t="s">
        <v>59</v>
      </c>
      <c r="AC29" s="57" t="s">
        <v>59</v>
      </c>
      <c r="AD29" s="57" t="s">
        <v>59</v>
      </c>
      <c r="AE29" s="57" t="s">
        <v>59</v>
      </c>
      <c r="AF29" s="57" t="s">
        <v>59</v>
      </c>
      <c r="AG29" s="57" t="s">
        <v>59</v>
      </c>
      <c r="AH29" s="57" t="s">
        <v>59</v>
      </c>
      <c r="AI29" s="57" t="s">
        <v>59</v>
      </c>
      <c r="AJ29" s="57" t="s">
        <v>59</v>
      </c>
      <c r="AK29" s="57" t="s">
        <v>59</v>
      </c>
      <c r="AL29" s="57" t="s">
        <v>59</v>
      </c>
      <c r="AM29" s="57" t="s">
        <v>59</v>
      </c>
      <c r="AN29" s="57" t="s">
        <v>59</v>
      </c>
      <c r="AO29" s="57" t="s">
        <v>59</v>
      </c>
      <c r="AP29" s="57" t="s">
        <v>59</v>
      </c>
      <c r="AQ29" s="57" t="s">
        <v>59</v>
      </c>
      <c r="AR29" s="57" t="s">
        <v>59</v>
      </c>
      <c r="AS29" s="57" t="s">
        <v>59</v>
      </c>
      <c r="AT29" s="57" t="s">
        <v>59</v>
      </c>
      <c r="AU29" s="57" t="s">
        <v>59</v>
      </c>
      <c r="AV29" s="57" t="s">
        <v>59</v>
      </c>
      <c r="AW29" s="57" t="s">
        <v>59</v>
      </c>
      <c r="AX29" s="57" t="s">
        <v>59</v>
      </c>
      <c r="AY29" s="57" t="s">
        <v>59</v>
      </c>
      <c r="AZ29" s="57" t="s">
        <v>59</v>
      </c>
      <c r="BA29" s="57" t="s">
        <v>59</v>
      </c>
      <c r="BB29" s="57" t="s">
        <v>59</v>
      </c>
      <c r="BC29" s="57" t="s">
        <v>59</v>
      </c>
      <c r="BD29" s="57" t="s">
        <v>59</v>
      </c>
      <c r="BE29" s="57" t="s">
        <v>59</v>
      </c>
      <c r="BF29" s="57" t="s">
        <v>59</v>
      </c>
      <c r="BG29" s="57" t="s">
        <v>59</v>
      </c>
      <c r="BH29" s="57" t="s">
        <v>59</v>
      </c>
      <c r="BI29" s="57" t="s">
        <v>59</v>
      </c>
      <c r="BJ29" s="57" t="s">
        <v>59</v>
      </c>
      <c r="BK29" s="57" t="s">
        <v>59</v>
      </c>
    </row>
    <row r="30" spans="1:63" s="27" customFormat="1" ht="12">
      <c r="A30" s="64"/>
      <c r="B30" s="63"/>
      <c r="C30" s="123" t="s">
        <v>245</v>
      </c>
      <c r="D30" s="122"/>
      <c r="E30" s="122"/>
      <c r="F30" s="122"/>
      <c r="G30" s="122"/>
      <c r="H30" s="122"/>
      <c r="I30" s="122"/>
      <c r="J30" s="122"/>
      <c r="K30" s="122"/>
      <c r="L30" s="122"/>
      <c r="M30" s="122"/>
      <c r="N30" s="122"/>
      <c r="O30" s="122"/>
      <c r="P30" s="122"/>
      <c r="Q30" s="122"/>
      <c r="R30" s="121"/>
      <c r="S30" s="104" t="s">
        <v>66</v>
      </c>
      <c r="T30" s="103"/>
      <c r="U30" s="57" t="s">
        <v>59</v>
      </c>
      <c r="V30" s="57" t="s">
        <v>59</v>
      </c>
      <c r="W30" s="57" t="s">
        <v>59</v>
      </c>
      <c r="X30" s="57" t="s">
        <v>59</v>
      </c>
      <c r="Y30" s="57" t="s">
        <v>59</v>
      </c>
      <c r="Z30" s="57" t="s">
        <v>59</v>
      </c>
      <c r="AA30" s="57" t="s">
        <v>59</v>
      </c>
      <c r="AB30" s="57" t="s">
        <v>59</v>
      </c>
      <c r="AC30" s="57" t="s">
        <v>59</v>
      </c>
      <c r="AD30" s="57" t="s">
        <v>59</v>
      </c>
      <c r="AE30" s="57" t="s">
        <v>59</v>
      </c>
      <c r="AF30" s="57" t="s">
        <v>59</v>
      </c>
      <c r="AG30" s="57" t="s">
        <v>59</v>
      </c>
      <c r="AH30" s="57" t="s">
        <v>59</v>
      </c>
      <c r="AI30" s="57" t="s">
        <v>59</v>
      </c>
      <c r="AJ30" s="57" t="s">
        <v>59</v>
      </c>
      <c r="AK30" s="57" t="s">
        <v>59</v>
      </c>
      <c r="AL30" s="57" t="s">
        <v>59</v>
      </c>
      <c r="AM30" s="57" t="s">
        <v>59</v>
      </c>
      <c r="AN30" s="57" t="s">
        <v>59</v>
      </c>
      <c r="AO30" s="57" t="s">
        <v>59</v>
      </c>
      <c r="AP30" s="57" t="s">
        <v>59</v>
      </c>
      <c r="AQ30" s="57" t="s">
        <v>59</v>
      </c>
      <c r="AR30" s="57" t="s">
        <v>59</v>
      </c>
      <c r="AS30" s="57" t="s">
        <v>59</v>
      </c>
      <c r="AT30" s="57" t="s">
        <v>59</v>
      </c>
      <c r="AU30" s="57" t="s">
        <v>59</v>
      </c>
      <c r="AV30" s="57" t="s">
        <v>59</v>
      </c>
      <c r="AW30" s="57" t="s">
        <v>59</v>
      </c>
      <c r="AX30" s="57" t="s">
        <v>59</v>
      </c>
      <c r="AY30" s="57" t="s">
        <v>59</v>
      </c>
      <c r="AZ30" s="57" t="s">
        <v>59</v>
      </c>
      <c r="BA30" s="57" t="s">
        <v>59</v>
      </c>
      <c r="BB30" s="57" t="s">
        <v>59</v>
      </c>
      <c r="BC30" s="57" t="s">
        <v>59</v>
      </c>
      <c r="BD30" s="57" t="s">
        <v>59</v>
      </c>
      <c r="BE30" s="57" t="s">
        <v>59</v>
      </c>
      <c r="BF30" s="57" t="s">
        <v>59</v>
      </c>
      <c r="BG30" s="57" t="s">
        <v>59</v>
      </c>
      <c r="BH30" s="57" t="s">
        <v>59</v>
      </c>
      <c r="BI30" s="57" t="s">
        <v>59</v>
      </c>
      <c r="BJ30" s="57" t="s">
        <v>59</v>
      </c>
      <c r="BK30" s="57" t="s">
        <v>59</v>
      </c>
    </row>
    <row r="31" spans="1:63" s="27" customFormat="1" ht="12">
      <c r="A31" s="64"/>
      <c r="B31" s="63"/>
      <c r="C31" s="123" t="s">
        <v>244</v>
      </c>
      <c r="D31" s="122"/>
      <c r="E31" s="122"/>
      <c r="F31" s="122"/>
      <c r="G31" s="122"/>
      <c r="H31" s="122"/>
      <c r="I31" s="122"/>
      <c r="J31" s="122"/>
      <c r="K31" s="122"/>
      <c r="L31" s="122"/>
      <c r="M31" s="122"/>
      <c r="N31" s="122"/>
      <c r="O31" s="122"/>
      <c r="P31" s="122"/>
      <c r="Q31" s="122"/>
      <c r="R31" s="121"/>
      <c r="S31" s="104" t="s">
        <v>66</v>
      </c>
      <c r="T31" s="103"/>
      <c r="U31" s="57" t="s">
        <v>59</v>
      </c>
      <c r="V31" s="57" t="s">
        <v>59</v>
      </c>
      <c r="W31" s="57" t="s">
        <v>59</v>
      </c>
      <c r="X31" s="57" t="s">
        <v>59</v>
      </c>
      <c r="Y31" s="57" t="s">
        <v>59</v>
      </c>
      <c r="Z31" s="57" t="s">
        <v>59</v>
      </c>
      <c r="AA31" s="57" t="s">
        <v>59</v>
      </c>
      <c r="AB31" s="57" t="s">
        <v>59</v>
      </c>
      <c r="AC31" s="57" t="s">
        <v>59</v>
      </c>
      <c r="AD31" s="57" t="s">
        <v>59</v>
      </c>
      <c r="AE31" s="57" t="s">
        <v>59</v>
      </c>
      <c r="AF31" s="57" t="s">
        <v>59</v>
      </c>
      <c r="AG31" s="57" t="s">
        <v>59</v>
      </c>
      <c r="AH31" s="57" t="s">
        <v>59</v>
      </c>
      <c r="AI31" s="57" t="s">
        <v>59</v>
      </c>
      <c r="AJ31" s="57" t="s">
        <v>59</v>
      </c>
      <c r="AK31" s="57" t="s">
        <v>59</v>
      </c>
      <c r="AL31" s="57" t="s">
        <v>59</v>
      </c>
      <c r="AM31" s="57" t="s">
        <v>59</v>
      </c>
      <c r="AN31" s="57" t="s">
        <v>59</v>
      </c>
      <c r="AO31" s="57" t="s">
        <v>59</v>
      </c>
      <c r="AP31" s="57" t="s">
        <v>59</v>
      </c>
      <c r="AQ31" s="57" t="s">
        <v>59</v>
      </c>
      <c r="AR31" s="57" t="s">
        <v>59</v>
      </c>
      <c r="AS31" s="57" t="s">
        <v>59</v>
      </c>
      <c r="AT31" s="57" t="s">
        <v>59</v>
      </c>
      <c r="AU31" s="57" t="s">
        <v>59</v>
      </c>
      <c r="AV31" s="57" t="s">
        <v>59</v>
      </c>
      <c r="AW31" s="57" t="s">
        <v>59</v>
      </c>
      <c r="AX31" s="57" t="s">
        <v>59</v>
      </c>
      <c r="AY31" s="57" t="s">
        <v>59</v>
      </c>
      <c r="AZ31" s="57" t="s">
        <v>59</v>
      </c>
      <c r="BA31" s="57" t="s">
        <v>59</v>
      </c>
      <c r="BB31" s="57" t="s">
        <v>59</v>
      </c>
      <c r="BC31" s="57" t="s">
        <v>59</v>
      </c>
      <c r="BD31" s="57" t="s">
        <v>59</v>
      </c>
      <c r="BE31" s="57" t="s">
        <v>59</v>
      </c>
      <c r="BF31" s="57" t="s">
        <v>59</v>
      </c>
      <c r="BG31" s="57" t="s">
        <v>59</v>
      </c>
      <c r="BH31" s="57" t="s">
        <v>59</v>
      </c>
      <c r="BI31" s="57" t="s">
        <v>59</v>
      </c>
      <c r="BJ31" s="57" t="s">
        <v>59</v>
      </c>
      <c r="BK31" s="57" t="s">
        <v>59</v>
      </c>
    </row>
    <row r="32" spans="1:63" s="27" customFormat="1" ht="12">
      <c r="A32" s="64"/>
      <c r="B32" s="63"/>
      <c r="C32" s="129" t="s">
        <v>243</v>
      </c>
      <c r="D32" s="128"/>
      <c r="E32" s="128"/>
      <c r="F32" s="128"/>
      <c r="G32" s="128"/>
      <c r="H32" s="128"/>
      <c r="I32" s="128"/>
      <c r="J32" s="128"/>
      <c r="K32" s="128"/>
      <c r="L32" s="128"/>
      <c r="M32" s="128"/>
      <c r="N32" s="128"/>
      <c r="O32" s="128"/>
      <c r="P32" s="128"/>
      <c r="Q32" s="128"/>
      <c r="R32" s="127"/>
      <c r="S32" s="66" t="s">
        <v>748</v>
      </c>
      <c r="T32" s="65"/>
      <c r="U32" s="57"/>
      <c r="V32" s="57"/>
      <c r="W32" s="57"/>
      <c r="X32" s="57"/>
      <c r="Y32" s="57"/>
      <c r="Z32" s="57"/>
      <c r="AA32" s="57"/>
      <c r="AB32" s="57"/>
      <c r="AC32" s="57"/>
      <c r="AD32" s="57"/>
      <c r="AE32" s="57"/>
      <c r="AF32" s="57"/>
      <c r="AG32" s="57"/>
      <c r="AH32" s="57"/>
      <c r="AI32" s="57"/>
      <c r="AJ32" s="57"/>
      <c r="AK32" s="57"/>
      <c r="AL32" s="57"/>
      <c r="AM32" s="57"/>
      <c r="AN32" s="57"/>
      <c r="AO32" s="57"/>
      <c r="AP32" s="57"/>
      <c r="AQ32" s="57"/>
      <c r="AR32" s="57"/>
      <c r="AS32" s="57"/>
      <c r="AT32" s="57"/>
      <c r="AU32" s="57"/>
      <c r="AV32" s="57"/>
      <c r="AW32" s="57"/>
      <c r="AX32" s="57"/>
      <c r="AY32" s="57"/>
      <c r="AZ32" s="57"/>
      <c r="BA32" s="57"/>
      <c r="BB32" s="57"/>
      <c r="BC32" s="57"/>
      <c r="BD32" s="57"/>
      <c r="BE32" s="57"/>
      <c r="BF32" s="57"/>
      <c r="BG32" s="57"/>
      <c r="BH32" s="57"/>
      <c r="BI32" s="57"/>
      <c r="BJ32" s="57"/>
      <c r="BK32" s="372" t="s">
        <v>59</v>
      </c>
    </row>
    <row r="33" spans="1:63" s="27" customFormat="1" ht="12">
      <c r="A33" s="64"/>
      <c r="B33" s="63"/>
      <c r="C33" s="126"/>
      <c r="D33" s="125"/>
      <c r="E33" s="125"/>
      <c r="F33" s="125"/>
      <c r="G33" s="125"/>
      <c r="H33" s="125"/>
      <c r="I33" s="125"/>
      <c r="J33" s="125"/>
      <c r="K33" s="125"/>
      <c r="L33" s="125"/>
      <c r="M33" s="125"/>
      <c r="N33" s="125"/>
      <c r="O33" s="125"/>
      <c r="P33" s="125"/>
      <c r="Q33" s="125"/>
      <c r="R33" s="124"/>
      <c r="S33" s="66" t="s">
        <v>747</v>
      </c>
      <c r="T33" s="65"/>
      <c r="U33" s="372" t="s">
        <v>59</v>
      </c>
      <c r="V33" s="57"/>
      <c r="W33" s="57"/>
      <c r="X33" s="57"/>
      <c r="Y33" s="57"/>
      <c r="Z33" s="57"/>
      <c r="AA33" s="57"/>
      <c r="AB33" s="57"/>
      <c r="AC33" s="57"/>
      <c r="AD33" s="57"/>
      <c r="AE33" s="57"/>
      <c r="AF33" s="57"/>
      <c r="AG33" s="57"/>
      <c r="AH33" s="57"/>
      <c r="AI33" s="57"/>
      <c r="AJ33" s="57"/>
      <c r="AK33" s="57"/>
      <c r="AL33" s="57"/>
      <c r="AM33" s="57"/>
      <c r="AN33" s="57"/>
      <c r="AO33" s="57"/>
      <c r="AP33" s="57"/>
      <c r="AQ33" s="57"/>
      <c r="AR33" s="57"/>
      <c r="AS33" s="57"/>
      <c r="AT33" s="57"/>
      <c r="AU33" s="57"/>
      <c r="AV33" s="57"/>
      <c r="AW33" s="57"/>
      <c r="AX33" s="57"/>
      <c r="AY33" s="57"/>
      <c r="AZ33" s="57"/>
      <c r="BA33" s="57"/>
      <c r="BB33" s="57"/>
      <c r="BC33" s="57"/>
      <c r="BD33" s="57"/>
      <c r="BE33" s="57"/>
      <c r="BF33" s="57"/>
      <c r="BG33" s="57"/>
      <c r="BH33" s="57"/>
      <c r="BI33" s="57"/>
      <c r="BJ33" s="57"/>
      <c r="BK33" s="57"/>
    </row>
    <row r="34" spans="1:63" s="27" customFormat="1" ht="12">
      <c r="A34" s="64"/>
      <c r="B34" s="63"/>
      <c r="C34" s="126"/>
      <c r="D34" s="125"/>
      <c r="E34" s="125"/>
      <c r="F34" s="125"/>
      <c r="G34" s="125"/>
      <c r="H34" s="125"/>
      <c r="I34" s="125"/>
      <c r="J34" s="125"/>
      <c r="K34" s="125"/>
      <c r="L34" s="125"/>
      <c r="M34" s="125"/>
      <c r="N34" s="125"/>
      <c r="O34" s="125"/>
      <c r="P34" s="125"/>
      <c r="Q34" s="125"/>
      <c r="R34" s="124"/>
      <c r="S34" s="66" t="s">
        <v>501</v>
      </c>
      <c r="T34" s="65"/>
      <c r="U34" s="57"/>
      <c r="V34" s="57"/>
      <c r="W34" s="57"/>
      <c r="X34" s="57"/>
      <c r="Y34" s="57"/>
      <c r="Z34" s="57"/>
      <c r="AA34" s="57"/>
      <c r="AB34" s="57"/>
      <c r="AC34" s="57"/>
      <c r="AD34" s="57"/>
      <c r="AE34" s="57"/>
      <c r="AF34" s="57"/>
      <c r="AG34" s="57"/>
      <c r="AH34" s="57"/>
      <c r="AI34" s="57"/>
      <c r="AJ34" s="57"/>
      <c r="AK34" s="57"/>
      <c r="AL34" s="57"/>
      <c r="AM34" s="57"/>
      <c r="AN34" s="57"/>
      <c r="AO34" s="57"/>
      <c r="AP34" s="57"/>
      <c r="AQ34" s="57"/>
      <c r="AR34" s="57"/>
      <c r="AS34" s="57"/>
      <c r="AT34" s="57"/>
      <c r="AU34" s="57"/>
      <c r="AV34" s="57"/>
      <c r="AW34" s="57"/>
      <c r="AX34" s="57"/>
      <c r="AY34" s="57"/>
      <c r="AZ34" s="57"/>
      <c r="BA34" s="57"/>
      <c r="BB34" s="57"/>
      <c r="BC34" s="57"/>
      <c r="BD34" s="57"/>
      <c r="BE34" s="57"/>
      <c r="BF34" s="57"/>
      <c r="BG34" s="57"/>
      <c r="BH34" s="57"/>
      <c r="BI34" s="57"/>
      <c r="BJ34" s="57"/>
      <c r="BK34" s="372" t="s">
        <v>59</v>
      </c>
    </row>
    <row r="35" spans="1:63" s="27" customFormat="1" ht="12">
      <c r="A35" s="64"/>
      <c r="B35" s="63"/>
      <c r="C35" s="126"/>
      <c r="D35" s="125"/>
      <c r="E35" s="125"/>
      <c r="F35" s="125"/>
      <c r="G35" s="125"/>
      <c r="H35" s="125"/>
      <c r="I35" s="125"/>
      <c r="J35" s="125"/>
      <c r="K35" s="125"/>
      <c r="L35" s="125"/>
      <c r="M35" s="125"/>
      <c r="N35" s="125"/>
      <c r="O35" s="125"/>
      <c r="P35" s="125"/>
      <c r="Q35" s="125"/>
      <c r="R35" s="124"/>
      <c r="S35" s="66" t="s">
        <v>502</v>
      </c>
      <c r="T35" s="65"/>
      <c r="U35" s="57"/>
      <c r="V35" s="372" t="s">
        <v>59</v>
      </c>
      <c r="W35" s="57"/>
      <c r="X35" s="57"/>
      <c r="Y35" s="57"/>
      <c r="Z35" s="57"/>
      <c r="AA35" s="57"/>
      <c r="AB35" s="57"/>
      <c r="AC35" s="57"/>
      <c r="AD35" s="57"/>
      <c r="AE35" s="57"/>
      <c r="AF35" s="57"/>
      <c r="AG35" s="57"/>
      <c r="AH35" s="57"/>
      <c r="AI35" s="57"/>
      <c r="AJ35" s="57"/>
      <c r="AK35" s="57"/>
      <c r="AL35" s="57"/>
      <c r="AM35" s="57"/>
      <c r="AN35" s="57"/>
      <c r="AO35" s="57"/>
      <c r="AP35" s="57"/>
      <c r="AQ35" s="57"/>
      <c r="AR35" s="57"/>
      <c r="AS35" s="57"/>
      <c r="AT35" s="57"/>
      <c r="AU35" s="57"/>
      <c r="AV35" s="57"/>
      <c r="AW35" s="57"/>
      <c r="AX35" s="57"/>
      <c r="AY35" s="57"/>
      <c r="AZ35" s="57"/>
      <c r="BA35" s="57"/>
      <c r="BB35" s="57"/>
      <c r="BC35" s="57"/>
      <c r="BD35" s="57"/>
      <c r="BE35" s="57"/>
      <c r="BF35" s="57"/>
      <c r="BG35" s="57"/>
      <c r="BH35" s="57"/>
      <c r="BI35" s="57"/>
      <c r="BJ35" s="57"/>
      <c r="BK35" s="57"/>
    </row>
    <row r="36" spans="1:63" s="27" customFormat="1" ht="12">
      <c r="A36" s="64"/>
      <c r="B36" s="63"/>
      <c r="C36" s="126"/>
      <c r="D36" s="125"/>
      <c r="E36" s="125"/>
      <c r="F36" s="125"/>
      <c r="G36" s="125"/>
      <c r="H36" s="125"/>
      <c r="I36" s="125"/>
      <c r="J36" s="125"/>
      <c r="K36" s="125"/>
      <c r="L36" s="125"/>
      <c r="M36" s="125"/>
      <c r="N36" s="125"/>
      <c r="O36" s="125"/>
      <c r="P36" s="125"/>
      <c r="Q36" s="125"/>
      <c r="R36" s="124"/>
      <c r="S36" s="66" t="s">
        <v>503</v>
      </c>
      <c r="T36" s="65"/>
      <c r="U36" s="57"/>
      <c r="V36" s="57"/>
      <c r="W36" s="57"/>
      <c r="X36" s="57"/>
      <c r="Y36" s="57"/>
      <c r="Z36" s="57"/>
      <c r="AA36" s="57"/>
      <c r="AB36" s="57"/>
      <c r="AC36" s="57"/>
      <c r="AD36" s="57"/>
      <c r="AE36" s="57"/>
      <c r="AF36" s="57"/>
      <c r="AG36" s="57"/>
      <c r="AH36" s="57"/>
      <c r="AI36" s="57"/>
      <c r="AJ36" s="57"/>
      <c r="AK36" s="57"/>
      <c r="AL36" s="57"/>
      <c r="AM36" s="57"/>
      <c r="AN36" s="57"/>
      <c r="AO36" s="57"/>
      <c r="AP36" s="57"/>
      <c r="AQ36" s="57"/>
      <c r="AR36" s="57"/>
      <c r="AS36" s="57"/>
      <c r="AT36" s="57"/>
      <c r="AU36" s="57"/>
      <c r="AV36" s="57"/>
      <c r="AW36" s="57"/>
      <c r="AX36" s="57"/>
      <c r="AY36" s="57"/>
      <c r="AZ36" s="57"/>
      <c r="BA36" s="57"/>
      <c r="BB36" s="57"/>
      <c r="BC36" s="57"/>
      <c r="BD36" s="57"/>
      <c r="BE36" s="57"/>
      <c r="BF36" s="57"/>
      <c r="BG36" s="57"/>
      <c r="BH36" s="57"/>
      <c r="BI36" s="57"/>
      <c r="BJ36" s="57"/>
      <c r="BK36" s="372" t="s">
        <v>59</v>
      </c>
    </row>
    <row r="37" spans="1:63" s="27" customFormat="1" ht="12">
      <c r="A37" s="64"/>
      <c r="B37" s="63"/>
      <c r="C37" s="132"/>
      <c r="D37" s="131"/>
      <c r="E37" s="131"/>
      <c r="F37" s="131"/>
      <c r="G37" s="131"/>
      <c r="H37" s="131"/>
      <c r="I37" s="131"/>
      <c r="J37" s="131"/>
      <c r="K37" s="131"/>
      <c r="L37" s="131"/>
      <c r="M37" s="131"/>
      <c r="N37" s="131"/>
      <c r="O37" s="131"/>
      <c r="P37" s="131"/>
      <c r="Q37" s="131"/>
      <c r="R37" s="130"/>
      <c r="S37" s="66" t="s">
        <v>504</v>
      </c>
      <c r="T37" s="65"/>
      <c r="U37" s="57"/>
      <c r="V37" s="57"/>
      <c r="W37" s="372" t="s">
        <v>59</v>
      </c>
      <c r="X37" s="57"/>
      <c r="Y37" s="57"/>
      <c r="Z37" s="57"/>
      <c r="AA37" s="57"/>
      <c r="AB37" s="57"/>
      <c r="AC37" s="57"/>
      <c r="AD37" s="57"/>
      <c r="AE37" s="57"/>
      <c r="AF37" s="57"/>
      <c r="AG37" s="57"/>
      <c r="AH37" s="57"/>
      <c r="AI37" s="57"/>
      <c r="AJ37" s="57"/>
      <c r="AK37" s="57"/>
      <c r="AL37" s="57"/>
      <c r="AM37" s="57"/>
      <c r="AN37" s="57"/>
      <c r="AO37" s="57"/>
      <c r="AP37" s="57"/>
      <c r="AQ37" s="57"/>
      <c r="AR37" s="57"/>
      <c r="AS37" s="57"/>
      <c r="AT37" s="57"/>
      <c r="AU37" s="57"/>
      <c r="AV37" s="57"/>
      <c r="AW37" s="57"/>
      <c r="AX37" s="57"/>
      <c r="AY37" s="57"/>
      <c r="AZ37" s="57"/>
      <c r="BA37" s="57"/>
      <c r="BB37" s="57"/>
      <c r="BC37" s="57"/>
      <c r="BD37" s="57"/>
      <c r="BE37" s="57"/>
      <c r="BF37" s="57"/>
      <c r="BG37" s="57"/>
      <c r="BH37" s="57"/>
      <c r="BI37" s="57"/>
      <c r="BJ37" s="57"/>
      <c r="BK37" s="57"/>
    </row>
    <row r="38" spans="1:63" s="27" customFormat="1" ht="12">
      <c r="A38" s="64"/>
      <c r="B38" s="63"/>
      <c r="C38" s="129" t="s">
        <v>242</v>
      </c>
      <c r="D38" s="128"/>
      <c r="E38" s="128"/>
      <c r="F38" s="128"/>
      <c r="G38" s="128"/>
      <c r="H38" s="128"/>
      <c r="I38" s="128"/>
      <c r="J38" s="128"/>
      <c r="K38" s="128"/>
      <c r="L38" s="128"/>
      <c r="M38" s="128"/>
      <c r="N38" s="128"/>
      <c r="O38" s="128"/>
      <c r="P38" s="128"/>
      <c r="Q38" s="128"/>
      <c r="R38" s="127"/>
      <c r="S38" s="66" t="s">
        <v>748</v>
      </c>
      <c r="T38" s="65"/>
      <c r="U38" s="57"/>
      <c r="V38" s="57"/>
      <c r="W38" s="57"/>
      <c r="X38" s="57"/>
      <c r="Y38" s="57"/>
      <c r="Z38" s="57"/>
      <c r="AA38" s="57"/>
      <c r="AB38" s="57"/>
      <c r="AC38" s="57"/>
      <c r="AD38" s="57"/>
      <c r="AE38" s="57"/>
      <c r="AF38" s="57"/>
      <c r="AG38" s="57"/>
      <c r="AH38" s="57"/>
      <c r="AI38" s="57"/>
      <c r="AJ38" s="57"/>
      <c r="AK38" s="57"/>
      <c r="AL38" s="57"/>
      <c r="AM38" s="57"/>
      <c r="AN38" s="57"/>
      <c r="AO38" s="57"/>
      <c r="AP38" s="57"/>
      <c r="AQ38" s="57"/>
      <c r="AR38" s="57"/>
      <c r="AS38" s="57"/>
      <c r="AT38" s="57"/>
      <c r="AU38" s="57"/>
      <c r="AV38" s="57"/>
      <c r="AW38" s="57"/>
      <c r="AX38" s="57"/>
      <c r="AY38" s="57"/>
      <c r="AZ38" s="57"/>
      <c r="BA38" s="57"/>
      <c r="BB38" s="57"/>
      <c r="BC38" s="57"/>
      <c r="BD38" s="57"/>
      <c r="BE38" s="57"/>
      <c r="BF38" s="57"/>
      <c r="BG38" s="57"/>
      <c r="BH38" s="57"/>
      <c r="BI38" s="57"/>
      <c r="BJ38" s="57"/>
      <c r="BK38" s="372" t="s">
        <v>59</v>
      </c>
    </row>
    <row r="39" spans="1:63" s="27" customFormat="1" ht="12">
      <c r="A39" s="64"/>
      <c r="B39" s="63"/>
      <c r="C39" s="126"/>
      <c r="D39" s="125"/>
      <c r="E39" s="125"/>
      <c r="F39" s="125"/>
      <c r="G39" s="125"/>
      <c r="H39" s="125"/>
      <c r="I39" s="125"/>
      <c r="J39" s="125"/>
      <c r="K39" s="125"/>
      <c r="L39" s="125"/>
      <c r="M39" s="125"/>
      <c r="N39" s="125"/>
      <c r="O39" s="125"/>
      <c r="P39" s="125"/>
      <c r="Q39" s="125"/>
      <c r="R39" s="124"/>
      <c r="S39" s="66" t="s">
        <v>747</v>
      </c>
      <c r="T39" s="65"/>
      <c r="U39" s="57"/>
      <c r="V39" s="57"/>
      <c r="W39" s="57"/>
      <c r="X39" s="372" t="s">
        <v>59</v>
      </c>
      <c r="Y39" s="5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7"/>
      <c r="AZ39" s="57"/>
      <c r="BA39" s="57"/>
      <c r="BB39" s="57"/>
      <c r="BC39" s="57"/>
      <c r="BD39" s="57"/>
      <c r="BE39" s="57"/>
      <c r="BF39" s="57"/>
      <c r="BG39" s="57"/>
      <c r="BH39" s="57"/>
      <c r="BI39" s="57"/>
      <c r="BJ39" s="57"/>
      <c r="BK39" s="57"/>
    </row>
    <row r="40" spans="1:63" s="27" customFormat="1" ht="12">
      <c r="A40" s="64"/>
      <c r="B40" s="63"/>
      <c r="C40" s="126"/>
      <c r="D40" s="125"/>
      <c r="E40" s="125"/>
      <c r="F40" s="125"/>
      <c r="G40" s="125"/>
      <c r="H40" s="125"/>
      <c r="I40" s="125"/>
      <c r="J40" s="125"/>
      <c r="K40" s="125"/>
      <c r="L40" s="125"/>
      <c r="M40" s="125"/>
      <c r="N40" s="125"/>
      <c r="O40" s="125"/>
      <c r="P40" s="125"/>
      <c r="Q40" s="125"/>
      <c r="R40" s="124"/>
      <c r="S40" s="66" t="s">
        <v>501</v>
      </c>
      <c r="T40" s="65"/>
      <c r="U40" s="57"/>
      <c r="V40" s="57"/>
      <c r="W40" s="57"/>
      <c r="X40" s="57"/>
      <c r="Y40" s="5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7"/>
      <c r="AZ40" s="57"/>
      <c r="BA40" s="57"/>
      <c r="BB40" s="57"/>
      <c r="BC40" s="57"/>
      <c r="BD40" s="57"/>
      <c r="BE40" s="57"/>
      <c r="BF40" s="57"/>
      <c r="BG40" s="57"/>
      <c r="BH40" s="57"/>
      <c r="BI40" s="57"/>
      <c r="BJ40" s="57"/>
      <c r="BK40" s="372" t="s">
        <v>59</v>
      </c>
    </row>
    <row r="41" spans="1:63" s="27" customFormat="1" ht="12">
      <c r="A41" s="64"/>
      <c r="B41" s="63"/>
      <c r="C41" s="126"/>
      <c r="D41" s="125"/>
      <c r="E41" s="125"/>
      <c r="F41" s="125"/>
      <c r="G41" s="125"/>
      <c r="H41" s="125"/>
      <c r="I41" s="125"/>
      <c r="J41" s="125"/>
      <c r="K41" s="125"/>
      <c r="L41" s="125"/>
      <c r="M41" s="125"/>
      <c r="N41" s="125"/>
      <c r="O41" s="125"/>
      <c r="P41" s="125"/>
      <c r="Q41" s="125"/>
      <c r="R41" s="124"/>
      <c r="S41" s="66" t="s">
        <v>502</v>
      </c>
      <c r="T41" s="65"/>
      <c r="U41" s="57"/>
      <c r="V41" s="57"/>
      <c r="W41" s="57"/>
      <c r="X41" s="57"/>
      <c r="Y41" s="372" t="s">
        <v>59</v>
      </c>
      <c r="Z41" s="57"/>
      <c r="AA41" s="57"/>
      <c r="AB41" s="57"/>
      <c r="AC41" s="57"/>
      <c r="AD41" s="57"/>
      <c r="AE41" s="57"/>
      <c r="AF41" s="57"/>
      <c r="AG41" s="57"/>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J41" s="57"/>
      <c r="BK41" s="57"/>
    </row>
    <row r="42" spans="1:63" s="27" customFormat="1" ht="12">
      <c r="A42" s="64"/>
      <c r="B42" s="63"/>
      <c r="C42" s="126"/>
      <c r="D42" s="125"/>
      <c r="E42" s="125"/>
      <c r="F42" s="125"/>
      <c r="G42" s="125"/>
      <c r="H42" s="125"/>
      <c r="I42" s="125"/>
      <c r="J42" s="125"/>
      <c r="K42" s="125"/>
      <c r="L42" s="125"/>
      <c r="M42" s="125"/>
      <c r="N42" s="125"/>
      <c r="O42" s="125"/>
      <c r="P42" s="125"/>
      <c r="Q42" s="125"/>
      <c r="R42" s="124"/>
      <c r="S42" s="66" t="s">
        <v>503</v>
      </c>
      <c r="T42" s="65"/>
      <c r="U42" s="57"/>
      <c r="V42" s="57"/>
      <c r="W42" s="57"/>
      <c r="X42" s="57"/>
      <c r="Y42" s="5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J42" s="57"/>
      <c r="BK42" s="372" t="s">
        <v>59</v>
      </c>
    </row>
    <row r="43" spans="1:63" s="27" customFormat="1" ht="12">
      <c r="A43" s="64"/>
      <c r="B43" s="63"/>
      <c r="C43" s="132"/>
      <c r="D43" s="131"/>
      <c r="E43" s="131"/>
      <c r="F43" s="131"/>
      <c r="G43" s="131"/>
      <c r="H43" s="131"/>
      <c r="I43" s="131"/>
      <c r="J43" s="131"/>
      <c r="K43" s="131"/>
      <c r="L43" s="131"/>
      <c r="M43" s="131"/>
      <c r="N43" s="131"/>
      <c r="O43" s="131"/>
      <c r="P43" s="131"/>
      <c r="Q43" s="131"/>
      <c r="R43" s="130"/>
      <c r="S43" s="66" t="s">
        <v>504</v>
      </c>
      <c r="T43" s="65"/>
      <c r="U43" s="57"/>
      <c r="V43" s="57"/>
      <c r="W43" s="57"/>
      <c r="X43" s="57"/>
      <c r="Y43" s="57"/>
      <c r="Z43" s="372" t="s">
        <v>59</v>
      </c>
      <c r="AA43" s="57"/>
      <c r="AB43" s="57"/>
      <c r="AC43" s="57"/>
      <c r="AD43" s="57"/>
      <c r="AE43" s="57"/>
      <c r="AF43" s="57"/>
      <c r="AG43" s="57"/>
      <c r="AH43" s="57"/>
      <c r="AI43" s="57"/>
      <c r="AJ43" s="57"/>
      <c r="AK43" s="57"/>
      <c r="AL43" s="57"/>
      <c r="AM43" s="57"/>
      <c r="AN43" s="57"/>
      <c r="AO43" s="57"/>
      <c r="AP43" s="57"/>
      <c r="AQ43" s="57"/>
      <c r="AR43" s="57"/>
      <c r="AS43" s="57"/>
      <c r="AT43" s="57"/>
      <c r="AU43" s="57"/>
      <c r="AV43" s="57"/>
      <c r="AW43" s="57"/>
      <c r="AX43" s="57"/>
      <c r="AY43" s="57"/>
      <c r="AZ43" s="57"/>
      <c r="BA43" s="57"/>
      <c r="BB43" s="57"/>
      <c r="BC43" s="57"/>
      <c r="BD43" s="57"/>
      <c r="BE43" s="57"/>
      <c r="BF43" s="57"/>
      <c r="BG43" s="57"/>
      <c r="BH43" s="57"/>
      <c r="BI43" s="57"/>
      <c r="BJ43" s="57"/>
      <c r="BK43" s="57"/>
    </row>
    <row r="44" spans="1:63" s="27" customFormat="1" ht="12">
      <c r="A44" s="64"/>
      <c r="B44" s="63"/>
      <c r="C44" s="129" t="s">
        <v>241</v>
      </c>
      <c r="D44" s="128"/>
      <c r="E44" s="128"/>
      <c r="F44" s="128"/>
      <c r="G44" s="128"/>
      <c r="H44" s="128"/>
      <c r="I44" s="128"/>
      <c r="J44" s="128"/>
      <c r="K44" s="128"/>
      <c r="L44" s="128"/>
      <c r="M44" s="128"/>
      <c r="N44" s="128"/>
      <c r="O44" s="128"/>
      <c r="P44" s="128"/>
      <c r="Q44" s="128"/>
      <c r="R44" s="127"/>
      <c r="S44" s="66" t="s">
        <v>748</v>
      </c>
      <c r="T44" s="65"/>
      <c r="U44" s="57"/>
      <c r="V44" s="57"/>
      <c r="W44" s="57"/>
      <c r="X44" s="57"/>
      <c r="Y44" s="57"/>
      <c r="Z44" s="57"/>
      <c r="AA44" s="57"/>
      <c r="AB44" s="57"/>
      <c r="AC44" s="57"/>
      <c r="AD44" s="57"/>
      <c r="AE44" s="57"/>
      <c r="AF44" s="57"/>
      <c r="AG44" s="57"/>
      <c r="AH44" s="57"/>
      <c r="AI44" s="57"/>
      <c r="AJ44" s="57"/>
      <c r="AK44" s="57"/>
      <c r="AL44" s="57"/>
      <c r="AM44" s="57"/>
      <c r="AN44" s="57"/>
      <c r="AO44" s="57"/>
      <c r="AP44" s="57"/>
      <c r="AQ44" s="57"/>
      <c r="AR44" s="57"/>
      <c r="AS44" s="57"/>
      <c r="AT44" s="57"/>
      <c r="AU44" s="57"/>
      <c r="AV44" s="57"/>
      <c r="AW44" s="57"/>
      <c r="AX44" s="57"/>
      <c r="AY44" s="57"/>
      <c r="AZ44" s="57"/>
      <c r="BA44" s="57"/>
      <c r="BB44" s="57"/>
      <c r="BC44" s="57"/>
      <c r="BD44" s="57"/>
      <c r="BE44" s="57"/>
      <c r="BF44" s="57"/>
      <c r="BG44" s="57"/>
      <c r="BH44" s="57"/>
      <c r="BI44" s="57"/>
      <c r="BJ44" s="57"/>
      <c r="BK44" s="372" t="s">
        <v>59</v>
      </c>
    </row>
    <row r="45" spans="1:63" s="27" customFormat="1" ht="12">
      <c r="A45" s="64"/>
      <c r="B45" s="63"/>
      <c r="C45" s="126"/>
      <c r="D45" s="125"/>
      <c r="E45" s="125"/>
      <c r="F45" s="125"/>
      <c r="G45" s="125"/>
      <c r="H45" s="125"/>
      <c r="I45" s="125"/>
      <c r="J45" s="125"/>
      <c r="K45" s="125"/>
      <c r="L45" s="125"/>
      <c r="M45" s="125"/>
      <c r="N45" s="125"/>
      <c r="O45" s="125"/>
      <c r="P45" s="125"/>
      <c r="Q45" s="125"/>
      <c r="R45" s="124"/>
      <c r="S45" s="66" t="s">
        <v>747</v>
      </c>
      <c r="T45" s="65"/>
      <c r="U45" s="57"/>
      <c r="V45" s="57"/>
      <c r="W45" s="57"/>
      <c r="X45" s="57"/>
      <c r="Y45" s="57"/>
      <c r="Z45" s="57"/>
      <c r="AA45" s="372" t="s">
        <v>59</v>
      </c>
      <c r="AB45" s="57"/>
      <c r="AC45" s="57"/>
      <c r="AD45" s="57"/>
      <c r="AE45" s="57"/>
      <c r="AF45" s="57"/>
      <c r="AG45" s="57"/>
      <c r="AH45" s="57"/>
      <c r="AI45" s="57"/>
      <c r="AJ45" s="57"/>
      <c r="AK45" s="57"/>
      <c r="AL45" s="57"/>
      <c r="AM45" s="57"/>
      <c r="AN45" s="57"/>
      <c r="AO45" s="57"/>
      <c r="AP45" s="57"/>
      <c r="AQ45" s="57"/>
      <c r="AR45" s="57"/>
      <c r="AS45" s="57"/>
      <c r="AT45" s="57"/>
      <c r="AU45" s="57"/>
      <c r="AV45" s="57"/>
      <c r="AW45" s="57"/>
      <c r="AX45" s="57"/>
      <c r="AY45" s="57"/>
      <c r="AZ45" s="57"/>
      <c r="BA45" s="57"/>
      <c r="BB45" s="57"/>
      <c r="BC45" s="57"/>
      <c r="BD45" s="57"/>
      <c r="BE45" s="57"/>
      <c r="BF45" s="57"/>
      <c r="BG45" s="57"/>
      <c r="BH45" s="57"/>
      <c r="BI45" s="57"/>
      <c r="BJ45" s="57"/>
      <c r="BK45" s="57"/>
    </row>
    <row r="46" spans="1:63" s="27" customFormat="1" ht="12">
      <c r="A46" s="64"/>
      <c r="B46" s="63"/>
      <c r="C46" s="126"/>
      <c r="D46" s="125"/>
      <c r="E46" s="125"/>
      <c r="F46" s="125"/>
      <c r="G46" s="125"/>
      <c r="H46" s="125"/>
      <c r="I46" s="125"/>
      <c r="J46" s="125"/>
      <c r="K46" s="125"/>
      <c r="L46" s="125"/>
      <c r="M46" s="125"/>
      <c r="N46" s="125"/>
      <c r="O46" s="125"/>
      <c r="P46" s="125"/>
      <c r="Q46" s="125"/>
      <c r="R46" s="124"/>
      <c r="S46" s="66" t="s">
        <v>501</v>
      </c>
      <c r="T46" s="65"/>
      <c r="U46" s="57"/>
      <c r="V46" s="57"/>
      <c r="W46" s="57"/>
      <c r="X46" s="57"/>
      <c r="Y46" s="57"/>
      <c r="Z46" s="57"/>
      <c r="AA46" s="57"/>
      <c r="AB46" s="57"/>
      <c r="AC46" s="57"/>
      <c r="AD46" s="57"/>
      <c r="AE46" s="57"/>
      <c r="AF46" s="57"/>
      <c r="AG46" s="57"/>
      <c r="AH46" s="57"/>
      <c r="AI46" s="57"/>
      <c r="AJ46" s="57"/>
      <c r="AK46" s="57"/>
      <c r="AL46" s="57"/>
      <c r="AM46" s="57"/>
      <c r="AN46" s="57"/>
      <c r="AO46" s="57"/>
      <c r="AP46" s="57"/>
      <c r="AQ46" s="57"/>
      <c r="AR46" s="57"/>
      <c r="AS46" s="57"/>
      <c r="AT46" s="57"/>
      <c r="AU46" s="57"/>
      <c r="AV46" s="57"/>
      <c r="AW46" s="57"/>
      <c r="AX46" s="57"/>
      <c r="AY46" s="57"/>
      <c r="AZ46" s="57"/>
      <c r="BA46" s="57"/>
      <c r="BB46" s="57"/>
      <c r="BC46" s="57"/>
      <c r="BD46" s="57"/>
      <c r="BE46" s="57"/>
      <c r="BF46" s="57"/>
      <c r="BG46" s="57"/>
      <c r="BH46" s="57"/>
      <c r="BI46" s="57"/>
      <c r="BJ46" s="57"/>
      <c r="BK46" s="372" t="s">
        <v>59</v>
      </c>
    </row>
    <row r="47" spans="1:63" s="27" customFormat="1" ht="12">
      <c r="A47" s="64"/>
      <c r="B47" s="63"/>
      <c r="C47" s="126"/>
      <c r="D47" s="125"/>
      <c r="E47" s="125"/>
      <c r="F47" s="125"/>
      <c r="G47" s="125"/>
      <c r="H47" s="125"/>
      <c r="I47" s="125"/>
      <c r="J47" s="125"/>
      <c r="K47" s="125"/>
      <c r="L47" s="125"/>
      <c r="M47" s="125"/>
      <c r="N47" s="125"/>
      <c r="O47" s="125"/>
      <c r="P47" s="125"/>
      <c r="Q47" s="125"/>
      <c r="R47" s="124"/>
      <c r="S47" s="66" t="s">
        <v>502</v>
      </c>
      <c r="T47" s="65"/>
      <c r="U47" s="57"/>
      <c r="V47" s="57"/>
      <c r="W47" s="57"/>
      <c r="X47" s="57"/>
      <c r="Y47" s="57"/>
      <c r="Z47" s="57"/>
      <c r="AA47" s="57"/>
      <c r="AB47" s="372" t="s">
        <v>59</v>
      </c>
      <c r="AC47" s="57"/>
      <c r="AD47" s="57"/>
      <c r="AE47" s="57"/>
      <c r="AF47" s="57"/>
      <c r="AG47" s="57"/>
      <c r="AH47" s="57"/>
      <c r="AI47" s="57"/>
      <c r="AJ47" s="57"/>
      <c r="AK47" s="57"/>
      <c r="AL47" s="57"/>
      <c r="AM47" s="57"/>
      <c r="AN47" s="57"/>
      <c r="AO47" s="57"/>
      <c r="AP47" s="57"/>
      <c r="AQ47" s="57"/>
      <c r="AR47" s="57"/>
      <c r="AS47" s="57"/>
      <c r="AT47" s="57"/>
      <c r="AU47" s="57"/>
      <c r="AV47" s="57"/>
      <c r="AW47" s="57"/>
      <c r="AX47" s="57"/>
      <c r="AY47" s="57"/>
      <c r="AZ47" s="57"/>
      <c r="BA47" s="57"/>
      <c r="BB47" s="57"/>
      <c r="BC47" s="57"/>
      <c r="BD47" s="57"/>
      <c r="BE47" s="57"/>
      <c r="BF47" s="57"/>
      <c r="BG47" s="57"/>
      <c r="BH47" s="57"/>
      <c r="BI47" s="57"/>
      <c r="BJ47" s="57"/>
      <c r="BK47" s="57"/>
    </row>
    <row r="48" spans="1:63" s="27" customFormat="1" ht="12">
      <c r="A48" s="64"/>
      <c r="B48" s="63"/>
      <c r="C48" s="126"/>
      <c r="D48" s="125"/>
      <c r="E48" s="125"/>
      <c r="F48" s="125"/>
      <c r="G48" s="125"/>
      <c r="H48" s="125"/>
      <c r="I48" s="125"/>
      <c r="J48" s="125"/>
      <c r="K48" s="125"/>
      <c r="L48" s="125"/>
      <c r="M48" s="125"/>
      <c r="N48" s="125"/>
      <c r="O48" s="125"/>
      <c r="P48" s="125"/>
      <c r="Q48" s="125"/>
      <c r="R48" s="124"/>
      <c r="S48" s="66" t="s">
        <v>503</v>
      </c>
      <c r="T48" s="65"/>
      <c r="U48" s="57"/>
      <c r="V48" s="57"/>
      <c r="W48" s="57"/>
      <c r="X48" s="57"/>
      <c r="Y48" s="57"/>
      <c r="Z48" s="57"/>
      <c r="AA48" s="57"/>
      <c r="AB48" s="57"/>
      <c r="AC48" s="57"/>
      <c r="AD48" s="57"/>
      <c r="AE48" s="57"/>
      <c r="AF48" s="57"/>
      <c r="AG48" s="57"/>
      <c r="AH48" s="57"/>
      <c r="AI48" s="57"/>
      <c r="AJ48" s="57"/>
      <c r="AK48" s="57"/>
      <c r="AL48" s="57"/>
      <c r="AM48" s="57"/>
      <c r="AN48" s="57"/>
      <c r="AO48" s="57"/>
      <c r="AP48" s="57"/>
      <c r="AQ48" s="57"/>
      <c r="AR48" s="57"/>
      <c r="AS48" s="57"/>
      <c r="AT48" s="57"/>
      <c r="AU48" s="57"/>
      <c r="AV48" s="57"/>
      <c r="AW48" s="57"/>
      <c r="AX48" s="57"/>
      <c r="AY48" s="57"/>
      <c r="AZ48" s="57"/>
      <c r="BA48" s="57"/>
      <c r="BB48" s="57"/>
      <c r="BC48" s="57"/>
      <c r="BD48" s="57"/>
      <c r="BE48" s="57"/>
      <c r="BF48" s="57"/>
      <c r="BG48" s="57"/>
      <c r="BH48" s="57"/>
      <c r="BI48" s="57"/>
      <c r="BJ48" s="57"/>
      <c r="BK48" s="372" t="s">
        <v>59</v>
      </c>
    </row>
    <row r="49" spans="1:63" s="27" customFormat="1" ht="12">
      <c r="A49" s="64"/>
      <c r="B49" s="63"/>
      <c r="C49" s="132"/>
      <c r="D49" s="131"/>
      <c r="E49" s="131"/>
      <c r="F49" s="131"/>
      <c r="G49" s="131"/>
      <c r="H49" s="131"/>
      <c r="I49" s="131"/>
      <c r="J49" s="131"/>
      <c r="K49" s="131"/>
      <c r="L49" s="131"/>
      <c r="M49" s="131"/>
      <c r="N49" s="131"/>
      <c r="O49" s="131"/>
      <c r="P49" s="131"/>
      <c r="Q49" s="131"/>
      <c r="R49" s="130"/>
      <c r="S49" s="66" t="s">
        <v>504</v>
      </c>
      <c r="T49" s="65"/>
      <c r="U49" s="57"/>
      <c r="V49" s="57"/>
      <c r="W49" s="57"/>
      <c r="X49" s="57"/>
      <c r="Y49" s="57"/>
      <c r="Z49" s="57"/>
      <c r="AA49" s="57"/>
      <c r="AB49" s="57"/>
      <c r="AC49" s="372" t="s">
        <v>59</v>
      </c>
      <c r="AD49" s="57"/>
      <c r="AE49" s="57"/>
      <c r="AF49" s="57"/>
      <c r="AG49" s="57"/>
      <c r="AH49" s="57"/>
      <c r="AI49" s="57"/>
      <c r="AJ49" s="57"/>
      <c r="AK49" s="57"/>
      <c r="AL49" s="57"/>
      <c r="AM49" s="57"/>
      <c r="AN49" s="57"/>
      <c r="AO49" s="57"/>
      <c r="AP49" s="57"/>
      <c r="AQ49" s="57"/>
      <c r="AR49" s="57"/>
      <c r="AS49" s="57"/>
      <c r="AT49" s="57"/>
      <c r="AU49" s="57"/>
      <c r="AV49" s="57"/>
      <c r="AW49" s="57"/>
      <c r="AX49" s="57"/>
      <c r="AY49" s="57"/>
      <c r="AZ49" s="57"/>
      <c r="BA49" s="57"/>
      <c r="BB49" s="57"/>
      <c r="BC49" s="57"/>
      <c r="BD49" s="57"/>
      <c r="BE49" s="57"/>
      <c r="BF49" s="57"/>
      <c r="BG49" s="57"/>
      <c r="BH49" s="57"/>
      <c r="BI49" s="57"/>
      <c r="BJ49" s="57"/>
      <c r="BK49" s="57"/>
    </row>
    <row r="50" spans="1:63" s="27" customFormat="1" ht="12">
      <c r="A50" s="64"/>
      <c r="B50" s="63"/>
      <c r="C50" s="129" t="s">
        <v>240</v>
      </c>
      <c r="D50" s="128"/>
      <c r="E50" s="128"/>
      <c r="F50" s="128"/>
      <c r="G50" s="128"/>
      <c r="H50" s="128"/>
      <c r="I50" s="128"/>
      <c r="J50" s="128"/>
      <c r="K50" s="128"/>
      <c r="L50" s="128"/>
      <c r="M50" s="128"/>
      <c r="N50" s="128"/>
      <c r="O50" s="128"/>
      <c r="P50" s="128"/>
      <c r="Q50" s="128"/>
      <c r="R50" s="127"/>
      <c r="S50" s="66" t="s">
        <v>748</v>
      </c>
      <c r="T50" s="65"/>
      <c r="U50" s="57"/>
      <c r="V50" s="57"/>
      <c r="W50" s="57"/>
      <c r="X50" s="57"/>
      <c r="Y50" s="57"/>
      <c r="Z50" s="57"/>
      <c r="AA50" s="57"/>
      <c r="AB50" s="57"/>
      <c r="AC50" s="57"/>
      <c r="AD50" s="57"/>
      <c r="AE50" s="57"/>
      <c r="AF50" s="57"/>
      <c r="AG50" s="57"/>
      <c r="AH50" s="57"/>
      <c r="AI50" s="57"/>
      <c r="AJ50" s="57"/>
      <c r="AK50" s="57"/>
      <c r="AL50" s="57"/>
      <c r="AM50" s="57"/>
      <c r="AN50" s="57"/>
      <c r="AO50" s="57"/>
      <c r="AP50" s="57"/>
      <c r="AQ50" s="57"/>
      <c r="AR50" s="57"/>
      <c r="AS50" s="57"/>
      <c r="AT50" s="57"/>
      <c r="AU50" s="57"/>
      <c r="AV50" s="57"/>
      <c r="AW50" s="57"/>
      <c r="AX50" s="57"/>
      <c r="AY50" s="57"/>
      <c r="AZ50" s="57"/>
      <c r="BA50" s="57"/>
      <c r="BB50" s="57"/>
      <c r="BC50" s="57"/>
      <c r="BD50" s="57"/>
      <c r="BE50" s="57"/>
      <c r="BF50" s="57"/>
      <c r="BG50" s="57"/>
      <c r="BH50" s="57"/>
      <c r="BI50" s="57"/>
      <c r="BJ50" s="57"/>
      <c r="BK50" s="372" t="s">
        <v>59</v>
      </c>
    </row>
    <row r="51" spans="1:63" s="27" customFormat="1" ht="12">
      <c r="A51" s="64"/>
      <c r="B51" s="63"/>
      <c r="C51" s="126"/>
      <c r="D51" s="125"/>
      <c r="E51" s="125"/>
      <c r="F51" s="125"/>
      <c r="G51" s="125"/>
      <c r="H51" s="125"/>
      <c r="I51" s="125"/>
      <c r="J51" s="125"/>
      <c r="K51" s="125"/>
      <c r="L51" s="125"/>
      <c r="M51" s="125"/>
      <c r="N51" s="125"/>
      <c r="O51" s="125"/>
      <c r="P51" s="125"/>
      <c r="Q51" s="125"/>
      <c r="R51" s="124"/>
      <c r="S51" s="66" t="s">
        <v>747</v>
      </c>
      <c r="T51" s="65"/>
      <c r="U51" s="57"/>
      <c r="V51" s="57"/>
      <c r="W51" s="57"/>
      <c r="X51" s="57"/>
      <c r="Y51" s="57"/>
      <c r="Z51" s="57"/>
      <c r="AA51" s="57"/>
      <c r="AB51" s="57"/>
      <c r="AC51" s="57"/>
      <c r="AD51" s="372" t="s">
        <v>59</v>
      </c>
      <c r="AE51" s="57"/>
      <c r="AF51" s="57"/>
      <c r="AG51" s="57"/>
      <c r="AH51" s="57"/>
      <c r="AI51" s="57"/>
      <c r="AJ51" s="57"/>
      <c r="AK51" s="57"/>
      <c r="AL51" s="57"/>
      <c r="AM51" s="57"/>
      <c r="AN51" s="57"/>
      <c r="AO51" s="57"/>
      <c r="AP51" s="57"/>
      <c r="AQ51" s="57"/>
      <c r="AR51" s="57"/>
      <c r="AS51" s="57"/>
      <c r="AT51" s="57"/>
      <c r="AU51" s="57"/>
      <c r="AV51" s="57"/>
      <c r="AW51" s="57"/>
      <c r="AX51" s="57"/>
      <c r="AY51" s="57"/>
      <c r="AZ51" s="57"/>
      <c r="BA51" s="57"/>
      <c r="BB51" s="57"/>
      <c r="BC51" s="57"/>
      <c r="BD51" s="57"/>
      <c r="BE51" s="57"/>
      <c r="BF51" s="57"/>
      <c r="BG51" s="57"/>
      <c r="BH51" s="57"/>
      <c r="BI51" s="57"/>
      <c r="BJ51" s="57"/>
      <c r="BK51" s="57"/>
    </row>
    <row r="52" spans="1:63" s="27" customFormat="1" ht="12">
      <c r="A52" s="64"/>
      <c r="B52" s="63"/>
      <c r="C52" s="126"/>
      <c r="D52" s="125"/>
      <c r="E52" s="125"/>
      <c r="F52" s="125"/>
      <c r="G52" s="125"/>
      <c r="H52" s="125"/>
      <c r="I52" s="125"/>
      <c r="J52" s="125"/>
      <c r="K52" s="125"/>
      <c r="L52" s="125"/>
      <c r="M52" s="125"/>
      <c r="N52" s="125"/>
      <c r="O52" s="125"/>
      <c r="P52" s="125"/>
      <c r="Q52" s="125"/>
      <c r="R52" s="124"/>
      <c r="S52" s="66" t="s">
        <v>501</v>
      </c>
      <c r="T52" s="65"/>
      <c r="U52" s="57"/>
      <c r="V52" s="57"/>
      <c r="W52" s="57"/>
      <c r="X52" s="57"/>
      <c r="Y52" s="57"/>
      <c r="Z52" s="57"/>
      <c r="AA52" s="57"/>
      <c r="AB52" s="57"/>
      <c r="AC52" s="57"/>
      <c r="AD52" s="57"/>
      <c r="AE52" s="57"/>
      <c r="AF52" s="57"/>
      <c r="AG52" s="57"/>
      <c r="AH52" s="57"/>
      <c r="AI52" s="57"/>
      <c r="AJ52" s="57"/>
      <c r="AK52" s="57"/>
      <c r="AL52" s="57"/>
      <c r="AM52" s="57"/>
      <c r="AN52" s="57"/>
      <c r="AO52" s="57"/>
      <c r="AP52" s="57"/>
      <c r="AQ52" s="57"/>
      <c r="AR52" s="57"/>
      <c r="AS52" s="57"/>
      <c r="AT52" s="57"/>
      <c r="AU52" s="57"/>
      <c r="AV52" s="57"/>
      <c r="AW52" s="57"/>
      <c r="AX52" s="57"/>
      <c r="AY52" s="57"/>
      <c r="AZ52" s="57"/>
      <c r="BA52" s="57"/>
      <c r="BB52" s="57"/>
      <c r="BC52" s="57"/>
      <c r="BD52" s="57"/>
      <c r="BE52" s="57"/>
      <c r="BF52" s="57"/>
      <c r="BG52" s="57"/>
      <c r="BH52" s="57"/>
      <c r="BI52" s="57"/>
      <c r="BJ52" s="57"/>
      <c r="BK52" s="372" t="s">
        <v>59</v>
      </c>
    </row>
    <row r="53" spans="1:63" s="27" customFormat="1" ht="12">
      <c r="A53" s="64"/>
      <c r="B53" s="63"/>
      <c r="C53" s="126"/>
      <c r="D53" s="125"/>
      <c r="E53" s="125"/>
      <c r="F53" s="125"/>
      <c r="G53" s="125"/>
      <c r="H53" s="125"/>
      <c r="I53" s="125"/>
      <c r="J53" s="125"/>
      <c r="K53" s="125"/>
      <c r="L53" s="125"/>
      <c r="M53" s="125"/>
      <c r="N53" s="125"/>
      <c r="O53" s="125"/>
      <c r="P53" s="125"/>
      <c r="Q53" s="125"/>
      <c r="R53" s="124"/>
      <c r="S53" s="66" t="s">
        <v>502</v>
      </c>
      <c r="T53" s="65"/>
      <c r="U53" s="57"/>
      <c r="V53" s="57"/>
      <c r="W53" s="57"/>
      <c r="X53" s="57"/>
      <c r="Y53" s="57"/>
      <c r="Z53" s="57"/>
      <c r="AA53" s="57"/>
      <c r="AB53" s="57"/>
      <c r="AC53" s="57"/>
      <c r="AD53" s="57"/>
      <c r="AE53" s="372" t="s">
        <v>59</v>
      </c>
      <c r="AF53" s="57"/>
      <c r="AG53" s="57"/>
      <c r="AH53" s="57"/>
      <c r="AI53" s="57"/>
      <c r="AJ53" s="57"/>
      <c r="AK53" s="57"/>
      <c r="AL53" s="57"/>
      <c r="AM53" s="57"/>
      <c r="AN53" s="57"/>
      <c r="AO53" s="57"/>
      <c r="AP53" s="57"/>
      <c r="AQ53" s="57"/>
      <c r="AR53" s="57"/>
      <c r="AS53" s="57"/>
      <c r="AT53" s="57"/>
      <c r="AU53" s="57"/>
      <c r="AV53" s="57"/>
      <c r="AW53" s="57"/>
      <c r="AX53" s="57"/>
      <c r="AY53" s="57"/>
      <c r="AZ53" s="57"/>
      <c r="BA53" s="57"/>
      <c r="BB53" s="57"/>
      <c r="BC53" s="57"/>
      <c r="BD53" s="57"/>
      <c r="BE53" s="57"/>
      <c r="BF53" s="57"/>
      <c r="BG53" s="57"/>
      <c r="BH53" s="57"/>
      <c r="BI53" s="57"/>
      <c r="BJ53" s="57"/>
      <c r="BK53" s="57"/>
    </row>
    <row r="54" spans="1:63" s="27" customFormat="1" ht="12">
      <c r="A54" s="64"/>
      <c r="B54" s="63"/>
      <c r="C54" s="126"/>
      <c r="D54" s="125"/>
      <c r="E54" s="125"/>
      <c r="F54" s="125"/>
      <c r="G54" s="125"/>
      <c r="H54" s="125"/>
      <c r="I54" s="125"/>
      <c r="J54" s="125"/>
      <c r="K54" s="125"/>
      <c r="L54" s="125"/>
      <c r="M54" s="125"/>
      <c r="N54" s="125"/>
      <c r="O54" s="125"/>
      <c r="P54" s="125"/>
      <c r="Q54" s="125"/>
      <c r="R54" s="124"/>
      <c r="S54" s="66" t="s">
        <v>503</v>
      </c>
      <c r="T54" s="65"/>
      <c r="U54" s="57"/>
      <c r="V54" s="57"/>
      <c r="W54" s="57"/>
      <c r="X54" s="57"/>
      <c r="Y54" s="57"/>
      <c r="Z54" s="57"/>
      <c r="AA54" s="57"/>
      <c r="AB54" s="57"/>
      <c r="AC54" s="57"/>
      <c r="AD54" s="57"/>
      <c r="AE54" s="57"/>
      <c r="AF54" s="57"/>
      <c r="AG54" s="57"/>
      <c r="AH54" s="57"/>
      <c r="AI54" s="57"/>
      <c r="AJ54" s="57"/>
      <c r="AK54" s="57"/>
      <c r="AL54" s="57"/>
      <c r="AM54" s="57"/>
      <c r="AN54" s="57"/>
      <c r="AO54" s="57"/>
      <c r="AP54" s="57"/>
      <c r="AQ54" s="57"/>
      <c r="AR54" s="57"/>
      <c r="AS54" s="57"/>
      <c r="AT54" s="57"/>
      <c r="AU54" s="57"/>
      <c r="AV54" s="57"/>
      <c r="AW54" s="57"/>
      <c r="AX54" s="57"/>
      <c r="AY54" s="57"/>
      <c r="AZ54" s="57"/>
      <c r="BA54" s="57"/>
      <c r="BB54" s="57"/>
      <c r="BC54" s="57"/>
      <c r="BD54" s="57"/>
      <c r="BE54" s="57"/>
      <c r="BF54" s="57"/>
      <c r="BG54" s="57"/>
      <c r="BH54" s="57"/>
      <c r="BI54" s="57"/>
      <c r="BJ54" s="57"/>
      <c r="BK54" s="372" t="s">
        <v>59</v>
      </c>
    </row>
    <row r="55" spans="1:63" s="27" customFormat="1" ht="12">
      <c r="A55" s="64"/>
      <c r="B55" s="63"/>
      <c r="C55" s="132"/>
      <c r="D55" s="131"/>
      <c r="E55" s="131"/>
      <c r="F55" s="131"/>
      <c r="G55" s="131"/>
      <c r="H55" s="131"/>
      <c r="I55" s="131"/>
      <c r="J55" s="131"/>
      <c r="K55" s="131"/>
      <c r="L55" s="131"/>
      <c r="M55" s="131"/>
      <c r="N55" s="131"/>
      <c r="O55" s="131"/>
      <c r="P55" s="131"/>
      <c r="Q55" s="131"/>
      <c r="R55" s="130"/>
      <c r="S55" s="66" t="s">
        <v>504</v>
      </c>
      <c r="T55" s="65"/>
      <c r="U55" s="57"/>
      <c r="V55" s="57"/>
      <c r="W55" s="57"/>
      <c r="X55" s="57"/>
      <c r="Y55" s="57"/>
      <c r="Z55" s="57"/>
      <c r="AA55" s="57"/>
      <c r="AB55" s="57"/>
      <c r="AC55" s="57"/>
      <c r="AD55" s="57"/>
      <c r="AE55" s="57"/>
      <c r="AF55" s="372" t="s">
        <v>59</v>
      </c>
      <c r="AG55" s="57"/>
      <c r="AH55" s="57"/>
      <c r="AI55" s="57"/>
      <c r="AJ55" s="57"/>
      <c r="AK55" s="57"/>
      <c r="AL55" s="57"/>
      <c r="AM55" s="57"/>
      <c r="AN55" s="57"/>
      <c r="AO55" s="57"/>
      <c r="AP55" s="57"/>
      <c r="AQ55" s="57"/>
      <c r="AR55" s="57"/>
      <c r="AS55" s="57"/>
      <c r="AT55" s="57"/>
      <c r="AU55" s="57"/>
      <c r="AV55" s="57"/>
      <c r="AW55" s="57"/>
      <c r="AX55" s="57"/>
      <c r="AY55" s="57"/>
      <c r="AZ55" s="57"/>
      <c r="BA55" s="57"/>
      <c r="BB55" s="57"/>
      <c r="BC55" s="57"/>
      <c r="BD55" s="57"/>
      <c r="BE55" s="57"/>
      <c r="BF55" s="57"/>
      <c r="BG55" s="57"/>
      <c r="BH55" s="57"/>
      <c r="BI55" s="57"/>
      <c r="BJ55" s="57"/>
      <c r="BK55" s="57"/>
    </row>
    <row r="56" spans="1:63" s="27" customFormat="1" ht="12">
      <c r="A56" s="64"/>
      <c r="B56" s="63"/>
      <c r="C56" s="129" t="s">
        <v>239</v>
      </c>
      <c r="D56" s="128"/>
      <c r="E56" s="128"/>
      <c r="F56" s="128"/>
      <c r="G56" s="128"/>
      <c r="H56" s="128"/>
      <c r="I56" s="128"/>
      <c r="J56" s="128"/>
      <c r="K56" s="128"/>
      <c r="L56" s="128"/>
      <c r="M56" s="128"/>
      <c r="N56" s="128"/>
      <c r="O56" s="128"/>
      <c r="P56" s="128"/>
      <c r="Q56" s="128"/>
      <c r="R56" s="127"/>
      <c r="S56" s="66" t="s">
        <v>748</v>
      </c>
      <c r="T56" s="65"/>
      <c r="U56" s="57"/>
      <c r="V56" s="57"/>
      <c r="W56" s="57"/>
      <c r="X56" s="57"/>
      <c r="Y56" s="57"/>
      <c r="Z56" s="57"/>
      <c r="AA56" s="57"/>
      <c r="AB56" s="57"/>
      <c r="AC56" s="57"/>
      <c r="AD56" s="57"/>
      <c r="AE56" s="57"/>
      <c r="AF56" s="57"/>
      <c r="AG56" s="57"/>
      <c r="AH56" s="57"/>
      <c r="AI56" s="57"/>
      <c r="AJ56" s="57"/>
      <c r="AK56" s="57"/>
      <c r="AL56" s="57"/>
      <c r="AM56" s="57"/>
      <c r="AN56" s="57"/>
      <c r="AO56" s="57"/>
      <c r="AP56" s="57"/>
      <c r="AQ56" s="57"/>
      <c r="AR56" s="57"/>
      <c r="AS56" s="57"/>
      <c r="AT56" s="57"/>
      <c r="AU56" s="57"/>
      <c r="AV56" s="57"/>
      <c r="AW56" s="57"/>
      <c r="AX56" s="57"/>
      <c r="AY56" s="57"/>
      <c r="AZ56" s="57"/>
      <c r="BA56" s="57"/>
      <c r="BB56" s="57"/>
      <c r="BC56" s="57"/>
      <c r="BD56" s="57"/>
      <c r="BE56" s="57"/>
      <c r="BF56" s="57"/>
      <c r="BG56" s="57"/>
      <c r="BH56" s="57"/>
      <c r="BI56" s="57"/>
      <c r="BJ56" s="57"/>
      <c r="BK56" s="372" t="s">
        <v>59</v>
      </c>
    </row>
    <row r="57" spans="1:63" s="27" customFormat="1" ht="12">
      <c r="A57" s="64"/>
      <c r="B57" s="63"/>
      <c r="C57" s="126"/>
      <c r="D57" s="125"/>
      <c r="E57" s="125"/>
      <c r="F57" s="125"/>
      <c r="G57" s="125"/>
      <c r="H57" s="125"/>
      <c r="I57" s="125"/>
      <c r="J57" s="125"/>
      <c r="K57" s="125"/>
      <c r="L57" s="125"/>
      <c r="M57" s="125"/>
      <c r="N57" s="125"/>
      <c r="O57" s="125"/>
      <c r="P57" s="125"/>
      <c r="Q57" s="125"/>
      <c r="R57" s="124"/>
      <c r="S57" s="66" t="s">
        <v>747</v>
      </c>
      <c r="T57" s="65"/>
      <c r="U57" s="57"/>
      <c r="V57" s="57"/>
      <c r="W57" s="57"/>
      <c r="X57" s="57"/>
      <c r="Y57" s="57"/>
      <c r="Z57" s="57"/>
      <c r="AA57" s="57"/>
      <c r="AB57" s="57"/>
      <c r="AC57" s="57"/>
      <c r="AD57" s="57"/>
      <c r="AE57" s="57"/>
      <c r="AF57" s="57"/>
      <c r="AG57" s="372" t="s">
        <v>59</v>
      </c>
      <c r="AH57" s="57"/>
      <c r="AI57" s="57"/>
      <c r="AJ57" s="57"/>
      <c r="AK57" s="57"/>
      <c r="AL57" s="57"/>
      <c r="AM57" s="57"/>
      <c r="AN57" s="57"/>
      <c r="AO57" s="57"/>
      <c r="AP57" s="57"/>
      <c r="AQ57" s="57"/>
      <c r="AR57" s="57"/>
      <c r="AS57" s="57"/>
      <c r="AT57" s="57"/>
      <c r="AU57" s="57"/>
      <c r="AV57" s="57"/>
      <c r="AW57" s="57"/>
      <c r="AX57" s="57"/>
      <c r="AY57" s="57"/>
      <c r="AZ57" s="57"/>
      <c r="BA57" s="57"/>
      <c r="BB57" s="57"/>
      <c r="BC57" s="57"/>
      <c r="BD57" s="57"/>
      <c r="BE57" s="57"/>
      <c r="BF57" s="57"/>
      <c r="BG57" s="57"/>
      <c r="BH57" s="57"/>
      <c r="BI57" s="57"/>
      <c r="BJ57" s="57"/>
      <c r="BK57" s="57"/>
    </row>
    <row r="58" spans="1:63" s="27" customFormat="1" ht="12">
      <c r="A58" s="64"/>
      <c r="B58" s="63"/>
      <c r="C58" s="126"/>
      <c r="D58" s="125"/>
      <c r="E58" s="125"/>
      <c r="F58" s="125"/>
      <c r="G58" s="125"/>
      <c r="H58" s="125"/>
      <c r="I58" s="125"/>
      <c r="J58" s="125"/>
      <c r="K58" s="125"/>
      <c r="L58" s="125"/>
      <c r="M58" s="125"/>
      <c r="N58" s="125"/>
      <c r="O58" s="125"/>
      <c r="P58" s="125"/>
      <c r="Q58" s="125"/>
      <c r="R58" s="124"/>
      <c r="S58" s="66" t="s">
        <v>501</v>
      </c>
      <c r="T58" s="65"/>
      <c r="U58" s="57"/>
      <c r="V58" s="57"/>
      <c r="W58" s="57"/>
      <c r="X58" s="57"/>
      <c r="Y58" s="57"/>
      <c r="Z58" s="57"/>
      <c r="AA58" s="57"/>
      <c r="AB58" s="57"/>
      <c r="AC58" s="57"/>
      <c r="AD58" s="57"/>
      <c r="AE58" s="57"/>
      <c r="AF58" s="57"/>
      <c r="AG58" s="57"/>
      <c r="AH58" s="57"/>
      <c r="AI58" s="57"/>
      <c r="AJ58" s="57"/>
      <c r="AK58" s="57"/>
      <c r="AL58" s="57"/>
      <c r="AM58" s="57"/>
      <c r="AN58" s="57"/>
      <c r="AO58" s="57"/>
      <c r="AP58" s="57"/>
      <c r="AQ58" s="57"/>
      <c r="AR58" s="57"/>
      <c r="AS58" s="57"/>
      <c r="AT58" s="57"/>
      <c r="AU58" s="57"/>
      <c r="AV58" s="57"/>
      <c r="AW58" s="57"/>
      <c r="AX58" s="57"/>
      <c r="AY58" s="57"/>
      <c r="AZ58" s="57"/>
      <c r="BA58" s="57"/>
      <c r="BB58" s="57"/>
      <c r="BC58" s="57"/>
      <c r="BD58" s="57"/>
      <c r="BE58" s="57"/>
      <c r="BF58" s="57"/>
      <c r="BG58" s="57"/>
      <c r="BH58" s="57"/>
      <c r="BI58" s="57"/>
      <c r="BJ58" s="57"/>
      <c r="BK58" s="372" t="s">
        <v>59</v>
      </c>
    </row>
    <row r="59" spans="1:63" s="27" customFormat="1" ht="12">
      <c r="A59" s="64"/>
      <c r="B59" s="63"/>
      <c r="C59" s="126"/>
      <c r="D59" s="125"/>
      <c r="E59" s="125"/>
      <c r="F59" s="125"/>
      <c r="G59" s="125"/>
      <c r="H59" s="125"/>
      <c r="I59" s="125"/>
      <c r="J59" s="125"/>
      <c r="K59" s="125"/>
      <c r="L59" s="125"/>
      <c r="M59" s="125"/>
      <c r="N59" s="125"/>
      <c r="O59" s="125"/>
      <c r="P59" s="125"/>
      <c r="Q59" s="125"/>
      <c r="R59" s="124"/>
      <c r="S59" s="66" t="s">
        <v>502</v>
      </c>
      <c r="T59" s="65"/>
      <c r="U59" s="57"/>
      <c r="V59" s="57"/>
      <c r="W59" s="57"/>
      <c r="X59" s="57"/>
      <c r="Y59" s="57"/>
      <c r="Z59" s="57"/>
      <c r="AA59" s="57"/>
      <c r="AB59" s="57"/>
      <c r="AC59" s="57"/>
      <c r="AD59" s="57"/>
      <c r="AE59" s="57"/>
      <c r="AF59" s="57"/>
      <c r="AG59" s="57"/>
      <c r="AH59" s="372" t="s">
        <v>59</v>
      </c>
      <c r="AI59" s="57"/>
      <c r="AJ59" s="57"/>
      <c r="AK59" s="57"/>
      <c r="AL59" s="57"/>
      <c r="AM59" s="57"/>
      <c r="AN59" s="57"/>
      <c r="AO59" s="57"/>
      <c r="AP59" s="57"/>
      <c r="AQ59" s="57"/>
      <c r="AR59" s="57"/>
      <c r="AS59" s="57"/>
      <c r="AT59" s="57"/>
      <c r="AU59" s="57"/>
      <c r="AV59" s="57"/>
      <c r="AW59" s="57"/>
      <c r="AX59" s="57"/>
      <c r="AY59" s="57"/>
      <c r="AZ59" s="57"/>
      <c r="BA59" s="57"/>
      <c r="BB59" s="57"/>
      <c r="BC59" s="57"/>
      <c r="BD59" s="57"/>
      <c r="BE59" s="57"/>
      <c r="BF59" s="57"/>
      <c r="BG59" s="57"/>
      <c r="BH59" s="57"/>
      <c r="BI59" s="57"/>
      <c r="BJ59" s="57"/>
      <c r="BK59" s="57"/>
    </row>
    <row r="60" spans="1:63" s="27" customFormat="1" ht="12">
      <c r="A60" s="64"/>
      <c r="B60" s="63"/>
      <c r="C60" s="126"/>
      <c r="D60" s="125"/>
      <c r="E60" s="125"/>
      <c r="F60" s="125"/>
      <c r="G60" s="125"/>
      <c r="H60" s="125"/>
      <c r="I60" s="125"/>
      <c r="J60" s="125"/>
      <c r="K60" s="125"/>
      <c r="L60" s="125"/>
      <c r="M60" s="125"/>
      <c r="N60" s="125"/>
      <c r="O60" s="125"/>
      <c r="P60" s="125"/>
      <c r="Q60" s="125"/>
      <c r="R60" s="124"/>
      <c r="S60" s="66" t="s">
        <v>503</v>
      </c>
      <c r="T60" s="65"/>
      <c r="U60" s="57"/>
      <c r="V60" s="57"/>
      <c r="W60" s="57"/>
      <c r="X60" s="57"/>
      <c r="Y60" s="57"/>
      <c r="Z60" s="57"/>
      <c r="AA60" s="57"/>
      <c r="AB60" s="57"/>
      <c r="AC60" s="57"/>
      <c r="AD60" s="57"/>
      <c r="AE60" s="57"/>
      <c r="AF60" s="57"/>
      <c r="AG60" s="57"/>
      <c r="AH60" s="57"/>
      <c r="AI60" s="57"/>
      <c r="AJ60" s="57"/>
      <c r="AK60" s="57"/>
      <c r="AL60" s="57"/>
      <c r="AM60" s="57"/>
      <c r="AN60" s="57"/>
      <c r="AO60" s="57"/>
      <c r="AP60" s="57"/>
      <c r="AQ60" s="57"/>
      <c r="AR60" s="57"/>
      <c r="AS60" s="57"/>
      <c r="AT60" s="57"/>
      <c r="AU60" s="57"/>
      <c r="AV60" s="57"/>
      <c r="AW60" s="57"/>
      <c r="AX60" s="57"/>
      <c r="AY60" s="57"/>
      <c r="AZ60" s="57"/>
      <c r="BA60" s="57"/>
      <c r="BB60" s="57"/>
      <c r="BC60" s="57"/>
      <c r="BD60" s="57"/>
      <c r="BE60" s="57"/>
      <c r="BF60" s="57"/>
      <c r="BG60" s="57"/>
      <c r="BH60" s="57"/>
      <c r="BI60" s="57"/>
      <c r="BJ60" s="57"/>
      <c r="BK60" s="372" t="s">
        <v>59</v>
      </c>
    </row>
    <row r="61" spans="1:63" s="27" customFormat="1" ht="12">
      <c r="A61" s="64"/>
      <c r="B61" s="63"/>
      <c r="C61" s="132"/>
      <c r="D61" s="131"/>
      <c r="E61" s="131"/>
      <c r="F61" s="131"/>
      <c r="G61" s="131"/>
      <c r="H61" s="131"/>
      <c r="I61" s="131"/>
      <c r="J61" s="131"/>
      <c r="K61" s="131"/>
      <c r="L61" s="131"/>
      <c r="M61" s="131"/>
      <c r="N61" s="131"/>
      <c r="O61" s="131"/>
      <c r="P61" s="131"/>
      <c r="Q61" s="131"/>
      <c r="R61" s="130"/>
      <c r="S61" s="66" t="s">
        <v>504</v>
      </c>
      <c r="T61" s="65"/>
      <c r="U61" s="57"/>
      <c r="V61" s="57"/>
      <c r="W61" s="57"/>
      <c r="X61" s="57"/>
      <c r="Y61" s="57"/>
      <c r="Z61" s="57"/>
      <c r="AA61" s="57"/>
      <c r="AB61" s="57"/>
      <c r="AC61" s="57"/>
      <c r="AD61" s="57"/>
      <c r="AE61" s="57"/>
      <c r="AF61" s="57"/>
      <c r="AG61" s="57"/>
      <c r="AH61" s="57"/>
      <c r="AI61" s="372" t="s">
        <v>59</v>
      </c>
      <c r="AJ61" s="57"/>
      <c r="AK61" s="57"/>
      <c r="AL61" s="57"/>
      <c r="AM61" s="57"/>
      <c r="AN61" s="57"/>
      <c r="AO61" s="57"/>
      <c r="AP61" s="57"/>
      <c r="AQ61" s="57"/>
      <c r="AR61" s="57"/>
      <c r="AS61" s="57"/>
      <c r="AT61" s="57"/>
      <c r="AU61" s="57"/>
      <c r="AV61" s="57"/>
      <c r="AW61" s="57"/>
      <c r="AX61" s="57"/>
      <c r="AY61" s="57"/>
      <c r="AZ61" s="57"/>
      <c r="BA61" s="57"/>
      <c r="BB61" s="57"/>
      <c r="BC61" s="57"/>
      <c r="BD61" s="57"/>
      <c r="BE61" s="57"/>
      <c r="BF61" s="57"/>
      <c r="BG61" s="57"/>
      <c r="BH61" s="57"/>
      <c r="BI61" s="57"/>
      <c r="BJ61" s="57"/>
      <c r="BK61" s="57"/>
    </row>
    <row r="62" spans="1:63" s="27" customFormat="1" ht="12">
      <c r="A62" s="64"/>
      <c r="B62" s="63"/>
      <c r="C62" s="129" t="s">
        <v>238</v>
      </c>
      <c r="D62" s="128"/>
      <c r="E62" s="128"/>
      <c r="F62" s="128"/>
      <c r="G62" s="128"/>
      <c r="H62" s="128"/>
      <c r="I62" s="128"/>
      <c r="J62" s="128"/>
      <c r="K62" s="128"/>
      <c r="L62" s="128"/>
      <c r="M62" s="128"/>
      <c r="N62" s="128"/>
      <c r="O62" s="128"/>
      <c r="P62" s="128"/>
      <c r="Q62" s="128"/>
      <c r="R62" s="127"/>
      <c r="S62" s="66" t="s">
        <v>748</v>
      </c>
      <c r="T62" s="65"/>
      <c r="U62" s="57"/>
      <c r="V62" s="57"/>
      <c r="W62" s="57"/>
      <c r="X62" s="57"/>
      <c r="Y62" s="57"/>
      <c r="Z62" s="57"/>
      <c r="AA62" s="57"/>
      <c r="AB62" s="57"/>
      <c r="AC62" s="57"/>
      <c r="AD62" s="57"/>
      <c r="AE62" s="57"/>
      <c r="AF62" s="57"/>
      <c r="AG62" s="57"/>
      <c r="AH62" s="57"/>
      <c r="AI62" s="57"/>
      <c r="AJ62" s="57"/>
      <c r="AK62" s="57"/>
      <c r="AL62" s="57"/>
      <c r="AM62" s="57"/>
      <c r="AN62" s="57"/>
      <c r="AO62" s="57"/>
      <c r="AP62" s="57"/>
      <c r="AQ62" s="57"/>
      <c r="AR62" s="57"/>
      <c r="AS62" s="57"/>
      <c r="AT62" s="57"/>
      <c r="AU62" s="57"/>
      <c r="AV62" s="57"/>
      <c r="AW62" s="57"/>
      <c r="AX62" s="57"/>
      <c r="AY62" s="57"/>
      <c r="AZ62" s="57"/>
      <c r="BA62" s="57"/>
      <c r="BB62" s="57"/>
      <c r="BC62" s="57"/>
      <c r="BD62" s="57"/>
      <c r="BE62" s="57"/>
      <c r="BF62" s="57"/>
      <c r="BG62" s="57"/>
      <c r="BH62" s="57"/>
      <c r="BI62" s="57"/>
      <c r="BJ62" s="57"/>
      <c r="BK62" s="372" t="s">
        <v>59</v>
      </c>
    </row>
    <row r="63" spans="1:63" s="27" customFormat="1" ht="12">
      <c r="A63" s="64"/>
      <c r="B63" s="63"/>
      <c r="C63" s="126"/>
      <c r="D63" s="125"/>
      <c r="E63" s="125"/>
      <c r="F63" s="125"/>
      <c r="G63" s="125"/>
      <c r="H63" s="125"/>
      <c r="I63" s="125"/>
      <c r="J63" s="125"/>
      <c r="K63" s="125"/>
      <c r="L63" s="125"/>
      <c r="M63" s="125"/>
      <c r="N63" s="125"/>
      <c r="O63" s="125"/>
      <c r="P63" s="125"/>
      <c r="Q63" s="125"/>
      <c r="R63" s="124"/>
      <c r="S63" s="66" t="s">
        <v>747</v>
      </c>
      <c r="T63" s="65"/>
      <c r="U63" s="57"/>
      <c r="V63" s="57"/>
      <c r="W63" s="57"/>
      <c r="X63" s="57"/>
      <c r="Y63" s="57"/>
      <c r="Z63" s="57"/>
      <c r="AA63" s="57"/>
      <c r="AB63" s="57"/>
      <c r="AC63" s="57"/>
      <c r="AD63" s="57"/>
      <c r="AE63" s="57"/>
      <c r="AF63" s="57"/>
      <c r="AG63" s="57"/>
      <c r="AH63" s="57"/>
      <c r="AI63" s="57"/>
      <c r="AJ63" s="372" t="s">
        <v>59</v>
      </c>
      <c r="AK63" s="57"/>
      <c r="AL63" s="57"/>
      <c r="AM63" s="57"/>
      <c r="AN63" s="57"/>
      <c r="AO63" s="57"/>
      <c r="AP63" s="57"/>
      <c r="AQ63" s="57"/>
      <c r="AR63" s="57"/>
      <c r="AS63" s="57"/>
      <c r="AT63" s="57"/>
      <c r="AU63" s="57"/>
      <c r="AV63" s="57"/>
      <c r="AW63" s="57"/>
      <c r="AX63" s="57"/>
      <c r="AY63" s="57"/>
      <c r="AZ63" s="57"/>
      <c r="BA63" s="57"/>
      <c r="BB63" s="57"/>
      <c r="BC63" s="57"/>
      <c r="BD63" s="57"/>
      <c r="BE63" s="57"/>
      <c r="BF63" s="57"/>
      <c r="BG63" s="57"/>
      <c r="BH63" s="57"/>
      <c r="BI63" s="57"/>
      <c r="BJ63" s="57"/>
      <c r="BK63" s="57"/>
    </row>
    <row r="64" spans="1:63" s="27" customFormat="1" ht="12">
      <c r="A64" s="64"/>
      <c r="B64" s="63"/>
      <c r="C64" s="126"/>
      <c r="D64" s="125"/>
      <c r="E64" s="125"/>
      <c r="F64" s="125"/>
      <c r="G64" s="125"/>
      <c r="H64" s="125"/>
      <c r="I64" s="125"/>
      <c r="J64" s="125"/>
      <c r="K64" s="125"/>
      <c r="L64" s="125"/>
      <c r="M64" s="125"/>
      <c r="N64" s="125"/>
      <c r="O64" s="125"/>
      <c r="P64" s="125"/>
      <c r="Q64" s="125"/>
      <c r="R64" s="124"/>
      <c r="S64" s="66" t="s">
        <v>501</v>
      </c>
      <c r="T64" s="65"/>
      <c r="U64" s="57"/>
      <c r="V64" s="57"/>
      <c r="W64" s="57"/>
      <c r="X64" s="57"/>
      <c r="Y64" s="57"/>
      <c r="Z64" s="57"/>
      <c r="AA64" s="57"/>
      <c r="AB64" s="57"/>
      <c r="AC64" s="57"/>
      <c r="AD64" s="57"/>
      <c r="AE64" s="57"/>
      <c r="AF64" s="57"/>
      <c r="AG64" s="57"/>
      <c r="AH64" s="57"/>
      <c r="AI64" s="57"/>
      <c r="AJ64" s="57"/>
      <c r="AK64" s="57"/>
      <c r="AL64" s="57"/>
      <c r="AM64" s="57"/>
      <c r="AN64" s="57"/>
      <c r="AO64" s="57"/>
      <c r="AP64" s="57"/>
      <c r="AQ64" s="57"/>
      <c r="AR64" s="57"/>
      <c r="AS64" s="57"/>
      <c r="AT64" s="57"/>
      <c r="AU64" s="57"/>
      <c r="AV64" s="57"/>
      <c r="AW64" s="57"/>
      <c r="AX64" s="57"/>
      <c r="AY64" s="57"/>
      <c r="AZ64" s="57"/>
      <c r="BA64" s="57"/>
      <c r="BB64" s="57"/>
      <c r="BC64" s="57"/>
      <c r="BD64" s="57"/>
      <c r="BE64" s="57"/>
      <c r="BF64" s="57"/>
      <c r="BG64" s="57"/>
      <c r="BH64" s="57"/>
      <c r="BI64" s="57"/>
      <c r="BJ64" s="57"/>
      <c r="BK64" s="372" t="s">
        <v>59</v>
      </c>
    </row>
    <row r="65" spans="1:63" s="27" customFormat="1" ht="12">
      <c r="A65" s="64"/>
      <c r="B65" s="63"/>
      <c r="C65" s="126"/>
      <c r="D65" s="125"/>
      <c r="E65" s="125"/>
      <c r="F65" s="125"/>
      <c r="G65" s="125"/>
      <c r="H65" s="125"/>
      <c r="I65" s="125"/>
      <c r="J65" s="125"/>
      <c r="K65" s="125"/>
      <c r="L65" s="125"/>
      <c r="M65" s="125"/>
      <c r="N65" s="125"/>
      <c r="O65" s="125"/>
      <c r="P65" s="125"/>
      <c r="Q65" s="125"/>
      <c r="R65" s="124"/>
      <c r="S65" s="66" t="s">
        <v>502</v>
      </c>
      <c r="T65" s="65"/>
      <c r="U65" s="57"/>
      <c r="V65" s="57"/>
      <c r="W65" s="57"/>
      <c r="X65" s="57"/>
      <c r="Y65" s="57"/>
      <c r="Z65" s="57"/>
      <c r="AA65" s="57"/>
      <c r="AB65" s="57"/>
      <c r="AC65" s="57"/>
      <c r="AD65" s="57"/>
      <c r="AE65" s="57"/>
      <c r="AF65" s="57"/>
      <c r="AG65" s="57"/>
      <c r="AH65" s="57"/>
      <c r="AI65" s="57"/>
      <c r="AJ65" s="57"/>
      <c r="AK65" s="372" t="s">
        <v>59</v>
      </c>
      <c r="AL65" s="57"/>
      <c r="AM65" s="57"/>
      <c r="AN65" s="57"/>
      <c r="AO65" s="57"/>
      <c r="AP65" s="57"/>
      <c r="AQ65" s="57"/>
      <c r="AR65" s="57"/>
      <c r="AS65" s="57"/>
      <c r="AT65" s="57"/>
      <c r="AU65" s="57"/>
      <c r="AV65" s="57"/>
      <c r="AW65" s="57"/>
      <c r="AX65" s="57"/>
      <c r="AY65" s="57"/>
      <c r="AZ65" s="57"/>
      <c r="BA65" s="57"/>
      <c r="BB65" s="57"/>
      <c r="BC65" s="57"/>
      <c r="BD65" s="57"/>
      <c r="BE65" s="57"/>
      <c r="BF65" s="57"/>
      <c r="BG65" s="57"/>
      <c r="BH65" s="57"/>
      <c r="BI65" s="57"/>
      <c r="BJ65" s="57"/>
      <c r="BK65" s="57"/>
    </row>
    <row r="66" spans="1:63" s="27" customFormat="1" ht="12">
      <c r="A66" s="64"/>
      <c r="B66" s="63"/>
      <c r="C66" s="126"/>
      <c r="D66" s="125"/>
      <c r="E66" s="125"/>
      <c r="F66" s="125"/>
      <c r="G66" s="125"/>
      <c r="H66" s="125"/>
      <c r="I66" s="125"/>
      <c r="J66" s="125"/>
      <c r="K66" s="125"/>
      <c r="L66" s="125"/>
      <c r="M66" s="125"/>
      <c r="N66" s="125"/>
      <c r="O66" s="125"/>
      <c r="P66" s="125"/>
      <c r="Q66" s="125"/>
      <c r="R66" s="124"/>
      <c r="S66" s="66" t="s">
        <v>503</v>
      </c>
      <c r="T66" s="65"/>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c r="AZ66" s="57"/>
      <c r="BA66" s="57"/>
      <c r="BB66" s="57"/>
      <c r="BC66" s="57"/>
      <c r="BD66" s="57"/>
      <c r="BE66" s="57"/>
      <c r="BF66" s="57"/>
      <c r="BG66" s="57"/>
      <c r="BH66" s="57"/>
      <c r="BI66" s="57"/>
      <c r="BJ66" s="57"/>
      <c r="BK66" s="372" t="s">
        <v>59</v>
      </c>
    </row>
    <row r="67" spans="1:63" s="27" customFormat="1" ht="12">
      <c r="A67" s="64"/>
      <c r="B67" s="63"/>
      <c r="C67" s="132"/>
      <c r="D67" s="131"/>
      <c r="E67" s="131"/>
      <c r="F67" s="131"/>
      <c r="G67" s="131"/>
      <c r="H67" s="131"/>
      <c r="I67" s="131"/>
      <c r="J67" s="131"/>
      <c r="K67" s="131"/>
      <c r="L67" s="131"/>
      <c r="M67" s="131"/>
      <c r="N67" s="131"/>
      <c r="O67" s="131"/>
      <c r="P67" s="131"/>
      <c r="Q67" s="131"/>
      <c r="R67" s="130"/>
      <c r="S67" s="66" t="s">
        <v>504</v>
      </c>
      <c r="T67" s="65"/>
      <c r="U67" s="57"/>
      <c r="V67" s="57"/>
      <c r="W67" s="57"/>
      <c r="X67" s="57"/>
      <c r="Y67" s="57"/>
      <c r="Z67" s="57"/>
      <c r="AA67" s="57"/>
      <c r="AB67" s="57"/>
      <c r="AC67" s="57"/>
      <c r="AD67" s="57"/>
      <c r="AE67" s="57"/>
      <c r="AF67" s="57"/>
      <c r="AG67" s="57"/>
      <c r="AH67" s="57"/>
      <c r="AI67" s="57"/>
      <c r="AJ67" s="57"/>
      <c r="AK67" s="57"/>
      <c r="AL67" s="372" t="s">
        <v>59</v>
      </c>
      <c r="AM67" s="57"/>
      <c r="AN67" s="57"/>
      <c r="AO67" s="57"/>
      <c r="AP67" s="57"/>
      <c r="AQ67" s="57"/>
      <c r="AR67" s="57"/>
      <c r="AS67" s="57"/>
      <c r="AT67" s="57"/>
      <c r="AU67" s="57"/>
      <c r="AV67" s="57"/>
      <c r="AW67" s="57"/>
      <c r="AX67" s="57"/>
      <c r="AY67" s="57"/>
      <c r="AZ67" s="57"/>
      <c r="BA67" s="57"/>
      <c r="BB67" s="57"/>
      <c r="BC67" s="57"/>
      <c r="BD67" s="57"/>
      <c r="BE67" s="57"/>
      <c r="BF67" s="57"/>
      <c r="BG67" s="57"/>
      <c r="BH67" s="57"/>
      <c r="BI67" s="57"/>
      <c r="BJ67" s="57"/>
      <c r="BK67" s="57"/>
    </row>
    <row r="68" spans="1:63" s="27" customFormat="1" ht="12">
      <c r="A68" s="64"/>
      <c r="B68" s="63"/>
      <c r="C68" s="129" t="s">
        <v>237</v>
      </c>
      <c r="D68" s="128"/>
      <c r="E68" s="128"/>
      <c r="F68" s="128"/>
      <c r="G68" s="128"/>
      <c r="H68" s="128"/>
      <c r="I68" s="128"/>
      <c r="J68" s="128"/>
      <c r="K68" s="128"/>
      <c r="L68" s="128"/>
      <c r="M68" s="128"/>
      <c r="N68" s="128"/>
      <c r="O68" s="128"/>
      <c r="P68" s="128"/>
      <c r="Q68" s="128"/>
      <c r="R68" s="127"/>
      <c r="S68" s="66" t="s">
        <v>748</v>
      </c>
      <c r="T68" s="65"/>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c r="AZ68" s="57"/>
      <c r="BA68" s="57"/>
      <c r="BB68" s="57"/>
      <c r="BC68" s="57"/>
      <c r="BD68" s="57"/>
      <c r="BE68" s="57"/>
      <c r="BF68" s="57"/>
      <c r="BG68" s="57"/>
      <c r="BH68" s="57"/>
      <c r="BI68" s="57"/>
      <c r="BJ68" s="57"/>
      <c r="BK68" s="372" t="s">
        <v>59</v>
      </c>
    </row>
    <row r="69" spans="1:63" s="27" customFormat="1" ht="12">
      <c r="A69" s="64"/>
      <c r="B69" s="63"/>
      <c r="C69" s="126"/>
      <c r="D69" s="125"/>
      <c r="E69" s="125"/>
      <c r="F69" s="125"/>
      <c r="G69" s="125"/>
      <c r="H69" s="125"/>
      <c r="I69" s="125"/>
      <c r="J69" s="125"/>
      <c r="K69" s="125"/>
      <c r="L69" s="125"/>
      <c r="M69" s="125"/>
      <c r="N69" s="125"/>
      <c r="O69" s="125"/>
      <c r="P69" s="125"/>
      <c r="Q69" s="125"/>
      <c r="R69" s="124"/>
      <c r="S69" s="66" t="s">
        <v>747</v>
      </c>
      <c r="T69" s="65"/>
      <c r="U69" s="57"/>
      <c r="V69" s="57"/>
      <c r="W69" s="57"/>
      <c r="X69" s="57"/>
      <c r="Y69" s="57"/>
      <c r="Z69" s="57"/>
      <c r="AA69" s="57"/>
      <c r="AB69" s="57"/>
      <c r="AC69" s="57"/>
      <c r="AD69" s="57"/>
      <c r="AE69" s="57"/>
      <c r="AF69" s="57"/>
      <c r="AG69" s="57"/>
      <c r="AH69" s="57"/>
      <c r="AI69" s="57"/>
      <c r="AJ69" s="57"/>
      <c r="AK69" s="57"/>
      <c r="AL69" s="57"/>
      <c r="AM69" s="372" t="s">
        <v>59</v>
      </c>
      <c r="AN69" s="57"/>
      <c r="AO69" s="57"/>
      <c r="AP69" s="57"/>
      <c r="AQ69" s="57"/>
      <c r="AR69" s="57"/>
      <c r="AS69" s="57"/>
      <c r="AT69" s="57"/>
      <c r="AU69" s="57"/>
      <c r="AV69" s="57"/>
      <c r="AW69" s="57"/>
      <c r="AX69" s="57"/>
      <c r="AY69" s="57"/>
      <c r="AZ69" s="57"/>
      <c r="BA69" s="57"/>
      <c r="BB69" s="57"/>
      <c r="BC69" s="57"/>
      <c r="BD69" s="57"/>
      <c r="BE69" s="57"/>
      <c r="BF69" s="57"/>
      <c r="BG69" s="57"/>
      <c r="BH69" s="57"/>
      <c r="BI69" s="57"/>
      <c r="BJ69" s="57"/>
      <c r="BK69" s="57"/>
    </row>
    <row r="70" spans="1:63" s="27" customFormat="1" ht="12">
      <c r="A70" s="64"/>
      <c r="B70" s="63"/>
      <c r="C70" s="126"/>
      <c r="D70" s="125"/>
      <c r="E70" s="125"/>
      <c r="F70" s="125"/>
      <c r="G70" s="125"/>
      <c r="H70" s="125"/>
      <c r="I70" s="125"/>
      <c r="J70" s="125"/>
      <c r="K70" s="125"/>
      <c r="L70" s="125"/>
      <c r="M70" s="125"/>
      <c r="N70" s="125"/>
      <c r="O70" s="125"/>
      <c r="P70" s="125"/>
      <c r="Q70" s="125"/>
      <c r="R70" s="124"/>
      <c r="S70" s="66" t="s">
        <v>501</v>
      </c>
      <c r="T70" s="65"/>
      <c r="U70" s="57"/>
      <c r="V70" s="57"/>
      <c r="W70" s="57"/>
      <c r="X70" s="57"/>
      <c r="Y70" s="57"/>
      <c r="Z70" s="57"/>
      <c r="AA70" s="57"/>
      <c r="AB70" s="57"/>
      <c r="AC70" s="57"/>
      <c r="AD70" s="57"/>
      <c r="AE70" s="57"/>
      <c r="AF70" s="57"/>
      <c r="AG70" s="57"/>
      <c r="AH70" s="57"/>
      <c r="AI70" s="57"/>
      <c r="AJ70" s="57"/>
      <c r="AK70" s="57"/>
      <c r="AL70" s="57"/>
      <c r="AM70" s="57"/>
      <c r="AN70" s="57"/>
      <c r="AO70" s="57"/>
      <c r="AP70" s="57"/>
      <c r="AQ70" s="57"/>
      <c r="AR70" s="57"/>
      <c r="AS70" s="57"/>
      <c r="AT70" s="57"/>
      <c r="AU70" s="57"/>
      <c r="AV70" s="57"/>
      <c r="AW70" s="57"/>
      <c r="AX70" s="57"/>
      <c r="AY70" s="57"/>
      <c r="AZ70" s="57"/>
      <c r="BA70" s="57"/>
      <c r="BB70" s="57"/>
      <c r="BC70" s="57"/>
      <c r="BD70" s="57"/>
      <c r="BE70" s="57"/>
      <c r="BF70" s="57"/>
      <c r="BG70" s="57"/>
      <c r="BH70" s="57"/>
      <c r="BI70" s="57"/>
      <c r="BJ70" s="57"/>
      <c r="BK70" s="372" t="s">
        <v>59</v>
      </c>
    </row>
    <row r="71" spans="1:63" s="27" customFormat="1" ht="12">
      <c r="A71" s="64"/>
      <c r="B71" s="63"/>
      <c r="C71" s="126"/>
      <c r="D71" s="125"/>
      <c r="E71" s="125"/>
      <c r="F71" s="125"/>
      <c r="G71" s="125"/>
      <c r="H71" s="125"/>
      <c r="I71" s="125"/>
      <c r="J71" s="125"/>
      <c r="K71" s="125"/>
      <c r="L71" s="125"/>
      <c r="M71" s="125"/>
      <c r="N71" s="125"/>
      <c r="O71" s="125"/>
      <c r="P71" s="125"/>
      <c r="Q71" s="125"/>
      <c r="R71" s="124"/>
      <c r="S71" s="66" t="s">
        <v>502</v>
      </c>
      <c r="T71" s="65"/>
      <c r="U71" s="57"/>
      <c r="V71" s="57"/>
      <c r="W71" s="57"/>
      <c r="X71" s="57"/>
      <c r="Y71" s="57"/>
      <c r="Z71" s="57"/>
      <c r="AA71" s="57"/>
      <c r="AB71" s="57"/>
      <c r="AC71" s="57"/>
      <c r="AD71" s="57"/>
      <c r="AE71" s="57"/>
      <c r="AF71" s="57"/>
      <c r="AG71" s="57"/>
      <c r="AH71" s="57"/>
      <c r="AI71" s="57"/>
      <c r="AJ71" s="57"/>
      <c r="AK71" s="57"/>
      <c r="AL71" s="57"/>
      <c r="AM71" s="57"/>
      <c r="AN71" s="372" t="s">
        <v>59</v>
      </c>
      <c r="AO71" s="57"/>
      <c r="AP71" s="57"/>
      <c r="AQ71" s="57"/>
      <c r="AR71" s="57"/>
      <c r="AS71" s="57"/>
      <c r="AT71" s="57"/>
      <c r="AU71" s="57"/>
      <c r="AV71" s="57"/>
      <c r="AW71" s="57"/>
      <c r="AX71" s="57"/>
      <c r="AY71" s="57"/>
      <c r="AZ71" s="57"/>
      <c r="BA71" s="57"/>
      <c r="BB71" s="57"/>
      <c r="BC71" s="57"/>
      <c r="BD71" s="57"/>
      <c r="BE71" s="57"/>
      <c r="BF71" s="57"/>
      <c r="BG71" s="57"/>
      <c r="BH71" s="57"/>
      <c r="BI71" s="57"/>
      <c r="BJ71" s="57"/>
      <c r="BK71" s="57"/>
    </row>
    <row r="72" spans="1:63" s="27" customFormat="1" ht="12">
      <c r="A72" s="64"/>
      <c r="B72" s="63"/>
      <c r="C72" s="126"/>
      <c r="D72" s="125"/>
      <c r="E72" s="125"/>
      <c r="F72" s="125"/>
      <c r="G72" s="125"/>
      <c r="H72" s="125"/>
      <c r="I72" s="125"/>
      <c r="J72" s="125"/>
      <c r="K72" s="125"/>
      <c r="L72" s="125"/>
      <c r="M72" s="125"/>
      <c r="N72" s="125"/>
      <c r="O72" s="125"/>
      <c r="P72" s="125"/>
      <c r="Q72" s="125"/>
      <c r="R72" s="124"/>
      <c r="S72" s="66" t="s">
        <v>503</v>
      </c>
      <c r="T72" s="65"/>
      <c r="U72" s="57"/>
      <c r="V72" s="57"/>
      <c r="W72" s="57"/>
      <c r="X72" s="57"/>
      <c r="Y72" s="57"/>
      <c r="Z72" s="57"/>
      <c r="AA72" s="57"/>
      <c r="AB72" s="57"/>
      <c r="AC72" s="57"/>
      <c r="AD72" s="57"/>
      <c r="AE72" s="57"/>
      <c r="AF72" s="57"/>
      <c r="AG72" s="57"/>
      <c r="AH72" s="57"/>
      <c r="AI72" s="57"/>
      <c r="AJ72" s="57"/>
      <c r="AK72" s="57"/>
      <c r="AL72" s="57"/>
      <c r="AM72" s="57"/>
      <c r="AN72" s="57"/>
      <c r="AO72" s="57"/>
      <c r="AP72" s="57"/>
      <c r="AQ72" s="57"/>
      <c r="AR72" s="57"/>
      <c r="AS72" s="57"/>
      <c r="AT72" s="57"/>
      <c r="AU72" s="57"/>
      <c r="AV72" s="57"/>
      <c r="AW72" s="57"/>
      <c r="AX72" s="57"/>
      <c r="AY72" s="57"/>
      <c r="AZ72" s="57"/>
      <c r="BA72" s="57"/>
      <c r="BB72" s="57"/>
      <c r="BC72" s="57"/>
      <c r="BD72" s="57"/>
      <c r="BE72" s="57"/>
      <c r="BF72" s="57"/>
      <c r="BG72" s="57"/>
      <c r="BH72" s="57"/>
      <c r="BI72" s="57"/>
      <c r="BJ72" s="57"/>
      <c r="BK72" s="372" t="s">
        <v>59</v>
      </c>
    </row>
    <row r="73" spans="1:63" s="27" customFormat="1" ht="12">
      <c r="A73" s="64"/>
      <c r="B73" s="63"/>
      <c r="C73" s="132"/>
      <c r="D73" s="131"/>
      <c r="E73" s="131"/>
      <c r="F73" s="131"/>
      <c r="G73" s="131"/>
      <c r="H73" s="131"/>
      <c r="I73" s="131"/>
      <c r="J73" s="131"/>
      <c r="K73" s="131"/>
      <c r="L73" s="131"/>
      <c r="M73" s="131"/>
      <c r="N73" s="131"/>
      <c r="O73" s="131"/>
      <c r="P73" s="131"/>
      <c r="Q73" s="131"/>
      <c r="R73" s="130"/>
      <c r="S73" s="66" t="s">
        <v>504</v>
      </c>
      <c r="T73" s="65"/>
      <c r="U73" s="57"/>
      <c r="V73" s="57"/>
      <c r="W73" s="57"/>
      <c r="X73" s="57"/>
      <c r="Y73" s="57"/>
      <c r="Z73" s="57"/>
      <c r="AA73" s="57"/>
      <c r="AB73" s="57"/>
      <c r="AC73" s="57"/>
      <c r="AD73" s="57"/>
      <c r="AE73" s="57"/>
      <c r="AF73" s="57"/>
      <c r="AG73" s="57"/>
      <c r="AH73" s="57"/>
      <c r="AI73" s="57"/>
      <c r="AJ73" s="57"/>
      <c r="AK73" s="57"/>
      <c r="AL73" s="57"/>
      <c r="AM73" s="57"/>
      <c r="AN73" s="57"/>
      <c r="AO73" s="372" t="s">
        <v>59</v>
      </c>
      <c r="AP73" s="57"/>
      <c r="AQ73" s="57"/>
      <c r="AR73" s="57"/>
      <c r="AS73" s="57"/>
      <c r="AT73" s="57"/>
      <c r="AU73" s="57"/>
      <c r="AV73" s="57"/>
      <c r="AW73" s="57"/>
      <c r="AX73" s="57"/>
      <c r="AY73" s="57"/>
      <c r="AZ73" s="57"/>
      <c r="BA73" s="57"/>
      <c r="BB73" s="57"/>
      <c r="BC73" s="57"/>
      <c r="BD73" s="57"/>
      <c r="BE73" s="57"/>
      <c r="BF73" s="57"/>
      <c r="BG73" s="57"/>
      <c r="BH73" s="57"/>
      <c r="BI73" s="57"/>
      <c r="BJ73" s="57"/>
      <c r="BK73" s="57"/>
    </row>
    <row r="74" spans="1:63" s="27" customFormat="1" ht="12">
      <c r="A74" s="64"/>
      <c r="B74" s="63"/>
      <c r="C74" s="129" t="s">
        <v>236</v>
      </c>
      <c r="D74" s="128"/>
      <c r="E74" s="128"/>
      <c r="F74" s="128"/>
      <c r="G74" s="128"/>
      <c r="H74" s="128"/>
      <c r="I74" s="128"/>
      <c r="J74" s="128"/>
      <c r="K74" s="128"/>
      <c r="L74" s="128"/>
      <c r="M74" s="128"/>
      <c r="N74" s="128"/>
      <c r="O74" s="128"/>
      <c r="P74" s="128"/>
      <c r="Q74" s="128"/>
      <c r="R74" s="127"/>
      <c r="S74" s="66" t="s">
        <v>748</v>
      </c>
      <c r="T74" s="65"/>
      <c r="U74" s="57"/>
      <c r="V74" s="57"/>
      <c r="W74" s="57"/>
      <c r="X74" s="57"/>
      <c r="Y74" s="57"/>
      <c r="Z74" s="57"/>
      <c r="AA74" s="57"/>
      <c r="AB74" s="57"/>
      <c r="AC74" s="57"/>
      <c r="AD74" s="57"/>
      <c r="AE74" s="57"/>
      <c r="AF74" s="57"/>
      <c r="AG74" s="57"/>
      <c r="AH74" s="57"/>
      <c r="AI74" s="57"/>
      <c r="AJ74" s="57"/>
      <c r="AK74" s="57"/>
      <c r="AL74" s="57"/>
      <c r="AM74" s="57"/>
      <c r="AN74" s="57"/>
      <c r="AO74" s="57"/>
      <c r="AP74" s="57"/>
      <c r="AQ74" s="57"/>
      <c r="AR74" s="57"/>
      <c r="AS74" s="57"/>
      <c r="AT74" s="57"/>
      <c r="AU74" s="57"/>
      <c r="AV74" s="57"/>
      <c r="AW74" s="57"/>
      <c r="AX74" s="57"/>
      <c r="AY74" s="57"/>
      <c r="AZ74" s="57"/>
      <c r="BA74" s="57"/>
      <c r="BB74" s="57"/>
      <c r="BC74" s="57"/>
      <c r="BD74" s="57"/>
      <c r="BE74" s="57"/>
      <c r="BF74" s="57"/>
      <c r="BG74" s="57"/>
      <c r="BH74" s="57"/>
      <c r="BI74" s="57"/>
      <c r="BJ74" s="57"/>
      <c r="BK74" s="372" t="s">
        <v>59</v>
      </c>
    </row>
    <row r="75" spans="1:63" s="27" customFormat="1" ht="12">
      <c r="A75" s="64"/>
      <c r="B75" s="63"/>
      <c r="C75" s="126"/>
      <c r="D75" s="125"/>
      <c r="E75" s="125"/>
      <c r="F75" s="125"/>
      <c r="G75" s="125"/>
      <c r="H75" s="125"/>
      <c r="I75" s="125"/>
      <c r="J75" s="125"/>
      <c r="K75" s="125"/>
      <c r="L75" s="125"/>
      <c r="M75" s="125"/>
      <c r="N75" s="125"/>
      <c r="O75" s="125"/>
      <c r="P75" s="125"/>
      <c r="Q75" s="125"/>
      <c r="R75" s="124"/>
      <c r="S75" s="66" t="s">
        <v>747</v>
      </c>
      <c r="T75" s="65"/>
      <c r="U75" s="57"/>
      <c r="V75" s="57"/>
      <c r="W75" s="57"/>
      <c r="X75" s="57"/>
      <c r="Y75" s="57"/>
      <c r="Z75" s="57"/>
      <c r="AA75" s="57"/>
      <c r="AB75" s="57"/>
      <c r="AC75" s="57"/>
      <c r="AD75" s="57"/>
      <c r="AE75" s="57"/>
      <c r="AF75" s="57"/>
      <c r="AG75" s="57"/>
      <c r="AH75" s="57"/>
      <c r="AI75" s="57"/>
      <c r="AJ75" s="57"/>
      <c r="AK75" s="57"/>
      <c r="AL75" s="57"/>
      <c r="AM75" s="57"/>
      <c r="AN75" s="57"/>
      <c r="AO75" s="57"/>
      <c r="AP75" s="372" t="s">
        <v>59</v>
      </c>
      <c r="AQ75" s="57"/>
      <c r="AR75" s="57"/>
      <c r="AS75" s="57"/>
      <c r="AT75" s="57"/>
      <c r="AU75" s="57"/>
      <c r="AV75" s="57"/>
      <c r="AW75" s="57"/>
      <c r="AX75" s="57"/>
      <c r="AY75" s="57"/>
      <c r="AZ75" s="57"/>
      <c r="BA75" s="57"/>
      <c r="BB75" s="57"/>
      <c r="BC75" s="57"/>
      <c r="BD75" s="57"/>
      <c r="BE75" s="57"/>
      <c r="BF75" s="57"/>
      <c r="BG75" s="57"/>
      <c r="BH75" s="57"/>
      <c r="BI75" s="57"/>
      <c r="BJ75" s="57"/>
      <c r="BK75" s="57"/>
    </row>
    <row r="76" spans="1:63" s="27" customFormat="1" ht="12">
      <c r="A76" s="64"/>
      <c r="B76" s="63"/>
      <c r="C76" s="126"/>
      <c r="D76" s="125"/>
      <c r="E76" s="125"/>
      <c r="F76" s="125"/>
      <c r="G76" s="125"/>
      <c r="H76" s="125"/>
      <c r="I76" s="125"/>
      <c r="J76" s="125"/>
      <c r="K76" s="125"/>
      <c r="L76" s="125"/>
      <c r="M76" s="125"/>
      <c r="N76" s="125"/>
      <c r="O76" s="125"/>
      <c r="P76" s="125"/>
      <c r="Q76" s="125"/>
      <c r="R76" s="124"/>
      <c r="S76" s="66" t="s">
        <v>501</v>
      </c>
      <c r="T76" s="65"/>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c r="AU76" s="57"/>
      <c r="AV76" s="57"/>
      <c r="AW76" s="57"/>
      <c r="AX76" s="57"/>
      <c r="AY76" s="57"/>
      <c r="AZ76" s="57"/>
      <c r="BA76" s="57"/>
      <c r="BB76" s="57"/>
      <c r="BC76" s="57"/>
      <c r="BD76" s="57"/>
      <c r="BE76" s="57"/>
      <c r="BF76" s="57"/>
      <c r="BG76" s="57"/>
      <c r="BH76" s="57"/>
      <c r="BI76" s="57"/>
      <c r="BJ76" s="57"/>
      <c r="BK76" s="372" t="s">
        <v>59</v>
      </c>
    </row>
    <row r="77" spans="1:63" s="27" customFormat="1" ht="12">
      <c r="A77" s="64"/>
      <c r="B77" s="63"/>
      <c r="C77" s="126"/>
      <c r="D77" s="125"/>
      <c r="E77" s="125"/>
      <c r="F77" s="125"/>
      <c r="G77" s="125"/>
      <c r="H77" s="125"/>
      <c r="I77" s="125"/>
      <c r="J77" s="125"/>
      <c r="K77" s="125"/>
      <c r="L77" s="125"/>
      <c r="M77" s="125"/>
      <c r="N77" s="125"/>
      <c r="O77" s="125"/>
      <c r="P77" s="125"/>
      <c r="Q77" s="125"/>
      <c r="R77" s="124"/>
      <c r="S77" s="66" t="s">
        <v>502</v>
      </c>
      <c r="T77" s="65"/>
      <c r="U77" s="57"/>
      <c r="V77" s="57"/>
      <c r="W77" s="57"/>
      <c r="X77" s="57"/>
      <c r="Y77" s="57"/>
      <c r="Z77" s="57"/>
      <c r="AA77" s="57"/>
      <c r="AB77" s="57"/>
      <c r="AC77" s="57"/>
      <c r="AD77" s="57"/>
      <c r="AE77" s="57"/>
      <c r="AF77" s="57"/>
      <c r="AG77" s="57"/>
      <c r="AH77" s="57"/>
      <c r="AI77" s="57"/>
      <c r="AJ77" s="57"/>
      <c r="AK77" s="57"/>
      <c r="AL77" s="57"/>
      <c r="AM77" s="57"/>
      <c r="AN77" s="57"/>
      <c r="AO77" s="57"/>
      <c r="AP77" s="57"/>
      <c r="AQ77" s="372" t="s">
        <v>59</v>
      </c>
      <c r="AR77" s="57"/>
      <c r="AS77" s="57"/>
      <c r="AT77" s="57"/>
      <c r="AU77" s="57"/>
      <c r="AV77" s="57"/>
      <c r="AW77" s="57"/>
      <c r="AX77" s="57"/>
      <c r="AY77" s="57"/>
      <c r="AZ77" s="57"/>
      <c r="BA77" s="57"/>
      <c r="BB77" s="57"/>
      <c r="BC77" s="57"/>
      <c r="BD77" s="57"/>
      <c r="BE77" s="57"/>
      <c r="BF77" s="57"/>
      <c r="BG77" s="57"/>
      <c r="BH77" s="57"/>
      <c r="BI77" s="57"/>
      <c r="BJ77" s="57"/>
      <c r="BK77" s="57"/>
    </row>
    <row r="78" spans="1:63" s="27" customFormat="1" ht="12">
      <c r="A78" s="64"/>
      <c r="B78" s="63"/>
      <c r="C78" s="126"/>
      <c r="D78" s="125"/>
      <c r="E78" s="125"/>
      <c r="F78" s="125"/>
      <c r="G78" s="125"/>
      <c r="H78" s="125"/>
      <c r="I78" s="125"/>
      <c r="J78" s="125"/>
      <c r="K78" s="125"/>
      <c r="L78" s="125"/>
      <c r="M78" s="125"/>
      <c r="N78" s="125"/>
      <c r="O78" s="125"/>
      <c r="P78" s="125"/>
      <c r="Q78" s="125"/>
      <c r="R78" s="124"/>
      <c r="S78" s="66" t="s">
        <v>503</v>
      </c>
      <c r="T78" s="65"/>
      <c r="U78" s="57"/>
      <c r="V78" s="57"/>
      <c r="W78" s="57"/>
      <c r="X78" s="57"/>
      <c r="Y78" s="57"/>
      <c r="Z78" s="57"/>
      <c r="AA78" s="57"/>
      <c r="AB78" s="57"/>
      <c r="AC78" s="57"/>
      <c r="AD78" s="57"/>
      <c r="AE78" s="57"/>
      <c r="AF78" s="57"/>
      <c r="AG78" s="57"/>
      <c r="AH78" s="57"/>
      <c r="AI78" s="57"/>
      <c r="AJ78" s="57"/>
      <c r="AK78" s="57"/>
      <c r="AL78" s="57"/>
      <c r="AM78" s="57"/>
      <c r="AN78" s="57"/>
      <c r="AO78" s="57"/>
      <c r="AP78" s="57"/>
      <c r="AQ78" s="57"/>
      <c r="AR78" s="57"/>
      <c r="AS78" s="57"/>
      <c r="AT78" s="57"/>
      <c r="AU78" s="57"/>
      <c r="AV78" s="57"/>
      <c r="AW78" s="57"/>
      <c r="AX78" s="57"/>
      <c r="AY78" s="57"/>
      <c r="AZ78" s="57"/>
      <c r="BA78" s="57"/>
      <c r="BB78" s="57"/>
      <c r="BC78" s="57"/>
      <c r="BD78" s="57"/>
      <c r="BE78" s="57"/>
      <c r="BF78" s="57"/>
      <c r="BG78" s="57"/>
      <c r="BH78" s="57"/>
      <c r="BI78" s="57"/>
      <c r="BJ78" s="57"/>
      <c r="BK78" s="372" t="s">
        <v>59</v>
      </c>
    </row>
    <row r="79" spans="1:63" s="27" customFormat="1" ht="12">
      <c r="A79" s="64"/>
      <c r="B79" s="63"/>
      <c r="C79" s="132"/>
      <c r="D79" s="131"/>
      <c r="E79" s="131"/>
      <c r="F79" s="131"/>
      <c r="G79" s="131"/>
      <c r="H79" s="131"/>
      <c r="I79" s="131"/>
      <c r="J79" s="131"/>
      <c r="K79" s="131"/>
      <c r="L79" s="131"/>
      <c r="M79" s="131"/>
      <c r="N79" s="131"/>
      <c r="O79" s="131"/>
      <c r="P79" s="131"/>
      <c r="Q79" s="131"/>
      <c r="R79" s="130"/>
      <c r="S79" s="66" t="s">
        <v>504</v>
      </c>
      <c r="T79" s="65"/>
      <c r="U79" s="57"/>
      <c r="V79" s="57"/>
      <c r="W79" s="57"/>
      <c r="X79" s="57"/>
      <c r="Y79" s="57"/>
      <c r="Z79" s="57"/>
      <c r="AA79" s="57"/>
      <c r="AB79" s="57"/>
      <c r="AC79" s="57"/>
      <c r="AD79" s="57"/>
      <c r="AE79" s="57"/>
      <c r="AF79" s="57"/>
      <c r="AG79" s="57"/>
      <c r="AH79" s="57"/>
      <c r="AI79" s="57"/>
      <c r="AJ79" s="57"/>
      <c r="AK79" s="57"/>
      <c r="AL79" s="57"/>
      <c r="AM79" s="57"/>
      <c r="AN79" s="57"/>
      <c r="AO79" s="57"/>
      <c r="AP79" s="57"/>
      <c r="AQ79" s="57"/>
      <c r="AR79" s="372" t="s">
        <v>59</v>
      </c>
      <c r="AS79" s="57"/>
      <c r="AT79" s="57"/>
      <c r="AU79" s="57"/>
      <c r="AV79" s="57"/>
      <c r="AW79" s="57"/>
      <c r="AX79" s="57"/>
      <c r="AY79" s="57"/>
      <c r="AZ79" s="57"/>
      <c r="BA79" s="57"/>
      <c r="BB79" s="57"/>
      <c r="BC79" s="57"/>
      <c r="BD79" s="57"/>
      <c r="BE79" s="57"/>
      <c r="BF79" s="57"/>
      <c r="BG79" s="57"/>
      <c r="BH79" s="57"/>
      <c r="BI79" s="57"/>
      <c r="BJ79" s="57"/>
      <c r="BK79" s="57"/>
    </row>
    <row r="80" spans="1:63" s="27" customFormat="1" ht="12">
      <c r="A80" s="64"/>
      <c r="B80" s="63"/>
      <c r="C80" s="129" t="s">
        <v>235</v>
      </c>
      <c r="D80" s="128"/>
      <c r="E80" s="128"/>
      <c r="F80" s="128"/>
      <c r="G80" s="128"/>
      <c r="H80" s="128"/>
      <c r="I80" s="128"/>
      <c r="J80" s="128"/>
      <c r="K80" s="128"/>
      <c r="L80" s="128"/>
      <c r="M80" s="128"/>
      <c r="N80" s="128"/>
      <c r="O80" s="128"/>
      <c r="P80" s="128"/>
      <c r="Q80" s="128"/>
      <c r="R80" s="127"/>
      <c r="S80" s="66" t="s">
        <v>748</v>
      </c>
      <c r="T80" s="65"/>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7"/>
      <c r="AU80" s="57"/>
      <c r="AV80" s="57"/>
      <c r="AW80" s="57"/>
      <c r="AX80" s="57"/>
      <c r="AY80" s="57"/>
      <c r="AZ80" s="57"/>
      <c r="BA80" s="57"/>
      <c r="BB80" s="57"/>
      <c r="BC80" s="57"/>
      <c r="BD80" s="57"/>
      <c r="BE80" s="57"/>
      <c r="BF80" s="57"/>
      <c r="BG80" s="57"/>
      <c r="BH80" s="57"/>
      <c r="BI80" s="57"/>
      <c r="BJ80" s="57"/>
      <c r="BK80" s="372" t="s">
        <v>59</v>
      </c>
    </row>
    <row r="81" spans="1:63" s="27" customFormat="1" ht="12">
      <c r="A81" s="64"/>
      <c r="B81" s="63"/>
      <c r="C81" s="126"/>
      <c r="D81" s="125"/>
      <c r="E81" s="125"/>
      <c r="F81" s="125"/>
      <c r="G81" s="125"/>
      <c r="H81" s="125"/>
      <c r="I81" s="125"/>
      <c r="J81" s="125"/>
      <c r="K81" s="125"/>
      <c r="L81" s="125"/>
      <c r="M81" s="125"/>
      <c r="N81" s="125"/>
      <c r="O81" s="125"/>
      <c r="P81" s="125"/>
      <c r="Q81" s="125"/>
      <c r="R81" s="124"/>
      <c r="S81" s="66" t="s">
        <v>747</v>
      </c>
      <c r="T81" s="65"/>
      <c r="U81" s="57"/>
      <c r="V81" s="57"/>
      <c r="W81" s="57"/>
      <c r="X81" s="57"/>
      <c r="Y81" s="57"/>
      <c r="Z81" s="57"/>
      <c r="AA81" s="57"/>
      <c r="AB81" s="57"/>
      <c r="AC81" s="57"/>
      <c r="AD81" s="57"/>
      <c r="AE81" s="57"/>
      <c r="AF81" s="57"/>
      <c r="AG81" s="57"/>
      <c r="AH81" s="57"/>
      <c r="AI81" s="57"/>
      <c r="AJ81" s="57"/>
      <c r="AK81" s="57"/>
      <c r="AL81" s="57"/>
      <c r="AM81" s="57"/>
      <c r="AN81" s="57"/>
      <c r="AO81" s="57"/>
      <c r="AP81" s="57"/>
      <c r="AQ81" s="57"/>
      <c r="AR81" s="57"/>
      <c r="AS81" s="372" t="s">
        <v>59</v>
      </c>
      <c r="AT81" s="57"/>
      <c r="AU81" s="57"/>
      <c r="AV81" s="57"/>
      <c r="AW81" s="57"/>
      <c r="AX81" s="57"/>
      <c r="AY81" s="57"/>
      <c r="AZ81" s="57"/>
      <c r="BA81" s="57"/>
      <c r="BB81" s="57"/>
      <c r="BC81" s="57"/>
      <c r="BD81" s="57"/>
      <c r="BE81" s="57"/>
      <c r="BF81" s="57"/>
      <c r="BG81" s="57"/>
      <c r="BH81" s="57"/>
      <c r="BI81" s="57"/>
      <c r="BJ81" s="57"/>
      <c r="BK81" s="57"/>
    </row>
    <row r="82" spans="1:63" s="27" customFormat="1" ht="12">
      <c r="A82" s="64"/>
      <c r="B82" s="63"/>
      <c r="C82" s="126"/>
      <c r="D82" s="125"/>
      <c r="E82" s="125"/>
      <c r="F82" s="125"/>
      <c r="G82" s="125"/>
      <c r="H82" s="125"/>
      <c r="I82" s="125"/>
      <c r="J82" s="125"/>
      <c r="K82" s="125"/>
      <c r="L82" s="125"/>
      <c r="M82" s="125"/>
      <c r="N82" s="125"/>
      <c r="O82" s="125"/>
      <c r="P82" s="125"/>
      <c r="Q82" s="125"/>
      <c r="R82" s="124"/>
      <c r="S82" s="66" t="s">
        <v>501</v>
      </c>
      <c r="T82" s="65"/>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7"/>
      <c r="AT82" s="57"/>
      <c r="AU82" s="57"/>
      <c r="AV82" s="57"/>
      <c r="AW82" s="57"/>
      <c r="AX82" s="57"/>
      <c r="AY82" s="57"/>
      <c r="AZ82" s="57"/>
      <c r="BA82" s="57"/>
      <c r="BB82" s="57"/>
      <c r="BC82" s="57"/>
      <c r="BD82" s="57"/>
      <c r="BE82" s="57"/>
      <c r="BF82" s="57"/>
      <c r="BG82" s="57"/>
      <c r="BH82" s="57"/>
      <c r="BI82" s="57"/>
      <c r="BJ82" s="57"/>
      <c r="BK82" s="372" t="s">
        <v>59</v>
      </c>
    </row>
    <row r="83" spans="1:63" s="27" customFormat="1" ht="12">
      <c r="A83" s="64"/>
      <c r="B83" s="63"/>
      <c r="C83" s="126"/>
      <c r="D83" s="125"/>
      <c r="E83" s="125"/>
      <c r="F83" s="125"/>
      <c r="G83" s="125"/>
      <c r="H83" s="125"/>
      <c r="I83" s="125"/>
      <c r="J83" s="125"/>
      <c r="K83" s="125"/>
      <c r="L83" s="125"/>
      <c r="M83" s="125"/>
      <c r="N83" s="125"/>
      <c r="O83" s="125"/>
      <c r="P83" s="125"/>
      <c r="Q83" s="125"/>
      <c r="R83" s="124"/>
      <c r="S83" s="66" t="s">
        <v>502</v>
      </c>
      <c r="T83" s="65"/>
      <c r="U83" s="57"/>
      <c r="V83" s="57"/>
      <c r="W83" s="57"/>
      <c r="X83" s="57"/>
      <c r="Y83" s="57"/>
      <c r="Z83" s="57"/>
      <c r="AA83" s="57"/>
      <c r="AB83" s="57"/>
      <c r="AC83" s="57"/>
      <c r="AD83" s="57"/>
      <c r="AE83" s="57"/>
      <c r="AF83" s="57"/>
      <c r="AG83" s="57"/>
      <c r="AH83" s="57"/>
      <c r="AI83" s="57"/>
      <c r="AJ83" s="57"/>
      <c r="AK83" s="57"/>
      <c r="AL83" s="57"/>
      <c r="AM83" s="57"/>
      <c r="AN83" s="57"/>
      <c r="AO83" s="57"/>
      <c r="AP83" s="57"/>
      <c r="AQ83" s="57"/>
      <c r="AR83" s="57"/>
      <c r="AS83" s="57"/>
      <c r="AT83" s="372" t="s">
        <v>59</v>
      </c>
      <c r="AU83" s="57"/>
      <c r="AV83" s="57"/>
      <c r="AW83" s="57"/>
      <c r="AX83" s="57"/>
      <c r="AY83" s="57"/>
      <c r="AZ83" s="57"/>
      <c r="BA83" s="57"/>
      <c r="BB83" s="57"/>
      <c r="BC83" s="57"/>
      <c r="BD83" s="57"/>
      <c r="BE83" s="57"/>
      <c r="BF83" s="57"/>
      <c r="BG83" s="57"/>
      <c r="BH83" s="57"/>
      <c r="BI83" s="57"/>
      <c r="BJ83" s="57"/>
      <c r="BK83" s="57"/>
    </row>
    <row r="84" spans="1:63" s="27" customFormat="1" ht="12">
      <c r="A84" s="64"/>
      <c r="B84" s="63"/>
      <c r="C84" s="126"/>
      <c r="D84" s="125"/>
      <c r="E84" s="125"/>
      <c r="F84" s="125"/>
      <c r="G84" s="125"/>
      <c r="H84" s="125"/>
      <c r="I84" s="125"/>
      <c r="J84" s="125"/>
      <c r="K84" s="125"/>
      <c r="L84" s="125"/>
      <c r="M84" s="125"/>
      <c r="N84" s="125"/>
      <c r="O84" s="125"/>
      <c r="P84" s="125"/>
      <c r="Q84" s="125"/>
      <c r="R84" s="124"/>
      <c r="S84" s="66" t="s">
        <v>503</v>
      </c>
      <c r="T84" s="65"/>
      <c r="U84" s="57"/>
      <c r="V84" s="57"/>
      <c r="W84" s="57"/>
      <c r="X84" s="57"/>
      <c r="Y84" s="57"/>
      <c r="Z84" s="57"/>
      <c r="AA84" s="57"/>
      <c r="AB84" s="57"/>
      <c r="AC84" s="57"/>
      <c r="AD84" s="57"/>
      <c r="AE84" s="57"/>
      <c r="AF84" s="57"/>
      <c r="AG84" s="57"/>
      <c r="AH84" s="57"/>
      <c r="AI84" s="57"/>
      <c r="AJ84" s="57"/>
      <c r="AK84" s="57"/>
      <c r="AL84" s="57"/>
      <c r="AM84" s="57"/>
      <c r="AN84" s="57"/>
      <c r="AO84" s="57"/>
      <c r="AP84" s="57"/>
      <c r="AQ84" s="57"/>
      <c r="AR84" s="57"/>
      <c r="AS84" s="57"/>
      <c r="AT84" s="57"/>
      <c r="AU84" s="57"/>
      <c r="AV84" s="57"/>
      <c r="AW84" s="57"/>
      <c r="AX84" s="57"/>
      <c r="AY84" s="57"/>
      <c r="AZ84" s="57"/>
      <c r="BA84" s="57"/>
      <c r="BB84" s="57"/>
      <c r="BC84" s="57"/>
      <c r="BD84" s="57"/>
      <c r="BE84" s="57"/>
      <c r="BF84" s="57"/>
      <c r="BG84" s="57"/>
      <c r="BH84" s="57"/>
      <c r="BI84" s="57"/>
      <c r="BJ84" s="57"/>
      <c r="BK84" s="372" t="s">
        <v>59</v>
      </c>
    </row>
    <row r="85" spans="1:63" s="27" customFormat="1" ht="12">
      <c r="A85" s="64"/>
      <c r="B85" s="63"/>
      <c r="C85" s="132"/>
      <c r="D85" s="131"/>
      <c r="E85" s="131"/>
      <c r="F85" s="131"/>
      <c r="G85" s="131"/>
      <c r="H85" s="131"/>
      <c r="I85" s="131"/>
      <c r="J85" s="131"/>
      <c r="K85" s="131"/>
      <c r="L85" s="131"/>
      <c r="M85" s="131"/>
      <c r="N85" s="131"/>
      <c r="O85" s="131"/>
      <c r="P85" s="131"/>
      <c r="Q85" s="131"/>
      <c r="R85" s="130"/>
      <c r="S85" s="66" t="s">
        <v>504</v>
      </c>
      <c r="T85" s="65"/>
      <c r="U85" s="57"/>
      <c r="V85" s="57"/>
      <c r="W85" s="57"/>
      <c r="X85" s="57"/>
      <c r="Y85" s="57"/>
      <c r="Z85" s="57"/>
      <c r="AA85" s="57"/>
      <c r="AB85" s="57"/>
      <c r="AC85" s="57"/>
      <c r="AD85" s="57"/>
      <c r="AE85" s="57"/>
      <c r="AF85" s="57"/>
      <c r="AG85" s="57"/>
      <c r="AH85" s="57"/>
      <c r="AI85" s="57"/>
      <c r="AJ85" s="57"/>
      <c r="AK85" s="57"/>
      <c r="AL85" s="57"/>
      <c r="AM85" s="57"/>
      <c r="AN85" s="57"/>
      <c r="AO85" s="57"/>
      <c r="AP85" s="57"/>
      <c r="AQ85" s="57"/>
      <c r="AR85" s="57"/>
      <c r="AS85" s="57"/>
      <c r="AT85" s="57"/>
      <c r="AU85" s="372" t="s">
        <v>59</v>
      </c>
      <c r="AV85" s="57"/>
      <c r="AW85" s="57"/>
      <c r="AX85" s="57"/>
      <c r="AY85" s="57"/>
      <c r="AZ85" s="57"/>
      <c r="BA85" s="57"/>
      <c r="BB85" s="57"/>
      <c r="BC85" s="57"/>
      <c r="BD85" s="57"/>
      <c r="BE85" s="57"/>
      <c r="BF85" s="57"/>
      <c r="BG85" s="57"/>
      <c r="BH85" s="57"/>
      <c r="BI85" s="57"/>
      <c r="BJ85" s="57"/>
      <c r="BK85" s="57"/>
    </row>
    <row r="86" spans="1:63" s="27" customFormat="1" ht="12">
      <c r="A86" s="64"/>
      <c r="B86" s="63"/>
      <c r="C86" s="129" t="s">
        <v>234</v>
      </c>
      <c r="D86" s="128"/>
      <c r="E86" s="128"/>
      <c r="F86" s="128"/>
      <c r="G86" s="128"/>
      <c r="H86" s="128"/>
      <c r="I86" s="128"/>
      <c r="J86" s="128"/>
      <c r="K86" s="128"/>
      <c r="L86" s="128"/>
      <c r="M86" s="128"/>
      <c r="N86" s="128"/>
      <c r="O86" s="128"/>
      <c r="P86" s="128"/>
      <c r="Q86" s="128"/>
      <c r="R86" s="127"/>
      <c r="S86" s="66" t="s">
        <v>748</v>
      </c>
      <c r="T86" s="65"/>
      <c r="U86" s="57"/>
      <c r="V86" s="57"/>
      <c r="W86" s="57"/>
      <c r="X86" s="57"/>
      <c r="Y86" s="57"/>
      <c r="Z86" s="57"/>
      <c r="AA86" s="57"/>
      <c r="AB86" s="57"/>
      <c r="AC86" s="57"/>
      <c r="AD86" s="57"/>
      <c r="AE86" s="57"/>
      <c r="AF86" s="57"/>
      <c r="AG86" s="57"/>
      <c r="AH86" s="57"/>
      <c r="AI86" s="57"/>
      <c r="AJ86" s="57"/>
      <c r="AK86" s="57"/>
      <c r="AL86" s="57"/>
      <c r="AM86" s="57"/>
      <c r="AN86" s="57"/>
      <c r="AO86" s="57"/>
      <c r="AP86" s="57"/>
      <c r="AQ86" s="57"/>
      <c r="AR86" s="57"/>
      <c r="AS86" s="57"/>
      <c r="AT86" s="57"/>
      <c r="AU86" s="57"/>
      <c r="AV86" s="57"/>
      <c r="AW86" s="57"/>
      <c r="AX86" s="57"/>
      <c r="AY86" s="57"/>
      <c r="AZ86" s="57"/>
      <c r="BA86" s="57"/>
      <c r="BB86" s="57"/>
      <c r="BC86" s="57"/>
      <c r="BD86" s="57"/>
      <c r="BE86" s="57"/>
      <c r="BF86" s="57"/>
      <c r="BG86" s="57"/>
      <c r="BH86" s="57"/>
      <c r="BI86" s="57"/>
      <c r="BJ86" s="57"/>
      <c r="BK86" s="372" t="s">
        <v>59</v>
      </c>
    </row>
    <row r="87" spans="1:63" s="27" customFormat="1" ht="12">
      <c r="A87" s="64"/>
      <c r="B87" s="63"/>
      <c r="C87" s="126"/>
      <c r="D87" s="125"/>
      <c r="E87" s="125"/>
      <c r="F87" s="125"/>
      <c r="G87" s="125"/>
      <c r="H87" s="125"/>
      <c r="I87" s="125"/>
      <c r="J87" s="125"/>
      <c r="K87" s="125"/>
      <c r="L87" s="125"/>
      <c r="M87" s="125"/>
      <c r="N87" s="125"/>
      <c r="O87" s="125"/>
      <c r="P87" s="125"/>
      <c r="Q87" s="125"/>
      <c r="R87" s="124"/>
      <c r="S87" s="66" t="s">
        <v>747</v>
      </c>
      <c r="T87" s="65"/>
      <c r="U87" s="57"/>
      <c r="V87" s="57"/>
      <c r="W87" s="57"/>
      <c r="X87" s="57"/>
      <c r="Y87" s="57"/>
      <c r="Z87" s="57"/>
      <c r="AA87" s="57"/>
      <c r="AB87" s="57"/>
      <c r="AC87" s="57"/>
      <c r="AD87" s="57"/>
      <c r="AE87" s="57"/>
      <c r="AF87" s="57"/>
      <c r="AG87" s="57"/>
      <c r="AH87" s="57"/>
      <c r="AI87" s="57"/>
      <c r="AJ87" s="57"/>
      <c r="AK87" s="57"/>
      <c r="AL87" s="57"/>
      <c r="AM87" s="57"/>
      <c r="AN87" s="57"/>
      <c r="AO87" s="57"/>
      <c r="AP87" s="57"/>
      <c r="AQ87" s="57"/>
      <c r="AR87" s="57"/>
      <c r="AS87" s="57"/>
      <c r="AT87" s="57"/>
      <c r="AU87" s="57"/>
      <c r="AV87" s="372" t="s">
        <v>59</v>
      </c>
      <c r="AW87" s="57"/>
      <c r="AX87" s="57"/>
      <c r="AY87" s="57"/>
      <c r="AZ87" s="57"/>
      <c r="BA87" s="57"/>
      <c r="BB87" s="57"/>
      <c r="BC87" s="57"/>
      <c r="BD87" s="57"/>
      <c r="BE87" s="57"/>
      <c r="BF87" s="57"/>
      <c r="BG87" s="57"/>
      <c r="BH87" s="57"/>
      <c r="BI87" s="57"/>
      <c r="BJ87" s="57"/>
      <c r="BK87" s="57"/>
    </row>
    <row r="88" spans="1:63" s="27" customFormat="1" ht="12">
      <c r="A88" s="64"/>
      <c r="B88" s="63"/>
      <c r="C88" s="126"/>
      <c r="D88" s="125"/>
      <c r="E88" s="125"/>
      <c r="F88" s="125"/>
      <c r="G88" s="125"/>
      <c r="H88" s="125"/>
      <c r="I88" s="125"/>
      <c r="J88" s="125"/>
      <c r="K88" s="125"/>
      <c r="L88" s="125"/>
      <c r="M88" s="125"/>
      <c r="N88" s="125"/>
      <c r="O88" s="125"/>
      <c r="P88" s="125"/>
      <c r="Q88" s="125"/>
      <c r="R88" s="124"/>
      <c r="S88" s="66" t="s">
        <v>501</v>
      </c>
      <c r="T88" s="65"/>
      <c r="U88" s="57"/>
      <c r="V88" s="57"/>
      <c r="W88" s="57"/>
      <c r="X88" s="57"/>
      <c r="Y88" s="57"/>
      <c r="Z88" s="57"/>
      <c r="AA88" s="57"/>
      <c r="AB88" s="57"/>
      <c r="AC88" s="57"/>
      <c r="AD88" s="57"/>
      <c r="AE88" s="57"/>
      <c r="AF88" s="57"/>
      <c r="AG88" s="57"/>
      <c r="AH88" s="57"/>
      <c r="AI88" s="57"/>
      <c r="AJ88" s="57"/>
      <c r="AK88" s="57"/>
      <c r="AL88" s="57"/>
      <c r="AM88" s="57"/>
      <c r="AN88" s="57"/>
      <c r="AO88" s="57"/>
      <c r="AP88" s="57"/>
      <c r="AQ88" s="57"/>
      <c r="AR88" s="57"/>
      <c r="AS88" s="57"/>
      <c r="AT88" s="57"/>
      <c r="AU88" s="57"/>
      <c r="AV88" s="57"/>
      <c r="AW88" s="57"/>
      <c r="AX88" s="57"/>
      <c r="AY88" s="57"/>
      <c r="AZ88" s="57"/>
      <c r="BA88" s="57"/>
      <c r="BB88" s="57"/>
      <c r="BC88" s="57"/>
      <c r="BD88" s="57"/>
      <c r="BE88" s="57"/>
      <c r="BF88" s="57"/>
      <c r="BG88" s="57"/>
      <c r="BH88" s="57"/>
      <c r="BI88" s="57"/>
      <c r="BJ88" s="57"/>
      <c r="BK88" s="372" t="s">
        <v>59</v>
      </c>
    </row>
    <row r="89" spans="1:63" s="27" customFormat="1" ht="12">
      <c r="A89" s="64"/>
      <c r="B89" s="63"/>
      <c r="C89" s="126"/>
      <c r="D89" s="125"/>
      <c r="E89" s="125"/>
      <c r="F89" s="125"/>
      <c r="G89" s="125"/>
      <c r="H89" s="125"/>
      <c r="I89" s="125"/>
      <c r="J89" s="125"/>
      <c r="K89" s="125"/>
      <c r="L89" s="125"/>
      <c r="M89" s="125"/>
      <c r="N89" s="125"/>
      <c r="O89" s="125"/>
      <c r="P89" s="125"/>
      <c r="Q89" s="125"/>
      <c r="R89" s="124"/>
      <c r="S89" s="66" t="s">
        <v>502</v>
      </c>
      <c r="T89" s="65"/>
      <c r="U89" s="57"/>
      <c r="V89" s="57"/>
      <c r="W89" s="57"/>
      <c r="X89" s="57"/>
      <c r="Y89" s="57"/>
      <c r="Z89" s="57"/>
      <c r="AA89" s="57"/>
      <c r="AB89" s="57"/>
      <c r="AC89" s="57"/>
      <c r="AD89" s="57"/>
      <c r="AE89" s="57"/>
      <c r="AF89" s="57"/>
      <c r="AG89" s="57"/>
      <c r="AH89" s="57"/>
      <c r="AI89" s="57"/>
      <c r="AJ89" s="57"/>
      <c r="AK89" s="57"/>
      <c r="AL89" s="57"/>
      <c r="AM89" s="57"/>
      <c r="AN89" s="57"/>
      <c r="AO89" s="57"/>
      <c r="AP89" s="57"/>
      <c r="AQ89" s="57"/>
      <c r="AR89" s="57"/>
      <c r="AS89" s="57"/>
      <c r="AT89" s="57"/>
      <c r="AU89" s="57"/>
      <c r="AV89" s="57"/>
      <c r="AW89" s="372" t="s">
        <v>59</v>
      </c>
      <c r="AX89" s="57"/>
      <c r="AY89" s="57"/>
      <c r="AZ89" s="57"/>
      <c r="BA89" s="57"/>
      <c r="BB89" s="57"/>
      <c r="BC89" s="57"/>
      <c r="BD89" s="57"/>
      <c r="BE89" s="57"/>
      <c r="BF89" s="57"/>
      <c r="BG89" s="57"/>
      <c r="BH89" s="57"/>
      <c r="BI89" s="57"/>
      <c r="BJ89" s="57"/>
      <c r="BK89" s="57"/>
    </row>
    <row r="90" spans="1:63" s="27" customFormat="1" ht="12">
      <c r="A90" s="64"/>
      <c r="B90" s="63"/>
      <c r="C90" s="126"/>
      <c r="D90" s="125"/>
      <c r="E90" s="125"/>
      <c r="F90" s="125"/>
      <c r="G90" s="125"/>
      <c r="H90" s="125"/>
      <c r="I90" s="125"/>
      <c r="J90" s="125"/>
      <c r="K90" s="125"/>
      <c r="L90" s="125"/>
      <c r="M90" s="125"/>
      <c r="N90" s="125"/>
      <c r="O90" s="125"/>
      <c r="P90" s="125"/>
      <c r="Q90" s="125"/>
      <c r="R90" s="124"/>
      <c r="S90" s="66" t="s">
        <v>503</v>
      </c>
      <c r="T90" s="65"/>
      <c r="U90" s="57"/>
      <c r="V90" s="57"/>
      <c r="W90" s="57"/>
      <c r="X90" s="57"/>
      <c r="Y90" s="57"/>
      <c r="Z90" s="57"/>
      <c r="AA90" s="57"/>
      <c r="AB90" s="57"/>
      <c r="AC90" s="57"/>
      <c r="AD90" s="57"/>
      <c r="AE90" s="57"/>
      <c r="AF90" s="57"/>
      <c r="AG90" s="57"/>
      <c r="AH90" s="57"/>
      <c r="AI90" s="57"/>
      <c r="AJ90" s="57"/>
      <c r="AK90" s="57"/>
      <c r="AL90" s="57"/>
      <c r="AM90" s="57"/>
      <c r="AN90" s="57"/>
      <c r="AO90" s="57"/>
      <c r="AP90" s="57"/>
      <c r="AQ90" s="57"/>
      <c r="AR90" s="57"/>
      <c r="AS90" s="57"/>
      <c r="AT90" s="57"/>
      <c r="AU90" s="57"/>
      <c r="AV90" s="57"/>
      <c r="AW90" s="57"/>
      <c r="AX90" s="57"/>
      <c r="AY90" s="57"/>
      <c r="AZ90" s="57"/>
      <c r="BA90" s="57"/>
      <c r="BB90" s="57"/>
      <c r="BC90" s="57"/>
      <c r="BD90" s="57"/>
      <c r="BE90" s="57"/>
      <c r="BF90" s="57"/>
      <c r="BG90" s="57"/>
      <c r="BH90" s="57"/>
      <c r="BI90" s="57"/>
      <c r="BJ90" s="57"/>
      <c r="BK90" s="372" t="s">
        <v>59</v>
      </c>
    </row>
    <row r="91" spans="1:63" s="27" customFormat="1" ht="12">
      <c r="A91" s="64"/>
      <c r="B91" s="63"/>
      <c r="C91" s="132"/>
      <c r="D91" s="131"/>
      <c r="E91" s="131"/>
      <c r="F91" s="131"/>
      <c r="G91" s="131"/>
      <c r="H91" s="131"/>
      <c r="I91" s="131"/>
      <c r="J91" s="131"/>
      <c r="K91" s="131"/>
      <c r="L91" s="131"/>
      <c r="M91" s="131"/>
      <c r="N91" s="131"/>
      <c r="O91" s="131"/>
      <c r="P91" s="131"/>
      <c r="Q91" s="131"/>
      <c r="R91" s="130"/>
      <c r="S91" s="66" t="s">
        <v>504</v>
      </c>
      <c r="T91" s="65"/>
      <c r="U91" s="57"/>
      <c r="V91" s="57"/>
      <c r="W91" s="57"/>
      <c r="X91" s="57"/>
      <c r="Y91" s="57"/>
      <c r="Z91" s="57"/>
      <c r="AA91" s="57"/>
      <c r="AB91" s="57"/>
      <c r="AC91" s="57"/>
      <c r="AD91" s="57"/>
      <c r="AE91" s="57"/>
      <c r="AF91" s="57"/>
      <c r="AG91" s="57"/>
      <c r="AH91" s="57"/>
      <c r="AI91" s="57"/>
      <c r="AJ91" s="57"/>
      <c r="AK91" s="57"/>
      <c r="AL91" s="57"/>
      <c r="AM91" s="57"/>
      <c r="AN91" s="57"/>
      <c r="AO91" s="57"/>
      <c r="AP91" s="57"/>
      <c r="AQ91" s="57"/>
      <c r="AR91" s="57"/>
      <c r="AS91" s="57"/>
      <c r="AT91" s="57"/>
      <c r="AU91" s="57"/>
      <c r="AV91" s="57"/>
      <c r="AW91" s="57"/>
      <c r="AX91" s="372" t="s">
        <v>59</v>
      </c>
      <c r="AY91" s="57"/>
      <c r="AZ91" s="57"/>
      <c r="BA91" s="57"/>
      <c r="BB91" s="57"/>
      <c r="BC91" s="57"/>
      <c r="BD91" s="57"/>
      <c r="BE91" s="57"/>
      <c r="BF91" s="57"/>
      <c r="BG91" s="57"/>
      <c r="BH91" s="57"/>
      <c r="BI91" s="57"/>
      <c r="BJ91" s="57"/>
      <c r="BK91" s="57"/>
    </row>
    <row r="92" spans="1:63" s="27" customFormat="1" ht="12">
      <c r="A92" s="64"/>
      <c r="B92" s="63"/>
      <c r="C92" s="129" t="s">
        <v>233</v>
      </c>
      <c r="D92" s="128"/>
      <c r="E92" s="128"/>
      <c r="F92" s="128"/>
      <c r="G92" s="128"/>
      <c r="H92" s="128"/>
      <c r="I92" s="128"/>
      <c r="J92" s="128"/>
      <c r="K92" s="128"/>
      <c r="L92" s="128"/>
      <c r="M92" s="128"/>
      <c r="N92" s="128"/>
      <c r="O92" s="128"/>
      <c r="P92" s="128"/>
      <c r="Q92" s="128"/>
      <c r="R92" s="127"/>
      <c r="S92" s="66" t="s">
        <v>748</v>
      </c>
      <c r="T92" s="65"/>
      <c r="U92" s="57"/>
      <c r="V92" s="57"/>
      <c r="W92" s="57"/>
      <c r="X92" s="57"/>
      <c r="Y92" s="57"/>
      <c r="Z92" s="57"/>
      <c r="AA92" s="57"/>
      <c r="AB92" s="57"/>
      <c r="AC92" s="57"/>
      <c r="AD92" s="57"/>
      <c r="AE92" s="57"/>
      <c r="AF92" s="57"/>
      <c r="AG92" s="57"/>
      <c r="AH92" s="57"/>
      <c r="AI92" s="57"/>
      <c r="AJ92" s="57"/>
      <c r="AK92" s="57"/>
      <c r="AL92" s="57"/>
      <c r="AM92" s="57"/>
      <c r="AN92" s="57"/>
      <c r="AO92" s="57"/>
      <c r="AP92" s="57"/>
      <c r="AQ92" s="57"/>
      <c r="AR92" s="57"/>
      <c r="AS92" s="57"/>
      <c r="AT92" s="57"/>
      <c r="AU92" s="57"/>
      <c r="AV92" s="57"/>
      <c r="AW92" s="57"/>
      <c r="AX92" s="57"/>
      <c r="AY92" s="57"/>
      <c r="AZ92" s="57"/>
      <c r="BA92" s="57"/>
      <c r="BB92" s="57"/>
      <c r="BC92" s="57"/>
      <c r="BD92" s="57"/>
      <c r="BE92" s="57"/>
      <c r="BF92" s="57"/>
      <c r="BG92" s="57"/>
      <c r="BH92" s="57"/>
      <c r="BI92" s="57"/>
      <c r="BJ92" s="57"/>
      <c r="BK92" s="372" t="s">
        <v>59</v>
      </c>
    </row>
    <row r="93" spans="1:63" s="27" customFormat="1" ht="12">
      <c r="A93" s="64"/>
      <c r="B93" s="63"/>
      <c r="C93" s="126"/>
      <c r="D93" s="125"/>
      <c r="E93" s="125"/>
      <c r="F93" s="125"/>
      <c r="G93" s="125"/>
      <c r="H93" s="125"/>
      <c r="I93" s="125"/>
      <c r="J93" s="125"/>
      <c r="K93" s="125"/>
      <c r="L93" s="125"/>
      <c r="M93" s="125"/>
      <c r="N93" s="125"/>
      <c r="O93" s="125"/>
      <c r="P93" s="125"/>
      <c r="Q93" s="125"/>
      <c r="R93" s="124"/>
      <c r="S93" s="66" t="s">
        <v>747</v>
      </c>
      <c r="T93" s="65"/>
      <c r="U93" s="57"/>
      <c r="V93" s="57"/>
      <c r="W93" s="57"/>
      <c r="X93" s="57"/>
      <c r="Y93" s="57"/>
      <c r="Z93" s="57"/>
      <c r="AA93" s="57"/>
      <c r="AB93" s="57"/>
      <c r="AC93" s="57"/>
      <c r="AD93" s="57"/>
      <c r="AE93" s="57"/>
      <c r="AF93" s="57"/>
      <c r="AG93" s="57"/>
      <c r="AH93" s="57"/>
      <c r="AI93" s="57"/>
      <c r="AJ93" s="57"/>
      <c r="AK93" s="57"/>
      <c r="AL93" s="57"/>
      <c r="AM93" s="57"/>
      <c r="AN93" s="57"/>
      <c r="AO93" s="57"/>
      <c r="AP93" s="57"/>
      <c r="AQ93" s="57"/>
      <c r="AR93" s="57"/>
      <c r="AS93" s="57"/>
      <c r="AT93" s="57"/>
      <c r="AU93" s="57"/>
      <c r="AV93" s="57"/>
      <c r="AW93" s="57"/>
      <c r="AX93" s="57"/>
      <c r="AY93" s="372" t="s">
        <v>59</v>
      </c>
      <c r="AZ93" s="57"/>
      <c r="BA93" s="57"/>
      <c r="BB93" s="57"/>
      <c r="BC93" s="57"/>
      <c r="BD93" s="57"/>
      <c r="BE93" s="57"/>
      <c r="BF93" s="57"/>
      <c r="BG93" s="57"/>
      <c r="BH93" s="57"/>
      <c r="BI93" s="57"/>
      <c r="BJ93" s="57"/>
      <c r="BK93" s="57"/>
    </row>
    <row r="94" spans="1:63" s="27" customFormat="1" ht="12">
      <c r="A94" s="64"/>
      <c r="B94" s="63"/>
      <c r="C94" s="126"/>
      <c r="D94" s="125"/>
      <c r="E94" s="125"/>
      <c r="F94" s="125"/>
      <c r="G94" s="125"/>
      <c r="H94" s="125"/>
      <c r="I94" s="125"/>
      <c r="J94" s="125"/>
      <c r="K94" s="125"/>
      <c r="L94" s="125"/>
      <c r="M94" s="125"/>
      <c r="N94" s="125"/>
      <c r="O94" s="125"/>
      <c r="P94" s="125"/>
      <c r="Q94" s="125"/>
      <c r="R94" s="124"/>
      <c r="S94" s="66" t="s">
        <v>501</v>
      </c>
      <c r="T94" s="65"/>
      <c r="U94" s="57"/>
      <c r="V94" s="57"/>
      <c r="W94" s="57"/>
      <c r="X94" s="57"/>
      <c r="Y94" s="57"/>
      <c r="Z94" s="57"/>
      <c r="AA94" s="57"/>
      <c r="AB94" s="57"/>
      <c r="AC94" s="57"/>
      <c r="AD94" s="57"/>
      <c r="AE94" s="57"/>
      <c r="AF94" s="57"/>
      <c r="AG94" s="57"/>
      <c r="AH94" s="57"/>
      <c r="AI94" s="57"/>
      <c r="AJ94" s="57"/>
      <c r="AK94" s="57"/>
      <c r="AL94" s="57"/>
      <c r="AM94" s="57"/>
      <c r="AN94" s="57"/>
      <c r="AO94" s="57"/>
      <c r="AP94" s="57"/>
      <c r="AQ94" s="57"/>
      <c r="AR94" s="57"/>
      <c r="AS94" s="57"/>
      <c r="AT94" s="57"/>
      <c r="AU94" s="57"/>
      <c r="AV94" s="57"/>
      <c r="AW94" s="57"/>
      <c r="AX94" s="57"/>
      <c r="AY94" s="57"/>
      <c r="AZ94" s="57"/>
      <c r="BA94" s="57"/>
      <c r="BB94" s="57"/>
      <c r="BC94" s="57"/>
      <c r="BD94" s="57"/>
      <c r="BE94" s="57"/>
      <c r="BF94" s="57"/>
      <c r="BG94" s="57"/>
      <c r="BH94" s="57"/>
      <c r="BI94" s="57"/>
      <c r="BJ94" s="57"/>
      <c r="BK94" s="372" t="s">
        <v>59</v>
      </c>
    </row>
    <row r="95" spans="1:63" s="27" customFormat="1" ht="12">
      <c r="A95" s="64"/>
      <c r="B95" s="63"/>
      <c r="C95" s="126"/>
      <c r="D95" s="125"/>
      <c r="E95" s="125"/>
      <c r="F95" s="125"/>
      <c r="G95" s="125"/>
      <c r="H95" s="125"/>
      <c r="I95" s="125"/>
      <c r="J95" s="125"/>
      <c r="K95" s="125"/>
      <c r="L95" s="125"/>
      <c r="M95" s="125"/>
      <c r="N95" s="125"/>
      <c r="O95" s="125"/>
      <c r="P95" s="125"/>
      <c r="Q95" s="125"/>
      <c r="R95" s="124"/>
      <c r="S95" s="66" t="s">
        <v>502</v>
      </c>
      <c r="T95" s="65"/>
      <c r="U95" s="57"/>
      <c r="V95" s="57"/>
      <c r="W95" s="57"/>
      <c r="X95" s="57"/>
      <c r="Y95" s="57"/>
      <c r="Z95" s="57"/>
      <c r="AA95" s="57"/>
      <c r="AB95" s="57"/>
      <c r="AC95" s="57"/>
      <c r="AD95" s="57"/>
      <c r="AE95" s="57"/>
      <c r="AF95" s="57"/>
      <c r="AG95" s="57"/>
      <c r="AH95" s="57"/>
      <c r="AI95" s="57"/>
      <c r="AJ95" s="57"/>
      <c r="AK95" s="57"/>
      <c r="AL95" s="57"/>
      <c r="AM95" s="57"/>
      <c r="AN95" s="57"/>
      <c r="AO95" s="57"/>
      <c r="AP95" s="57"/>
      <c r="AQ95" s="57"/>
      <c r="AR95" s="57"/>
      <c r="AS95" s="57"/>
      <c r="AT95" s="57"/>
      <c r="AU95" s="57"/>
      <c r="AV95" s="57"/>
      <c r="AW95" s="57"/>
      <c r="AX95" s="57"/>
      <c r="AY95" s="57"/>
      <c r="AZ95" s="372" t="s">
        <v>59</v>
      </c>
      <c r="BA95" s="57"/>
      <c r="BB95" s="57"/>
      <c r="BC95" s="57"/>
      <c r="BD95" s="57"/>
      <c r="BE95" s="57"/>
      <c r="BF95" s="57"/>
      <c r="BG95" s="57"/>
      <c r="BH95" s="57"/>
      <c r="BI95" s="57"/>
      <c r="BJ95" s="57"/>
      <c r="BK95" s="57"/>
    </row>
    <row r="96" spans="1:63" s="27" customFormat="1" ht="12">
      <c r="A96" s="64"/>
      <c r="B96" s="63"/>
      <c r="C96" s="126"/>
      <c r="D96" s="125"/>
      <c r="E96" s="125"/>
      <c r="F96" s="125"/>
      <c r="G96" s="125"/>
      <c r="H96" s="125"/>
      <c r="I96" s="125"/>
      <c r="J96" s="125"/>
      <c r="K96" s="125"/>
      <c r="L96" s="125"/>
      <c r="M96" s="125"/>
      <c r="N96" s="125"/>
      <c r="O96" s="125"/>
      <c r="P96" s="125"/>
      <c r="Q96" s="125"/>
      <c r="R96" s="124"/>
      <c r="S96" s="66" t="s">
        <v>503</v>
      </c>
      <c r="T96" s="65"/>
      <c r="U96" s="57"/>
      <c r="V96" s="57"/>
      <c r="W96" s="57"/>
      <c r="X96" s="57"/>
      <c r="Y96" s="57"/>
      <c r="Z96" s="57"/>
      <c r="AA96" s="57"/>
      <c r="AB96" s="57"/>
      <c r="AC96" s="57"/>
      <c r="AD96" s="57"/>
      <c r="AE96" s="57"/>
      <c r="AF96" s="57"/>
      <c r="AG96" s="57"/>
      <c r="AH96" s="57"/>
      <c r="AI96" s="57"/>
      <c r="AJ96" s="57"/>
      <c r="AK96" s="57"/>
      <c r="AL96" s="57"/>
      <c r="AM96" s="57"/>
      <c r="AN96" s="57"/>
      <c r="AO96" s="57"/>
      <c r="AP96" s="57"/>
      <c r="AQ96" s="57"/>
      <c r="AR96" s="57"/>
      <c r="AS96" s="57"/>
      <c r="AT96" s="57"/>
      <c r="AU96" s="57"/>
      <c r="AV96" s="57"/>
      <c r="AW96" s="57"/>
      <c r="AX96" s="57"/>
      <c r="AY96" s="57"/>
      <c r="AZ96" s="57"/>
      <c r="BA96" s="57"/>
      <c r="BB96" s="57"/>
      <c r="BC96" s="57"/>
      <c r="BD96" s="57"/>
      <c r="BE96" s="57"/>
      <c r="BF96" s="57"/>
      <c r="BG96" s="57"/>
      <c r="BH96" s="57"/>
      <c r="BI96" s="57"/>
      <c r="BJ96" s="57"/>
      <c r="BK96" s="372" t="s">
        <v>59</v>
      </c>
    </row>
    <row r="97" spans="1:63" s="27" customFormat="1" ht="12">
      <c r="A97" s="64"/>
      <c r="B97" s="63"/>
      <c r="C97" s="132"/>
      <c r="D97" s="131"/>
      <c r="E97" s="131"/>
      <c r="F97" s="131"/>
      <c r="G97" s="131"/>
      <c r="H97" s="131"/>
      <c r="I97" s="131"/>
      <c r="J97" s="131"/>
      <c r="K97" s="131"/>
      <c r="L97" s="131"/>
      <c r="M97" s="131"/>
      <c r="N97" s="131"/>
      <c r="O97" s="131"/>
      <c r="P97" s="131"/>
      <c r="Q97" s="131"/>
      <c r="R97" s="130"/>
      <c r="S97" s="66" t="s">
        <v>504</v>
      </c>
      <c r="T97" s="65"/>
      <c r="U97" s="57"/>
      <c r="V97" s="57"/>
      <c r="W97" s="57"/>
      <c r="X97" s="57"/>
      <c r="Y97" s="57"/>
      <c r="Z97" s="57"/>
      <c r="AA97" s="57"/>
      <c r="AB97" s="57"/>
      <c r="AC97" s="57"/>
      <c r="AD97" s="57"/>
      <c r="AE97" s="57"/>
      <c r="AF97" s="57"/>
      <c r="AG97" s="57"/>
      <c r="AH97" s="57"/>
      <c r="AI97" s="57"/>
      <c r="AJ97" s="57"/>
      <c r="AK97" s="57"/>
      <c r="AL97" s="57"/>
      <c r="AM97" s="57"/>
      <c r="AN97" s="57"/>
      <c r="AO97" s="57"/>
      <c r="AP97" s="57"/>
      <c r="AQ97" s="57"/>
      <c r="AR97" s="57"/>
      <c r="AS97" s="57"/>
      <c r="AT97" s="57"/>
      <c r="AU97" s="57"/>
      <c r="AV97" s="57"/>
      <c r="AW97" s="57"/>
      <c r="AX97" s="57"/>
      <c r="AY97" s="57"/>
      <c r="AZ97" s="57"/>
      <c r="BA97" s="372" t="s">
        <v>59</v>
      </c>
      <c r="BB97" s="57"/>
      <c r="BC97" s="57"/>
      <c r="BD97" s="57"/>
      <c r="BE97" s="57"/>
      <c r="BF97" s="57"/>
      <c r="BG97" s="57"/>
      <c r="BH97" s="57"/>
      <c r="BI97" s="57"/>
      <c r="BJ97" s="57"/>
      <c r="BK97" s="57"/>
    </row>
    <row r="98" spans="1:63" s="27" customFormat="1" ht="12">
      <c r="A98" s="64"/>
      <c r="B98" s="63"/>
      <c r="C98" s="129" t="s">
        <v>232</v>
      </c>
      <c r="D98" s="128"/>
      <c r="E98" s="128"/>
      <c r="F98" s="128"/>
      <c r="G98" s="128"/>
      <c r="H98" s="128"/>
      <c r="I98" s="128"/>
      <c r="J98" s="128"/>
      <c r="K98" s="128"/>
      <c r="L98" s="128"/>
      <c r="M98" s="128"/>
      <c r="N98" s="128"/>
      <c r="O98" s="128"/>
      <c r="P98" s="128"/>
      <c r="Q98" s="128"/>
      <c r="R98" s="127"/>
      <c r="S98" s="66" t="s">
        <v>748</v>
      </c>
      <c r="T98" s="65"/>
      <c r="U98" s="57"/>
      <c r="V98" s="57"/>
      <c r="W98" s="57"/>
      <c r="X98" s="57"/>
      <c r="Y98" s="57"/>
      <c r="Z98" s="57"/>
      <c r="AA98" s="57"/>
      <c r="AB98" s="57"/>
      <c r="AC98" s="57"/>
      <c r="AD98" s="57"/>
      <c r="AE98" s="57"/>
      <c r="AF98" s="57"/>
      <c r="AG98" s="57"/>
      <c r="AH98" s="57"/>
      <c r="AI98" s="57"/>
      <c r="AJ98" s="57"/>
      <c r="AK98" s="57"/>
      <c r="AL98" s="57"/>
      <c r="AM98" s="57"/>
      <c r="AN98" s="57"/>
      <c r="AO98" s="57"/>
      <c r="AP98" s="57"/>
      <c r="AQ98" s="57"/>
      <c r="AR98" s="57"/>
      <c r="AS98" s="57"/>
      <c r="AT98" s="57"/>
      <c r="AU98" s="57"/>
      <c r="AV98" s="57"/>
      <c r="AW98" s="57"/>
      <c r="AX98" s="57"/>
      <c r="AY98" s="57"/>
      <c r="AZ98" s="57"/>
      <c r="BA98" s="57"/>
      <c r="BB98" s="57"/>
      <c r="BC98" s="57"/>
      <c r="BD98" s="57"/>
      <c r="BE98" s="57"/>
      <c r="BF98" s="57"/>
      <c r="BG98" s="57"/>
      <c r="BH98" s="57"/>
      <c r="BI98" s="57"/>
      <c r="BJ98" s="57"/>
      <c r="BK98" s="372" t="s">
        <v>59</v>
      </c>
    </row>
    <row r="99" spans="1:63" s="27" customFormat="1" ht="12">
      <c r="A99" s="64"/>
      <c r="B99" s="63"/>
      <c r="C99" s="126"/>
      <c r="D99" s="125"/>
      <c r="E99" s="125"/>
      <c r="F99" s="125"/>
      <c r="G99" s="125"/>
      <c r="H99" s="125"/>
      <c r="I99" s="125"/>
      <c r="J99" s="125"/>
      <c r="K99" s="125"/>
      <c r="L99" s="125"/>
      <c r="M99" s="125"/>
      <c r="N99" s="125"/>
      <c r="O99" s="125"/>
      <c r="P99" s="125"/>
      <c r="Q99" s="125"/>
      <c r="R99" s="124"/>
      <c r="S99" s="66" t="s">
        <v>747</v>
      </c>
      <c r="T99" s="65"/>
      <c r="U99" s="57"/>
      <c r="V99" s="57"/>
      <c r="W99" s="57"/>
      <c r="X99" s="57"/>
      <c r="Y99" s="57"/>
      <c r="Z99" s="57"/>
      <c r="AA99" s="57"/>
      <c r="AB99" s="57"/>
      <c r="AC99" s="57"/>
      <c r="AD99" s="57"/>
      <c r="AE99" s="57"/>
      <c r="AF99" s="57"/>
      <c r="AG99" s="57"/>
      <c r="AH99" s="57"/>
      <c r="AI99" s="57"/>
      <c r="AJ99" s="57"/>
      <c r="AK99" s="57"/>
      <c r="AL99" s="57"/>
      <c r="AM99" s="57"/>
      <c r="AN99" s="57"/>
      <c r="AO99" s="57"/>
      <c r="AP99" s="57"/>
      <c r="AQ99" s="57"/>
      <c r="AR99" s="57"/>
      <c r="AS99" s="57"/>
      <c r="AT99" s="57"/>
      <c r="AU99" s="57"/>
      <c r="AV99" s="57"/>
      <c r="AW99" s="57"/>
      <c r="AX99" s="57"/>
      <c r="AY99" s="57"/>
      <c r="AZ99" s="57"/>
      <c r="BA99" s="57"/>
      <c r="BB99" s="372" t="s">
        <v>59</v>
      </c>
      <c r="BC99" s="57"/>
      <c r="BD99" s="57"/>
      <c r="BE99" s="57"/>
      <c r="BF99" s="57"/>
      <c r="BG99" s="57"/>
      <c r="BH99" s="57"/>
      <c r="BI99" s="57"/>
      <c r="BJ99" s="57"/>
      <c r="BK99" s="57"/>
    </row>
    <row r="100" spans="1:63" s="27" customFormat="1" ht="12">
      <c r="A100" s="64"/>
      <c r="B100" s="63"/>
      <c r="C100" s="126"/>
      <c r="D100" s="125"/>
      <c r="E100" s="125"/>
      <c r="F100" s="125"/>
      <c r="G100" s="125"/>
      <c r="H100" s="125"/>
      <c r="I100" s="125"/>
      <c r="J100" s="125"/>
      <c r="K100" s="125"/>
      <c r="L100" s="125"/>
      <c r="M100" s="125"/>
      <c r="N100" s="125"/>
      <c r="O100" s="125"/>
      <c r="P100" s="125"/>
      <c r="Q100" s="125"/>
      <c r="R100" s="124"/>
      <c r="S100" s="66" t="s">
        <v>501</v>
      </c>
      <c r="T100" s="65"/>
      <c r="U100" s="57"/>
      <c r="V100" s="57"/>
      <c r="W100" s="57"/>
      <c r="X100" s="57"/>
      <c r="Y100" s="57"/>
      <c r="Z100" s="57"/>
      <c r="AA100" s="57"/>
      <c r="AB100" s="57"/>
      <c r="AC100" s="57"/>
      <c r="AD100" s="57"/>
      <c r="AE100" s="57"/>
      <c r="AF100" s="57"/>
      <c r="AG100" s="57"/>
      <c r="AH100" s="57"/>
      <c r="AI100" s="57"/>
      <c r="AJ100" s="57"/>
      <c r="AK100" s="57"/>
      <c r="AL100" s="57"/>
      <c r="AM100" s="57"/>
      <c r="AN100" s="57"/>
      <c r="AO100" s="57"/>
      <c r="AP100" s="57"/>
      <c r="AQ100" s="57"/>
      <c r="AR100" s="57"/>
      <c r="AS100" s="57"/>
      <c r="AT100" s="57"/>
      <c r="AU100" s="57"/>
      <c r="AV100" s="57"/>
      <c r="AW100" s="57"/>
      <c r="AX100" s="57"/>
      <c r="AY100" s="57"/>
      <c r="AZ100" s="57"/>
      <c r="BA100" s="57"/>
      <c r="BB100" s="57"/>
      <c r="BC100" s="57"/>
      <c r="BD100" s="57"/>
      <c r="BE100" s="57"/>
      <c r="BF100" s="57"/>
      <c r="BG100" s="57"/>
      <c r="BH100" s="57"/>
      <c r="BI100" s="57"/>
      <c r="BJ100" s="57"/>
      <c r="BK100" s="372" t="s">
        <v>59</v>
      </c>
    </row>
    <row r="101" spans="1:63" s="27" customFormat="1" ht="12">
      <c r="A101" s="64"/>
      <c r="B101" s="63"/>
      <c r="C101" s="126"/>
      <c r="D101" s="125"/>
      <c r="E101" s="125"/>
      <c r="F101" s="125"/>
      <c r="G101" s="125"/>
      <c r="H101" s="125"/>
      <c r="I101" s="125"/>
      <c r="J101" s="125"/>
      <c r="K101" s="125"/>
      <c r="L101" s="125"/>
      <c r="M101" s="125"/>
      <c r="N101" s="125"/>
      <c r="O101" s="125"/>
      <c r="P101" s="125"/>
      <c r="Q101" s="125"/>
      <c r="R101" s="124"/>
      <c r="S101" s="66" t="s">
        <v>502</v>
      </c>
      <c r="T101" s="65"/>
      <c r="U101" s="57"/>
      <c r="V101" s="57"/>
      <c r="W101" s="57"/>
      <c r="X101" s="57"/>
      <c r="Y101" s="57"/>
      <c r="Z101" s="57"/>
      <c r="AA101" s="57"/>
      <c r="AB101" s="57"/>
      <c r="AC101" s="57"/>
      <c r="AD101" s="57"/>
      <c r="AE101" s="57"/>
      <c r="AF101" s="57"/>
      <c r="AG101" s="57"/>
      <c r="AH101" s="57"/>
      <c r="AI101" s="57"/>
      <c r="AJ101" s="57"/>
      <c r="AK101" s="57"/>
      <c r="AL101" s="57"/>
      <c r="AM101" s="57"/>
      <c r="AN101" s="57"/>
      <c r="AO101" s="57"/>
      <c r="AP101" s="57"/>
      <c r="AQ101" s="57"/>
      <c r="AR101" s="57"/>
      <c r="AS101" s="57"/>
      <c r="AT101" s="57"/>
      <c r="AU101" s="57"/>
      <c r="AV101" s="57"/>
      <c r="AW101" s="57"/>
      <c r="AX101" s="57"/>
      <c r="AY101" s="57"/>
      <c r="AZ101" s="57"/>
      <c r="BA101" s="57"/>
      <c r="BB101" s="57"/>
      <c r="BC101" s="372" t="s">
        <v>59</v>
      </c>
      <c r="BD101" s="57"/>
      <c r="BE101" s="57"/>
      <c r="BF101" s="57"/>
      <c r="BG101" s="57"/>
      <c r="BH101" s="57"/>
      <c r="BI101" s="57"/>
      <c r="BJ101" s="57"/>
      <c r="BK101" s="57"/>
    </row>
    <row r="102" spans="1:63" s="27" customFormat="1" ht="12">
      <c r="A102" s="64"/>
      <c r="B102" s="63"/>
      <c r="C102" s="126"/>
      <c r="D102" s="125"/>
      <c r="E102" s="125"/>
      <c r="F102" s="125"/>
      <c r="G102" s="125"/>
      <c r="H102" s="125"/>
      <c r="I102" s="125"/>
      <c r="J102" s="125"/>
      <c r="K102" s="125"/>
      <c r="L102" s="125"/>
      <c r="M102" s="125"/>
      <c r="N102" s="125"/>
      <c r="O102" s="125"/>
      <c r="P102" s="125"/>
      <c r="Q102" s="125"/>
      <c r="R102" s="124"/>
      <c r="S102" s="66" t="s">
        <v>503</v>
      </c>
      <c r="T102" s="65"/>
      <c r="U102" s="57"/>
      <c r="V102" s="57"/>
      <c r="W102" s="57"/>
      <c r="X102" s="57"/>
      <c r="Y102" s="57"/>
      <c r="Z102" s="57"/>
      <c r="AA102" s="57"/>
      <c r="AB102" s="57"/>
      <c r="AC102" s="57"/>
      <c r="AD102" s="57"/>
      <c r="AE102" s="57"/>
      <c r="AF102" s="57"/>
      <c r="AG102" s="57"/>
      <c r="AH102" s="57"/>
      <c r="AI102" s="57"/>
      <c r="AJ102" s="57"/>
      <c r="AK102" s="57"/>
      <c r="AL102" s="57"/>
      <c r="AM102" s="57"/>
      <c r="AN102" s="57"/>
      <c r="AO102" s="57"/>
      <c r="AP102" s="57"/>
      <c r="AQ102" s="57"/>
      <c r="AR102" s="57"/>
      <c r="AS102" s="57"/>
      <c r="AT102" s="57"/>
      <c r="AU102" s="57"/>
      <c r="AV102" s="57"/>
      <c r="AW102" s="57"/>
      <c r="AX102" s="57"/>
      <c r="AY102" s="57"/>
      <c r="AZ102" s="57"/>
      <c r="BA102" s="57"/>
      <c r="BB102" s="57"/>
      <c r="BC102" s="57"/>
      <c r="BD102" s="57"/>
      <c r="BE102" s="57"/>
      <c r="BF102" s="57"/>
      <c r="BG102" s="57"/>
      <c r="BH102" s="57"/>
      <c r="BI102" s="57"/>
      <c r="BJ102" s="57"/>
      <c r="BK102" s="372" t="s">
        <v>59</v>
      </c>
    </row>
    <row r="103" spans="1:63" s="27" customFormat="1" ht="12">
      <c r="A103" s="64"/>
      <c r="B103" s="63"/>
      <c r="C103" s="132"/>
      <c r="D103" s="131"/>
      <c r="E103" s="131"/>
      <c r="F103" s="131"/>
      <c r="G103" s="131"/>
      <c r="H103" s="131"/>
      <c r="I103" s="131"/>
      <c r="J103" s="131"/>
      <c r="K103" s="131"/>
      <c r="L103" s="131"/>
      <c r="M103" s="131"/>
      <c r="N103" s="131"/>
      <c r="O103" s="131"/>
      <c r="P103" s="131"/>
      <c r="Q103" s="131"/>
      <c r="R103" s="130"/>
      <c r="S103" s="66" t="s">
        <v>504</v>
      </c>
      <c r="T103" s="65"/>
      <c r="U103" s="57"/>
      <c r="V103" s="57"/>
      <c r="W103" s="57"/>
      <c r="X103" s="57"/>
      <c r="Y103" s="57"/>
      <c r="Z103" s="57"/>
      <c r="AA103" s="57"/>
      <c r="AB103" s="57"/>
      <c r="AC103" s="57"/>
      <c r="AD103" s="57"/>
      <c r="AE103" s="57"/>
      <c r="AF103" s="57"/>
      <c r="AG103" s="57"/>
      <c r="AH103" s="57"/>
      <c r="AI103" s="57"/>
      <c r="AJ103" s="57"/>
      <c r="AK103" s="57"/>
      <c r="AL103" s="57"/>
      <c r="AM103" s="57"/>
      <c r="AN103" s="57"/>
      <c r="AO103" s="57"/>
      <c r="AP103" s="57"/>
      <c r="AQ103" s="57"/>
      <c r="AR103" s="57"/>
      <c r="AS103" s="57"/>
      <c r="AT103" s="57"/>
      <c r="AU103" s="57"/>
      <c r="AV103" s="57"/>
      <c r="AW103" s="57"/>
      <c r="AX103" s="57"/>
      <c r="AY103" s="57"/>
      <c r="AZ103" s="57"/>
      <c r="BA103" s="57"/>
      <c r="BB103" s="57"/>
      <c r="BC103" s="57"/>
      <c r="BD103" s="372" t="s">
        <v>59</v>
      </c>
      <c r="BE103" s="57"/>
      <c r="BF103" s="57"/>
      <c r="BG103" s="57"/>
      <c r="BH103" s="57"/>
      <c r="BI103" s="57"/>
      <c r="BJ103" s="57"/>
      <c r="BK103" s="57"/>
    </row>
    <row r="104" spans="1:63" s="27" customFormat="1" ht="12">
      <c r="A104" s="64"/>
      <c r="B104" s="63"/>
      <c r="C104" s="129" t="s">
        <v>231</v>
      </c>
      <c r="D104" s="128"/>
      <c r="E104" s="128"/>
      <c r="F104" s="128"/>
      <c r="G104" s="128"/>
      <c r="H104" s="128"/>
      <c r="I104" s="128"/>
      <c r="J104" s="128"/>
      <c r="K104" s="128"/>
      <c r="L104" s="128"/>
      <c r="M104" s="128"/>
      <c r="N104" s="128"/>
      <c r="O104" s="128"/>
      <c r="P104" s="128"/>
      <c r="Q104" s="128"/>
      <c r="R104" s="127"/>
      <c r="S104" s="66" t="s">
        <v>748</v>
      </c>
      <c r="T104" s="65"/>
      <c r="U104" s="57"/>
      <c r="V104" s="57"/>
      <c r="W104" s="57"/>
      <c r="X104" s="57"/>
      <c r="Y104" s="57"/>
      <c r="Z104" s="57"/>
      <c r="AA104" s="57"/>
      <c r="AB104" s="57"/>
      <c r="AC104" s="57"/>
      <c r="AD104" s="57"/>
      <c r="AE104" s="57"/>
      <c r="AF104" s="57"/>
      <c r="AG104" s="57"/>
      <c r="AH104" s="57"/>
      <c r="AI104" s="57"/>
      <c r="AJ104" s="57"/>
      <c r="AK104" s="57"/>
      <c r="AL104" s="57"/>
      <c r="AM104" s="57"/>
      <c r="AN104" s="57"/>
      <c r="AO104" s="57"/>
      <c r="AP104" s="57"/>
      <c r="AQ104" s="57"/>
      <c r="AR104" s="57"/>
      <c r="AS104" s="57"/>
      <c r="AT104" s="57"/>
      <c r="AU104" s="57"/>
      <c r="AV104" s="57"/>
      <c r="AW104" s="57"/>
      <c r="AX104" s="57"/>
      <c r="AY104" s="57"/>
      <c r="AZ104" s="57"/>
      <c r="BA104" s="57"/>
      <c r="BB104" s="57"/>
      <c r="BC104" s="57"/>
      <c r="BD104" s="57"/>
      <c r="BE104" s="57"/>
      <c r="BF104" s="57"/>
      <c r="BG104" s="57"/>
      <c r="BH104" s="57"/>
      <c r="BI104" s="57"/>
      <c r="BJ104" s="57"/>
      <c r="BK104" s="372" t="s">
        <v>59</v>
      </c>
    </row>
    <row r="105" spans="1:63" s="27" customFormat="1" ht="12">
      <c r="A105" s="64"/>
      <c r="B105" s="63"/>
      <c r="C105" s="126"/>
      <c r="D105" s="125"/>
      <c r="E105" s="125"/>
      <c r="F105" s="125"/>
      <c r="G105" s="125"/>
      <c r="H105" s="125"/>
      <c r="I105" s="125"/>
      <c r="J105" s="125"/>
      <c r="K105" s="125"/>
      <c r="L105" s="125"/>
      <c r="M105" s="125"/>
      <c r="N105" s="125"/>
      <c r="O105" s="125"/>
      <c r="P105" s="125"/>
      <c r="Q105" s="125"/>
      <c r="R105" s="124"/>
      <c r="S105" s="66" t="s">
        <v>747</v>
      </c>
      <c r="T105" s="65"/>
      <c r="U105" s="57"/>
      <c r="V105" s="57"/>
      <c r="W105" s="57"/>
      <c r="X105" s="57"/>
      <c r="Y105" s="57"/>
      <c r="Z105" s="57"/>
      <c r="AA105" s="57"/>
      <c r="AB105" s="57"/>
      <c r="AC105" s="57"/>
      <c r="AD105" s="57"/>
      <c r="AE105" s="57"/>
      <c r="AF105" s="57"/>
      <c r="AG105" s="57"/>
      <c r="AH105" s="57"/>
      <c r="AI105" s="57"/>
      <c r="AJ105" s="57"/>
      <c r="AK105" s="57"/>
      <c r="AL105" s="57"/>
      <c r="AM105" s="57"/>
      <c r="AN105" s="57"/>
      <c r="AO105" s="57"/>
      <c r="AP105" s="57"/>
      <c r="AQ105" s="57"/>
      <c r="AR105" s="57"/>
      <c r="AS105" s="57"/>
      <c r="AT105" s="57"/>
      <c r="AU105" s="57"/>
      <c r="AV105" s="57"/>
      <c r="AW105" s="57"/>
      <c r="AX105" s="57"/>
      <c r="AY105" s="57"/>
      <c r="AZ105" s="57"/>
      <c r="BA105" s="57"/>
      <c r="BB105" s="57"/>
      <c r="BC105" s="57"/>
      <c r="BD105" s="57"/>
      <c r="BE105" s="372" t="s">
        <v>59</v>
      </c>
      <c r="BF105" s="57"/>
      <c r="BG105" s="57"/>
      <c r="BH105" s="57"/>
      <c r="BI105" s="57"/>
      <c r="BJ105" s="57"/>
      <c r="BK105" s="57"/>
    </row>
    <row r="106" spans="1:63" s="27" customFormat="1" ht="12">
      <c r="A106" s="64"/>
      <c r="B106" s="63"/>
      <c r="C106" s="126"/>
      <c r="D106" s="125"/>
      <c r="E106" s="125"/>
      <c r="F106" s="125"/>
      <c r="G106" s="125"/>
      <c r="H106" s="125"/>
      <c r="I106" s="125"/>
      <c r="J106" s="125"/>
      <c r="K106" s="125"/>
      <c r="L106" s="125"/>
      <c r="M106" s="125"/>
      <c r="N106" s="125"/>
      <c r="O106" s="125"/>
      <c r="P106" s="125"/>
      <c r="Q106" s="125"/>
      <c r="R106" s="124"/>
      <c r="S106" s="66" t="s">
        <v>501</v>
      </c>
      <c r="T106" s="65"/>
      <c r="U106" s="57"/>
      <c r="V106" s="57"/>
      <c r="W106" s="57"/>
      <c r="X106" s="57"/>
      <c r="Y106" s="57"/>
      <c r="Z106" s="57"/>
      <c r="AA106" s="57"/>
      <c r="AB106" s="57"/>
      <c r="AC106" s="57"/>
      <c r="AD106" s="57"/>
      <c r="AE106" s="57"/>
      <c r="AF106" s="57"/>
      <c r="AG106" s="57"/>
      <c r="AH106" s="57"/>
      <c r="AI106" s="57"/>
      <c r="AJ106" s="57"/>
      <c r="AK106" s="57"/>
      <c r="AL106" s="57"/>
      <c r="AM106" s="57"/>
      <c r="AN106" s="57"/>
      <c r="AO106" s="57"/>
      <c r="AP106" s="57"/>
      <c r="AQ106" s="57"/>
      <c r="AR106" s="57"/>
      <c r="AS106" s="57"/>
      <c r="AT106" s="57"/>
      <c r="AU106" s="57"/>
      <c r="AV106" s="57"/>
      <c r="AW106" s="57"/>
      <c r="AX106" s="57"/>
      <c r="AY106" s="57"/>
      <c r="AZ106" s="57"/>
      <c r="BA106" s="57"/>
      <c r="BB106" s="57"/>
      <c r="BC106" s="57"/>
      <c r="BD106" s="57"/>
      <c r="BE106" s="57"/>
      <c r="BF106" s="57"/>
      <c r="BG106" s="57"/>
      <c r="BH106" s="57"/>
      <c r="BI106" s="57"/>
      <c r="BJ106" s="57"/>
      <c r="BK106" s="372" t="s">
        <v>59</v>
      </c>
    </row>
    <row r="107" spans="1:63" s="27" customFormat="1" ht="12">
      <c r="A107" s="64"/>
      <c r="B107" s="63"/>
      <c r="C107" s="126"/>
      <c r="D107" s="125"/>
      <c r="E107" s="125"/>
      <c r="F107" s="125"/>
      <c r="G107" s="125"/>
      <c r="H107" s="125"/>
      <c r="I107" s="125"/>
      <c r="J107" s="125"/>
      <c r="K107" s="125"/>
      <c r="L107" s="125"/>
      <c r="M107" s="125"/>
      <c r="N107" s="125"/>
      <c r="O107" s="125"/>
      <c r="P107" s="125"/>
      <c r="Q107" s="125"/>
      <c r="R107" s="124"/>
      <c r="S107" s="66" t="s">
        <v>502</v>
      </c>
      <c r="T107" s="65"/>
      <c r="U107" s="57"/>
      <c r="V107" s="57"/>
      <c r="W107" s="57"/>
      <c r="X107" s="57"/>
      <c r="Y107" s="57"/>
      <c r="Z107" s="57"/>
      <c r="AA107" s="57"/>
      <c r="AB107" s="57"/>
      <c r="AC107" s="57"/>
      <c r="AD107" s="57"/>
      <c r="AE107" s="57"/>
      <c r="AF107" s="57"/>
      <c r="AG107" s="57"/>
      <c r="AH107" s="57"/>
      <c r="AI107" s="57"/>
      <c r="AJ107" s="57"/>
      <c r="AK107" s="57"/>
      <c r="AL107" s="57"/>
      <c r="AM107" s="57"/>
      <c r="AN107" s="57"/>
      <c r="AO107" s="57"/>
      <c r="AP107" s="57"/>
      <c r="AQ107" s="57"/>
      <c r="AR107" s="57"/>
      <c r="AS107" s="57"/>
      <c r="AT107" s="57"/>
      <c r="AU107" s="57"/>
      <c r="AV107" s="57"/>
      <c r="AW107" s="57"/>
      <c r="AX107" s="57"/>
      <c r="AY107" s="57"/>
      <c r="AZ107" s="57"/>
      <c r="BA107" s="57"/>
      <c r="BB107" s="57"/>
      <c r="BC107" s="57"/>
      <c r="BD107" s="57"/>
      <c r="BE107" s="57"/>
      <c r="BF107" s="372" t="s">
        <v>59</v>
      </c>
      <c r="BG107" s="57"/>
      <c r="BH107" s="57"/>
      <c r="BI107" s="57"/>
      <c r="BJ107" s="57"/>
      <c r="BK107" s="57"/>
    </row>
    <row r="108" spans="1:63" s="27" customFormat="1" ht="12">
      <c r="A108" s="64"/>
      <c r="B108" s="63"/>
      <c r="C108" s="126"/>
      <c r="D108" s="125"/>
      <c r="E108" s="125"/>
      <c r="F108" s="125"/>
      <c r="G108" s="125"/>
      <c r="H108" s="125"/>
      <c r="I108" s="125"/>
      <c r="J108" s="125"/>
      <c r="K108" s="125"/>
      <c r="L108" s="125"/>
      <c r="M108" s="125"/>
      <c r="N108" s="125"/>
      <c r="O108" s="125"/>
      <c r="P108" s="125"/>
      <c r="Q108" s="125"/>
      <c r="R108" s="124"/>
      <c r="S108" s="66" t="s">
        <v>503</v>
      </c>
      <c r="T108" s="65"/>
      <c r="U108" s="57"/>
      <c r="V108" s="57"/>
      <c r="W108" s="57"/>
      <c r="X108" s="57"/>
      <c r="Y108" s="57"/>
      <c r="Z108" s="57"/>
      <c r="AA108" s="57"/>
      <c r="AB108" s="57"/>
      <c r="AC108" s="57"/>
      <c r="AD108" s="57"/>
      <c r="AE108" s="57"/>
      <c r="AF108" s="57"/>
      <c r="AG108" s="57"/>
      <c r="AH108" s="57"/>
      <c r="AI108" s="57"/>
      <c r="AJ108" s="57"/>
      <c r="AK108" s="57"/>
      <c r="AL108" s="57"/>
      <c r="AM108" s="57"/>
      <c r="AN108" s="57"/>
      <c r="AO108" s="57"/>
      <c r="AP108" s="57"/>
      <c r="AQ108" s="57"/>
      <c r="AR108" s="57"/>
      <c r="AS108" s="57"/>
      <c r="AT108" s="57"/>
      <c r="AU108" s="57"/>
      <c r="AV108" s="57"/>
      <c r="AW108" s="57"/>
      <c r="AX108" s="57"/>
      <c r="AY108" s="57"/>
      <c r="AZ108" s="57"/>
      <c r="BA108" s="57"/>
      <c r="BB108" s="57"/>
      <c r="BC108" s="57"/>
      <c r="BD108" s="57"/>
      <c r="BE108" s="57"/>
      <c r="BF108" s="57"/>
      <c r="BG108" s="57"/>
      <c r="BH108" s="57"/>
      <c r="BI108" s="57"/>
      <c r="BJ108" s="57"/>
      <c r="BK108" s="372" t="s">
        <v>59</v>
      </c>
    </row>
    <row r="109" spans="1:63" s="27" customFormat="1" ht="12">
      <c r="A109" s="64"/>
      <c r="B109" s="63"/>
      <c r="C109" s="132"/>
      <c r="D109" s="131"/>
      <c r="E109" s="131"/>
      <c r="F109" s="131"/>
      <c r="G109" s="131"/>
      <c r="H109" s="131"/>
      <c r="I109" s="131"/>
      <c r="J109" s="131"/>
      <c r="K109" s="131"/>
      <c r="L109" s="131"/>
      <c r="M109" s="131"/>
      <c r="N109" s="131"/>
      <c r="O109" s="131"/>
      <c r="P109" s="131"/>
      <c r="Q109" s="131"/>
      <c r="R109" s="130"/>
      <c r="S109" s="66" t="s">
        <v>504</v>
      </c>
      <c r="T109" s="65"/>
      <c r="U109" s="57"/>
      <c r="V109" s="57"/>
      <c r="W109" s="57"/>
      <c r="X109" s="57"/>
      <c r="Y109" s="57"/>
      <c r="Z109" s="57"/>
      <c r="AA109" s="57"/>
      <c r="AB109" s="57"/>
      <c r="AC109" s="57"/>
      <c r="AD109" s="57"/>
      <c r="AE109" s="57"/>
      <c r="AF109" s="57"/>
      <c r="AG109" s="57"/>
      <c r="AH109" s="57"/>
      <c r="AI109" s="57"/>
      <c r="AJ109" s="57"/>
      <c r="AK109" s="57"/>
      <c r="AL109" s="57"/>
      <c r="AM109" s="57"/>
      <c r="AN109" s="57"/>
      <c r="AO109" s="57"/>
      <c r="AP109" s="57"/>
      <c r="AQ109" s="57"/>
      <c r="AR109" s="57"/>
      <c r="AS109" s="57"/>
      <c r="AT109" s="57"/>
      <c r="AU109" s="57"/>
      <c r="AV109" s="57"/>
      <c r="AW109" s="57"/>
      <c r="AX109" s="57"/>
      <c r="AY109" s="57"/>
      <c r="AZ109" s="57"/>
      <c r="BA109" s="57"/>
      <c r="BB109" s="57"/>
      <c r="BC109" s="57"/>
      <c r="BD109" s="57"/>
      <c r="BE109" s="57"/>
      <c r="BF109" s="57"/>
      <c r="BG109" s="372" t="s">
        <v>59</v>
      </c>
      <c r="BH109" s="57"/>
      <c r="BI109" s="57"/>
      <c r="BJ109" s="57"/>
      <c r="BK109" s="57"/>
    </row>
    <row r="110" spans="1:63" s="27" customFormat="1" ht="12">
      <c r="A110" s="64"/>
      <c r="B110" s="63"/>
      <c r="C110" s="129" t="s">
        <v>230</v>
      </c>
      <c r="D110" s="128"/>
      <c r="E110" s="128"/>
      <c r="F110" s="128"/>
      <c r="G110" s="128"/>
      <c r="H110" s="128"/>
      <c r="I110" s="128"/>
      <c r="J110" s="128"/>
      <c r="K110" s="128"/>
      <c r="L110" s="128"/>
      <c r="M110" s="128"/>
      <c r="N110" s="128"/>
      <c r="O110" s="128"/>
      <c r="P110" s="128"/>
      <c r="Q110" s="128"/>
      <c r="R110" s="127"/>
      <c r="S110" s="66" t="s">
        <v>748</v>
      </c>
      <c r="T110" s="65"/>
      <c r="U110" s="57"/>
      <c r="V110" s="57"/>
      <c r="W110" s="57"/>
      <c r="X110" s="57"/>
      <c r="Y110" s="57"/>
      <c r="Z110" s="57"/>
      <c r="AA110" s="57"/>
      <c r="AB110" s="57"/>
      <c r="AC110" s="57"/>
      <c r="AD110" s="57"/>
      <c r="AE110" s="57"/>
      <c r="AF110" s="57"/>
      <c r="AG110" s="57"/>
      <c r="AH110" s="57"/>
      <c r="AI110" s="57"/>
      <c r="AJ110" s="57"/>
      <c r="AK110" s="57"/>
      <c r="AL110" s="57"/>
      <c r="AM110" s="57"/>
      <c r="AN110" s="57"/>
      <c r="AO110" s="57"/>
      <c r="AP110" s="57"/>
      <c r="AQ110" s="57"/>
      <c r="AR110" s="57"/>
      <c r="AS110" s="57"/>
      <c r="AT110" s="57"/>
      <c r="AU110" s="57"/>
      <c r="AV110" s="57"/>
      <c r="AW110" s="57"/>
      <c r="AX110" s="57"/>
      <c r="AY110" s="57"/>
      <c r="AZ110" s="57"/>
      <c r="BA110" s="57"/>
      <c r="BB110" s="57"/>
      <c r="BC110" s="57"/>
      <c r="BD110" s="57"/>
      <c r="BE110" s="57"/>
      <c r="BF110" s="57"/>
      <c r="BG110" s="57"/>
      <c r="BH110" s="57"/>
      <c r="BI110" s="57"/>
      <c r="BJ110" s="57"/>
      <c r="BK110" s="372" t="s">
        <v>59</v>
      </c>
    </row>
    <row r="111" spans="1:63" s="27" customFormat="1" ht="12">
      <c r="A111" s="64"/>
      <c r="B111" s="63"/>
      <c r="C111" s="126"/>
      <c r="D111" s="125"/>
      <c r="E111" s="125"/>
      <c r="F111" s="125"/>
      <c r="G111" s="125"/>
      <c r="H111" s="125"/>
      <c r="I111" s="125"/>
      <c r="J111" s="125"/>
      <c r="K111" s="125"/>
      <c r="L111" s="125"/>
      <c r="M111" s="125"/>
      <c r="N111" s="125"/>
      <c r="O111" s="125"/>
      <c r="P111" s="125"/>
      <c r="Q111" s="125"/>
      <c r="R111" s="124"/>
      <c r="S111" s="66" t="s">
        <v>747</v>
      </c>
      <c r="T111" s="65"/>
      <c r="U111" s="57"/>
      <c r="V111" s="57"/>
      <c r="W111" s="57"/>
      <c r="X111" s="57"/>
      <c r="Y111" s="57"/>
      <c r="Z111" s="57"/>
      <c r="AA111" s="57"/>
      <c r="AB111" s="57"/>
      <c r="AC111" s="57"/>
      <c r="AD111" s="57"/>
      <c r="AE111" s="57"/>
      <c r="AF111" s="57"/>
      <c r="AG111" s="57"/>
      <c r="AH111" s="57"/>
      <c r="AI111" s="57"/>
      <c r="AJ111" s="57"/>
      <c r="AK111" s="57"/>
      <c r="AL111" s="57"/>
      <c r="AM111" s="57"/>
      <c r="AN111" s="57"/>
      <c r="AO111" s="57"/>
      <c r="AP111" s="57"/>
      <c r="AQ111" s="57"/>
      <c r="AR111" s="57"/>
      <c r="AS111" s="57"/>
      <c r="AT111" s="57"/>
      <c r="AU111" s="57"/>
      <c r="AV111" s="57"/>
      <c r="AW111" s="57"/>
      <c r="AX111" s="57"/>
      <c r="AY111" s="57"/>
      <c r="AZ111" s="57"/>
      <c r="BA111" s="57"/>
      <c r="BB111" s="57"/>
      <c r="BC111" s="57"/>
      <c r="BD111" s="57"/>
      <c r="BE111" s="57"/>
      <c r="BF111" s="57"/>
      <c r="BG111" s="57"/>
      <c r="BH111" s="372" t="s">
        <v>59</v>
      </c>
      <c r="BI111" s="57"/>
      <c r="BJ111" s="57"/>
      <c r="BK111" s="57"/>
    </row>
    <row r="112" spans="1:63" s="27" customFormat="1" ht="12">
      <c r="A112" s="64"/>
      <c r="B112" s="63"/>
      <c r="C112" s="126"/>
      <c r="D112" s="125"/>
      <c r="E112" s="125"/>
      <c r="F112" s="125"/>
      <c r="G112" s="125"/>
      <c r="H112" s="125"/>
      <c r="I112" s="125"/>
      <c r="J112" s="125"/>
      <c r="K112" s="125"/>
      <c r="L112" s="125"/>
      <c r="M112" s="125"/>
      <c r="N112" s="125"/>
      <c r="O112" s="125"/>
      <c r="P112" s="125"/>
      <c r="Q112" s="125"/>
      <c r="R112" s="124"/>
      <c r="S112" s="66" t="s">
        <v>501</v>
      </c>
      <c r="T112" s="65"/>
      <c r="U112" s="57"/>
      <c r="V112" s="57"/>
      <c r="W112" s="57"/>
      <c r="X112" s="57"/>
      <c r="Y112" s="57"/>
      <c r="Z112" s="57"/>
      <c r="AA112" s="57"/>
      <c r="AB112" s="57"/>
      <c r="AC112" s="57"/>
      <c r="AD112" s="57"/>
      <c r="AE112" s="57"/>
      <c r="AF112" s="57"/>
      <c r="AG112" s="57"/>
      <c r="AH112" s="57"/>
      <c r="AI112" s="57"/>
      <c r="AJ112" s="57"/>
      <c r="AK112" s="57"/>
      <c r="AL112" s="57"/>
      <c r="AM112" s="57"/>
      <c r="AN112" s="57"/>
      <c r="AO112" s="57"/>
      <c r="AP112" s="57"/>
      <c r="AQ112" s="57"/>
      <c r="AR112" s="57"/>
      <c r="AS112" s="57"/>
      <c r="AT112" s="57"/>
      <c r="AU112" s="57"/>
      <c r="AV112" s="57"/>
      <c r="AW112" s="57"/>
      <c r="AX112" s="57"/>
      <c r="AY112" s="57"/>
      <c r="AZ112" s="57"/>
      <c r="BA112" s="57"/>
      <c r="BB112" s="57"/>
      <c r="BC112" s="57"/>
      <c r="BD112" s="57"/>
      <c r="BE112" s="57"/>
      <c r="BF112" s="57"/>
      <c r="BG112" s="57"/>
      <c r="BH112" s="57"/>
      <c r="BI112" s="57"/>
      <c r="BJ112" s="57"/>
      <c r="BK112" s="372" t="s">
        <v>59</v>
      </c>
    </row>
    <row r="113" spans="1:63" s="27" customFormat="1" ht="12">
      <c r="A113" s="64"/>
      <c r="B113" s="63"/>
      <c r="C113" s="126"/>
      <c r="D113" s="125"/>
      <c r="E113" s="125"/>
      <c r="F113" s="125"/>
      <c r="G113" s="125"/>
      <c r="H113" s="125"/>
      <c r="I113" s="125"/>
      <c r="J113" s="125"/>
      <c r="K113" s="125"/>
      <c r="L113" s="125"/>
      <c r="M113" s="125"/>
      <c r="N113" s="125"/>
      <c r="O113" s="125"/>
      <c r="P113" s="125"/>
      <c r="Q113" s="125"/>
      <c r="R113" s="124"/>
      <c r="S113" s="66" t="s">
        <v>502</v>
      </c>
      <c r="T113" s="65"/>
      <c r="U113" s="57"/>
      <c r="V113" s="57"/>
      <c r="W113" s="57"/>
      <c r="X113" s="57"/>
      <c r="Y113" s="57"/>
      <c r="Z113" s="57"/>
      <c r="AA113" s="57"/>
      <c r="AB113" s="57"/>
      <c r="AC113" s="57"/>
      <c r="AD113" s="57"/>
      <c r="AE113" s="57"/>
      <c r="AF113" s="57"/>
      <c r="AG113" s="57"/>
      <c r="AH113" s="57"/>
      <c r="AI113" s="57"/>
      <c r="AJ113" s="57"/>
      <c r="AK113" s="57"/>
      <c r="AL113" s="57"/>
      <c r="AM113" s="57"/>
      <c r="AN113" s="57"/>
      <c r="AO113" s="57"/>
      <c r="AP113" s="57"/>
      <c r="AQ113" s="57"/>
      <c r="AR113" s="57"/>
      <c r="AS113" s="57"/>
      <c r="AT113" s="57"/>
      <c r="AU113" s="57"/>
      <c r="AV113" s="57"/>
      <c r="AW113" s="57"/>
      <c r="AX113" s="57"/>
      <c r="AY113" s="57"/>
      <c r="AZ113" s="57"/>
      <c r="BA113" s="57"/>
      <c r="BB113" s="57"/>
      <c r="BC113" s="57"/>
      <c r="BD113" s="57"/>
      <c r="BE113" s="57"/>
      <c r="BF113" s="57"/>
      <c r="BG113" s="57"/>
      <c r="BH113" s="57"/>
      <c r="BI113" s="372" t="s">
        <v>59</v>
      </c>
      <c r="BJ113" s="57"/>
      <c r="BK113" s="57"/>
    </row>
    <row r="114" spans="1:63" s="27" customFormat="1" ht="12">
      <c r="A114" s="64"/>
      <c r="B114" s="63"/>
      <c r="C114" s="126"/>
      <c r="D114" s="125"/>
      <c r="E114" s="125"/>
      <c r="F114" s="125"/>
      <c r="G114" s="125"/>
      <c r="H114" s="125"/>
      <c r="I114" s="125"/>
      <c r="J114" s="125"/>
      <c r="K114" s="125"/>
      <c r="L114" s="125"/>
      <c r="M114" s="125"/>
      <c r="N114" s="125"/>
      <c r="O114" s="125"/>
      <c r="P114" s="125"/>
      <c r="Q114" s="125"/>
      <c r="R114" s="124"/>
      <c r="S114" s="66" t="s">
        <v>503</v>
      </c>
      <c r="T114" s="65"/>
      <c r="U114" s="57"/>
      <c r="V114" s="57"/>
      <c r="W114" s="57"/>
      <c r="X114" s="57"/>
      <c r="Y114" s="57"/>
      <c r="Z114" s="57"/>
      <c r="AA114" s="57"/>
      <c r="AB114" s="57"/>
      <c r="AC114" s="57"/>
      <c r="AD114" s="57"/>
      <c r="AE114" s="57"/>
      <c r="AF114" s="57"/>
      <c r="AG114" s="57"/>
      <c r="AH114" s="57"/>
      <c r="AI114" s="57"/>
      <c r="AJ114" s="57"/>
      <c r="AK114" s="57"/>
      <c r="AL114" s="57"/>
      <c r="AM114" s="57"/>
      <c r="AN114" s="57"/>
      <c r="AO114" s="57"/>
      <c r="AP114" s="57"/>
      <c r="AQ114" s="57"/>
      <c r="AR114" s="57"/>
      <c r="AS114" s="57"/>
      <c r="AT114" s="57"/>
      <c r="AU114" s="57"/>
      <c r="AV114" s="57"/>
      <c r="AW114" s="57"/>
      <c r="AX114" s="57"/>
      <c r="AY114" s="57"/>
      <c r="AZ114" s="57"/>
      <c r="BA114" s="57"/>
      <c r="BB114" s="57"/>
      <c r="BC114" s="57"/>
      <c r="BD114" s="57"/>
      <c r="BE114" s="57"/>
      <c r="BF114" s="57"/>
      <c r="BG114" s="57"/>
      <c r="BH114" s="57"/>
      <c r="BI114" s="57"/>
      <c r="BJ114" s="57"/>
      <c r="BK114" s="372" t="s">
        <v>59</v>
      </c>
    </row>
    <row r="115" spans="1:63" s="27" customFormat="1" ht="12">
      <c r="A115" s="64"/>
      <c r="B115" s="63"/>
      <c r="C115" s="132"/>
      <c r="D115" s="131"/>
      <c r="E115" s="131"/>
      <c r="F115" s="131"/>
      <c r="G115" s="131"/>
      <c r="H115" s="131"/>
      <c r="I115" s="131"/>
      <c r="J115" s="131"/>
      <c r="K115" s="131"/>
      <c r="L115" s="131"/>
      <c r="M115" s="131"/>
      <c r="N115" s="131"/>
      <c r="O115" s="131"/>
      <c r="P115" s="131"/>
      <c r="Q115" s="131"/>
      <c r="R115" s="130"/>
      <c r="S115" s="66" t="s">
        <v>504</v>
      </c>
      <c r="T115" s="65"/>
      <c r="U115" s="57"/>
      <c r="V115" s="57"/>
      <c r="W115" s="57"/>
      <c r="X115" s="57"/>
      <c r="Y115" s="57"/>
      <c r="Z115" s="57"/>
      <c r="AA115" s="57"/>
      <c r="AB115" s="57"/>
      <c r="AC115" s="57"/>
      <c r="AD115" s="57"/>
      <c r="AE115" s="57"/>
      <c r="AF115" s="57"/>
      <c r="AG115" s="57"/>
      <c r="AH115" s="57"/>
      <c r="AI115" s="57"/>
      <c r="AJ115" s="57"/>
      <c r="AK115" s="57"/>
      <c r="AL115" s="57"/>
      <c r="AM115" s="57"/>
      <c r="AN115" s="57"/>
      <c r="AO115" s="57"/>
      <c r="AP115" s="57"/>
      <c r="AQ115" s="57"/>
      <c r="AR115" s="57"/>
      <c r="AS115" s="57"/>
      <c r="AT115" s="57"/>
      <c r="AU115" s="57"/>
      <c r="AV115" s="57"/>
      <c r="AW115" s="57"/>
      <c r="AX115" s="57"/>
      <c r="AY115" s="57"/>
      <c r="AZ115" s="57"/>
      <c r="BA115" s="57"/>
      <c r="BB115" s="57"/>
      <c r="BC115" s="57"/>
      <c r="BD115" s="57"/>
      <c r="BE115" s="57"/>
      <c r="BF115" s="57"/>
      <c r="BG115" s="57"/>
      <c r="BH115" s="57"/>
      <c r="BI115" s="57"/>
      <c r="BJ115" s="372" t="s">
        <v>59</v>
      </c>
      <c r="BK115" s="57"/>
    </row>
    <row r="116" spans="1:63" s="27" customFormat="1" ht="12">
      <c r="A116" s="64"/>
      <c r="B116" s="63"/>
      <c r="C116" s="123" t="s">
        <v>229</v>
      </c>
      <c r="D116" s="122"/>
      <c r="E116" s="122"/>
      <c r="F116" s="122"/>
      <c r="G116" s="122"/>
      <c r="H116" s="122"/>
      <c r="I116" s="122"/>
      <c r="J116" s="122"/>
      <c r="K116" s="122"/>
      <c r="L116" s="122"/>
      <c r="M116" s="122"/>
      <c r="N116" s="122"/>
      <c r="O116" s="122"/>
      <c r="P116" s="122"/>
      <c r="Q116" s="122"/>
      <c r="R116" s="121"/>
      <c r="S116" s="104" t="s">
        <v>228</v>
      </c>
      <c r="T116" s="103"/>
      <c r="U116" s="57" t="s">
        <v>23</v>
      </c>
      <c r="V116" s="57" t="s">
        <v>23</v>
      </c>
      <c r="W116" s="57" t="s">
        <v>23</v>
      </c>
      <c r="X116" s="57" t="s">
        <v>23</v>
      </c>
      <c r="Y116" s="57" t="s">
        <v>23</v>
      </c>
      <c r="Z116" s="57" t="s">
        <v>23</v>
      </c>
      <c r="AA116" s="57" t="s">
        <v>23</v>
      </c>
      <c r="AB116" s="57" t="s">
        <v>23</v>
      </c>
      <c r="AC116" s="57" t="s">
        <v>23</v>
      </c>
      <c r="AD116" s="57" t="s">
        <v>23</v>
      </c>
      <c r="AE116" s="57" t="s">
        <v>23</v>
      </c>
      <c r="AF116" s="57" t="s">
        <v>23</v>
      </c>
      <c r="AG116" s="57" t="s">
        <v>23</v>
      </c>
      <c r="AH116" s="57" t="s">
        <v>23</v>
      </c>
      <c r="AI116" s="57" t="s">
        <v>23</v>
      </c>
      <c r="AJ116" s="57" t="s">
        <v>23</v>
      </c>
      <c r="AK116" s="57" t="s">
        <v>23</v>
      </c>
      <c r="AL116" s="57" t="s">
        <v>23</v>
      </c>
      <c r="AM116" s="57" t="s">
        <v>23</v>
      </c>
      <c r="AN116" s="57" t="s">
        <v>23</v>
      </c>
      <c r="AO116" s="57" t="s">
        <v>23</v>
      </c>
      <c r="AP116" s="57" t="s">
        <v>23</v>
      </c>
      <c r="AQ116" s="57" t="s">
        <v>23</v>
      </c>
      <c r="AR116" s="57" t="s">
        <v>23</v>
      </c>
      <c r="AS116" s="57" t="s">
        <v>23</v>
      </c>
      <c r="AT116" s="57" t="s">
        <v>23</v>
      </c>
      <c r="AU116" s="57" t="s">
        <v>23</v>
      </c>
      <c r="AV116" s="57" t="s">
        <v>23</v>
      </c>
      <c r="AW116" s="57" t="s">
        <v>23</v>
      </c>
      <c r="AX116" s="57" t="s">
        <v>23</v>
      </c>
      <c r="AY116" s="57" t="s">
        <v>23</v>
      </c>
      <c r="AZ116" s="57" t="s">
        <v>23</v>
      </c>
      <c r="BA116" s="57" t="s">
        <v>23</v>
      </c>
      <c r="BB116" s="57" t="s">
        <v>23</v>
      </c>
      <c r="BC116" s="57" t="s">
        <v>23</v>
      </c>
      <c r="BD116" s="57" t="s">
        <v>23</v>
      </c>
      <c r="BE116" s="57" t="s">
        <v>23</v>
      </c>
      <c r="BF116" s="57" t="s">
        <v>23</v>
      </c>
      <c r="BG116" s="57" t="s">
        <v>23</v>
      </c>
      <c r="BH116" s="57" t="s">
        <v>23</v>
      </c>
      <c r="BI116" s="57" t="s">
        <v>23</v>
      </c>
      <c r="BJ116" s="57" t="s">
        <v>23</v>
      </c>
      <c r="BK116" s="57" t="s">
        <v>23</v>
      </c>
    </row>
    <row r="117" spans="1:63" s="27" customFormat="1" ht="12">
      <c r="A117" s="64"/>
      <c r="B117" s="63"/>
      <c r="C117" s="123" t="s">
        <v>227</v>
      </c>
      <c r="D117" s="122"/>
      <c r="E117" s="122"/>
      <c r="F117" s="122"/>
      <c r="G117" s="122"/>
      <c r="H117" s="122"/>
      <c r="I117" s="122"/>
      <c r="J117" s="122"/>
      <c r="K117" s="122"/>
      <c r="L117" s="122"/>
      <c r="M117" s="122"/>
      <c r="N117" s="122"/>
      <c r="O117" s="122"/>
      <c r="P117" s="122"/>
      <c r="Q117" s="122"/>
      <c r="R117" s="121"/>
      <c r="S117" s="104" t="s">
        <v>226</v>
      </c>
      <c r="T117" s="103"/>
      <c r="U117" s="57" t="s">
        <v>23</v>
      </c>
      <c r="V117" s="57" t="s">
        <v>23</v>
      </c>
      <c r="W117" s="57" t="s">
        <v>23</v>
      </c>
      <c r="X117" s="57" t="s">
        <v>23</v>
      </c>
      <c r="Y117" s="57" t="s">
        <v>23</v>
      </c>
      <c r="Z117" s="57" t="s">
        <v>23</v>
      </c>
      <c r="AA117" s="57" t="s">
        <v>23</v>
      </c>
      <c r="AB117" s="57" t="s">
        <v>23</v>
      </c>
      <c r="AC117" s="57" t="s">
        <v>23</v>
      </c>
      <c r="AD117" s="57" t="s">
        <v>23</v>
      </c>
      <c r="AE117" s="57" t="s">
        <v>23</v>
      </c>
      <c r="AF117" s="57" t="s">
        <v>23</v>
      </c>
      <c r="AG117" s="57" t="s">
        <v>23</v>
      </c>
      <c r="AH117" s="57" t="s">
        <v>23</v>
      </c>
      <c r="AI117" s="57" t="s">
        <v>23</v>
      </c>
      <c r="AJ117" s="57" t="s">
        <v>23</v>
      </c>
      <c r="AK117" s="57" t="s">
        <v>23</v>
      </c>
      <c r="AL117" s="57" t="s">
        <v>23</v>
      </c>
      <c r="AM117" s="57" t="s">
        <v>23</v>
      </c>
      <c r="AN117" s="57" t="s">
        <v>23</v>
      </c>
      <c r="AO117" s="57" t="s">
        <v>23</v>
      </c>
      <c r="AP117" s="57" t="s">
        <v>23</v>
      </c>
      <c r="AQ117" s="57" t="s">
        <v>23</v>
      </c>
      <c r="AR117" s="57" t="s">
        <v>23</v>
      </c>
      <c r="AS117" s="57" t="s">
        <v>23</v>
      </c>
      <c r="AT117" s="57" t="s">
        <v>23</v>
      </c>
      <c r="AU117" s="57" t="s">
        <v>23</v>
      </c>
      <c r="AV117" s="57" t="s">
        <v>23</v>
      </c>
      <c r="AW117" s="57" t="s">
        <v>23</v>
      </c>
      <c r="AX117" s="57" t="s">
        <v>23</v>
      </c>
      <c r="AY117" s="57" t="s">
        <v>23</v>
      </c>
      <c r="AZ117" s="57" t="s">
        <v>23</v>
      </c>
      <c r="BA117" s="57" t="s">
        <v>23</v>
      </c>
      <c r="BB117" s="57" t="s">
        <v>23</v>
      </c>
      <c r="BC117" s="57" t="s">
        <v>23</v>
      </c>
      <c r="BD117" s="57" t="s">
        <v>23</v>
      </c>
      <c r="BE117" s="57" t="s">
        <v>23</v>
      </c>
      <c r="BF117" s="57" t="s">
        <v>23</v>
      </c>
      <c r="BG117" s="57" t="s">
        <v>23</v>
      </c>
      <c r="BH117" s="57" t="s">
        <v>23</v>
      </c>
      <c r="BI117" s="57" t="s">
        <v>23</v>
      </c>
      <c r="BJ117" s="57" t="s">
        <v>23</v>
      </c>
      <c r="BK117" s="57" t="s">
        <v>23</v>
      </c>
    </row>
    <row r="118" spans="1:63" s="27" customFormat="1" ht="12">
      <c r="A118" s="64"/>
      <c r="B118" s="63"/>
      <c r="C118" s="123" t="s">
        <v>225</v>
      </c>
      <c r="D118" s="122"/>
      <c r="E118" s="122"/>
      <c r="F118" s="122"/>
      <c r="G118" s="122"/>
      <c r="H118" s="122"/>
      <c r="I118" s="122"/>
      <c r="J118" s="122"/>
      <c r="K118" s="122"/>
      <c r="L118" s="122"/>
      <c r="M118" s="122"/>
      <c r="N118" s="122"/>
      <c r="O118" s="122"/>
      <c r="P118" s="122"/>
      <c r="Q118" s="122"/>
      <c r="R118" s="121"/>
      <c r="S118" s="104" t="s">
        <v>57</v>
      </c>
      <c r="T118" s="103"/>
      <c r="U118" s="57" t="s">
        <v>23</v>
      </c>
      <c r="V118" s="57" t="s">
        <v>23</v>
      </c>
      <c r="W118" s="57" t="s">
        <v>23</v>
      </c>
      <c r="X118" s="57" t="s">
        <v>23</v>
      </c>
      <c r="Y118" s="57" t="s">
        <v>23</v>
      </c>
      <c r="Z118" s="57" t="s">
        <v>23</v>
      </c>
      <c r="AA118" s="57" t="s">
        <v>23</v>
      </c>
      <c r="AB118" s="57" t="s">
        <v>23</v>
      </c>
      <c r="AC118" s="57" t="s">
        <v>23</v>
      </c>
      <c r="AD118" s="57" t="s">
        <v>23</v>
      </c>
      <c r="AE118" s="57" t="s">
        <v>23</v>
      </c>
      <c r="AF118" s="57" t="s">
        <v>23</v>
      </c>
      <c r="AG118" s="57" t="s">
        <v>23</v>
      </c>
      <c r="AH118" s="57" t="s">
        <v>23</v>
      </c>
      <c r="AI118" s="57" t="s">
        <v>23</v>
      </c>
      <c r="AJ118" s="57" t="s">
        <v>23</v>
      </c>
      <c r="AK118" s="57" t="s">
        <v>23</v>
      </c>
      <c r="AL118" s="57" t="s">
        <v>23</v>
      </c>
      <c r="AM118" s="57" t="s">
        <v>23</v>
      </c>
      <c r="AN118" s="57" t="s">
        <v>23</v>
      </c>
      <c r="AO118" s="57" t="s">
        <v>23</v>
      </c>
      <c r="AP118" s="57" t="s">
        <v>23</v>
      </c>
      <c r="AQ118" s="57" t="s">
        <v>23</v>
      </c>
      <c r="AR118" s="57" t="s">
        <v>23</v>
      </c>
      <c r="AS118" s="57" t="s">
        <v>23</v>
      </c>
      <c r="AT118" s="57" t="s">
        <v>23</v>
      </c>
      <c r="AU118" s="57" t="s">
        <v>23</v>
      </c>
      <c r="AV118" s="57" t="s">
        <v>23</v>
      </c>
      <c r="AW118" s="57" t="s">
        <v>23</v>
      </c>
      <c r="AX118" s="57" t="s">
        <v>23</v>
      </c>
      <c r="AY118" s="57" t="s">
        <v>23</v>
      </c>
      <c r="AZ118" s="57" t="s">
        <v>23</v>
      </c>
      <c r="BA118" s="57" t="s">
        <v>23</v>
      </c>
      <c r="BB118" s="57" t="s">
        <v>23</v>
      </c>
      <c r="BC118" s="57" t="s">
        <v>23</v>
      </c>
      <c r="BD118" s="57" t="s">
        <v>23</v>
      </c>
      <c r="BE118" s="57" t="s">
        <v>23</v>
      </c>
      <c r="BF118" s="57" t="s">
        <v>23</v>
      </c>
      <c r="BG118" s="57" t="s">
        <v>23</v>
      </c>
      <c r="BH118" s="57" t="s">
        <v>23</v>
      </c>
      <c r="BI118" s="57" t="s">
        <v>23</v>
      </c>
      <c r="BJ118" s="57" t="s">
        <v>23</v>
      </c>
      <c r="BK118" s="57" t="s">
        <v>23</v>
      </c>
    </row>
    <row r="119" spans="1:63" s="27" customFormat="1" ht="15.2" customHeight="1">
      <c r="A119" s="64"/>
      <c r="B119" s="120" t="s">
        <v>224</v>
      </c>
      <c r="C119" s="119"/>
      <c r="D119" s="112"/>
      <c r="E119" s="112"/>
      <c r="F119" s="112"/>
      <c r="G119" s="112"/>
      <c r="H119" s="112"/>
      <c r="I119" s="118"/>
      <c r="J119" s="112"/>
      <c r="K119" s="118"/>
      <c r="L119" s="118"/>
      <c r="M119" s="112"/>
      <c r="N119" s="112"/>
      <c r="O119" s="112"/>
      <c r="P119" s="112"/>
      <c r="Q119" s="112"/>
      <c r="R119" s="118"/>
      <c r="S119" s="112"/>
      <c r="T119" s="117"/>
      <c r="U119" s="110"/>
      <c r="V119" s="110"/>
      <c r="W119" s="109"/>
      <c r="X119" s="109"/>
      <c r="Y119" s="110"/>
      <c r="Z119" s="109"/>
      <c r="AA119" s="109"/>
      <c r="AB119" s="110"/>
      <c r="AC119" s="109"/>
      <c r="AD119" s="109"/>
      <c r="AE119" s="110"/>
      <c r="AF119" s="109"/>
      <c r="AG119" s="109"/>
      <c r="AH119" s="110"/>
      <c r="AI119" s="109"/>
      <c r="AJ119" s="109"/>
      <c r="AK119" s="110"/>
      <c r="AL119" s="109"/>
      <c r="AM119" s="109"/>
      <c r="AN119" s="110"/>
      <c r="AO119" s="109"/>
      <c r="AP119" s="109"/>
      <c r="AQ119" s="110"/>
      <c r="AR119" s="109"/>
      <c r="AS119" s="109"/>
      <c r="AT119" s="110"/>
      <c r="AU119" s="109"/>
      <c r="AV119" s="109"/>
      <c r="AW119" s="110"/>
      <c r="AX119" s="109"/>
      <c r="AY119" s="109"/>
      <c r="AZ119" s="110"/>
      <c r="BA119" s="109"/>
      <c r="BB119" s="109"/>
      <c r="BC119" s="110"/>
      <c r="BD119" s="109"/>
      <c r="BE119" s="109"/>
      <c r="BF119" s="110"/>
      <c r="BG119" s="109"/>
      <c r="BH119" s="109"/>
      <c r="BI119" s="110"/>
      <c r="BJ119" s="109"/>
      <c r="BK119" s="109"/>
    </row>
    <row r="120" spans="1:63" s="27" customFormat="1" ht="15.2" customHeight="1">
      <c r="A120" s="64"/>
      <c r="B120" s="63"/>
      <c r="C120" s="74" t="s">
        <v>223</v>
      </c>
      <c r="D120" s="72"/>
      <c r="E120" s="72"/>
      <c r="F120" s="72"/>
      <c r="G120" s="72"/>
      <c r="H120" s="72"/>
      <c r="I120" s="73"/>
      <c r="J120" s="72"/>
      <c r="K120" s="73"/>
      <c r="L120" s="73"/>
      <c r="M120" s="72"/>
      <c r="N120" s="72"/>
      <c r="O120" s="72"/>
      <c r="P120" s="72"/>
      <c r="Q120" s="72"/>
      <c r="R120" s="73"/>
      <c r="S120" s="72"/>
      <c r="T120" s="71"/>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row>
    <row r="121" spans="1:63" s="27" customFormat="1" ht="15.2" customHeight="1">
      <c r="A121" s="64"/>
      <c r="B121" s="63"/>
      <c r="C121" s="62" t="s">
        <v>222</v>
      </c>
      <c r="D121" s="61"/>
      <c r="E121" s="61"/>
      <c r="F121" s="61"/>
      <c r="G121" s="61"/>
      <c r="H121" s="61"/>
      <c r="I121" s="60"/>
      <c r="J121" s="61"/>
      <c r="K121" s="60"/>
      <c r="L121" s="60"/>
      <c r="M121" s="61"/>
      <c r="N121" s="61"/>
      <c r="O121" s="61"/>
      <c r="P121" s="61"/>
      <c r="Q121" s="61"/>
      <c r="R121" s="60"/>
      <c r="S121" s="59" t="s">
        <v>221</v>
      </c>
      <c r="T121" s="58"/>
      <c r="U121" s="57" t="s">
        <v>23</v>
      </c>
      <c r="V121" s="57" t="s">
        <v>23</v>
      </c>
      <c r="W121" s="57" t="s">
        <v>23</v>
      </c>
      <c r="X121" s="57" t="s">
        <v>23</v>
      </c>
      <c r="Y121" s="57" t="s">
        <v>23</v>
      </c>
      <c r="Z121" s="57" t="s">
        <v>23</v>
      </c>
      <c r="AA121" s="57" t="s">
        <v>23</v>
      </c>
      <c r="AB121" s="57" t="s">
        <v>23</v>
      </c>
      <c r="AC121" s="57" t="s">
        <v>23</v>
      </c>
      <c r="AD121" s="57" t="s">
        <v>23</v>
      </c>
      <c r="AE121" s="57" t="s">
        <v>23</v>
      </c>
      <c r="AF121" s="57" t="s">
        <v>23</v>
      </c>
      <c r="AG121" s="57" t="s">
        <v>23</v>
      </c>
      <c r="AH121" s="57" t="s">
        <v>23</v>
      </c>
      <c r="AI121" s="57" t="s">
        <v>23</v>
      </c>
      <c r="AJ121" s="57" t="s">
        <v>23</v>
      </c>
      <c r="AK121" s="57" t="s">
        <v>23</v>
      </c>
      <c r="AL121" s="57" t="s">
        <v>23</v>
      </c>
      <c r="AM121" s="57" t="s">
        <v>23</v>
      </c>
      <c r="AN121" s="57" t="s">
        <v>23</v>
      </c>
      <c r="AO121" s="57" t="s">
        <v>23</v>
      </c>
      <c r="AP121" s="57" t="s">
        <v>23</v>
      </c>
      <c r="AQ121" s="57" t="s">
        <v>23</v>
      </c>
      <c r="AR121" s="57" t="s">
        <v>23</v>
      </c>
      <c r="AS121" s="57" t="s">
        <v>23</v>
      </c>
      <c r="AT121" s="57" t="s">
        <v>23</v>
      </c>
      <c r="AU121" s="57" t="s">
        <v>23</v>
      </c>
      <c r="AV121" s="57" t="s">
        <v>23</v>
      </c>
      <c r="AW121" s="57" t="s">
        <v>23</v>
      </c>
      <c r="AX121" s="57" t="s">
        <v>23</v>
      </c>
      <c r="AY121" s="57" t="s">
        <v>23</v>
      </c>
      <c r="AZ121" s="57" t="s">
        <v>23</v>
      </c>
      <c r="BA121" s="57" t="s">
        <v>23</v>
      </c>
      <c r="BB121" s="57" t="s">
        <v>23</v>
      </c>
      <c r="BC121" s="57" t="s">
        <v>23</v>
      </c>
      <c r="BD121" s="57" t="s">
        <v>23</v>
      </c>
      <c r="BE121" s="57" t="s">
        <v>23</v>
      </c>
      <c r="BF121" s="57" t="s">
        <v>23</v>
      </c>
      <c r="BG121" s="57" t="s">
        <v>23</v>
      </c>
      <c r="BH121" s="57" t="s">
        <v>23</v>
      </c>
      <c r="BI121" s="57" t="s">
        <v>23</v>
      </c>
      <c r="BJ121" s="57" t="s">
        <v>23</v>
      </c>
      <c r="BK121" s="57" t="s">
        <v>23</v>
      </c>
    </row>
    <row r="122" spans="1:63" s="27" customFormat="1" ht="15.2" customHeight="1">
      <c r="A122" s="64"/>
      <c r="B122" s="63"/>
      <c r="C122" s="62" t="s">
        <v>220</v>
      </c>
      <c r="D122" s="61"/>
      <c r="E122" s="61"/>
      <c r="F122" s="61"/>
      <c r="G122" s="61"/>
      <c r="H122" s="61"/>
      <c r="I122" s="60"/>
      <c r="J122" s="61"/>
      <c r="K122" s="60"/>
      <c r="L122" s="60"/>
      <c r="M122" s="61"/>
      <c r="N122" s="61"/>
      <c r="O122" s="61"/>
      <c r="P122" s="61"/>
      <c r="Q122" s="61"/>
      <c r="R122" s="60"/>
      <c r="S122" s="59" t="s">
        <v>219</v>
      </c>
      <c r="T122" s="58"/>
      <c r="U122" s="57" t="s">
        <v>23</v>
      </c>
      <c r="V122" s="57" t="s">
        <v>23</v>
      </c>
      <c r="W122" s="57" t="s">
        <v>23</v>
      </c>
      <c r="X122" s="57" t="s">
        <v>23</v>
      </c>
      <c r="Y122" s="57" t="s">
        <v>23</v>
      </c>
      <c r="Z122" s="57" t="s">
        <v>23</v>
      </c>
      <c r="AA122" s="57" t="s">
        <v>23</v>
      </c>
      <c r="AB122" s="57" t="s">
        <v>23</v>
      </c>
      <c r="AC122" s="57" t="s">
        <v>23</v>
      </c>
      <c r="AD122" s="57" t="s">
        <v>23</v>
      </c>
      <c r="AE122" s="57" t="s">
        <v>23</v>
      </c>
      <c r="AF122" s="57" t="s">
        <v>23</v>
      </c>
      <c r="AG122" s="57" t="s">
        <v>23</v>
      </c>
      <c r="AH122" s="57" t="s">
        <v>23</v>
      </c>
      <c r="AI122" s="57" t="s">
        <v>23</v>
      </c>
      <c r="AJ122" s="57" t="s">
        <v>23</v>
      </c>
      <c r="AK122" s="57" t="s">
        <v>23</v>
      </c>
      <c r="AL122" s="57" t="s">
        <v>23</v>
      </c>
      <c r="AM122" s="57" t="s">
        <v>23</v>
      </c>
      <c r="AN122" s="57" t="s">
        <v>23</v>
      </c>
      <c r="AO122" s="57" t="s">
        <v>23</v>
      </c>
      <c r="AP122" s="57" t="s">
        <v>23</v>
      </c>
      <c r="AQ122" s="57" t="s">
        <v>23</v>
      </c>
      <c r="AR122" s="57" t="s">
        <v>23</v>
      </c>
      <c r="AS122" s="57" t="s">
        <v>23</v>
      </c>
      <c r="AT122" s="57" t="s">
        <v>23</v>
      </c>
      <c r="AU122" s="57" t="s">
        <v>23</v>
      </c>
      <c r="AV122" s="57" t="s">
        <v>23</v>
      </c>
      <c r="AW122" s="57" t="s">
        <v>23</v>
      </c>
      <c r="AX122" s="57" t="s">
        <v>23</v>
      </c>
      <c r="AY122" s="57" t="s">
        <v>23</v>
      </c>
      <c r="AZ122" s="57" t="s">
        <v>23</v>
      </c>
      <c r="BA122" s="57" t="s">
        <v>23</v>
      </c>
      <c r="BB122" s="57" t="s">
        <v>23</v>
      </c>
      <c r="BC122" s="57" t="s">
        <v>23</v>
      </c>
      <c r="BD122" s="57" t="s">
        <v>23</v>
      </c>
      <c r="BE122" s="57" t="s">
        <v>23</v>
      </c>
      <c r="BF122" s="57" t="s">
        <v>23</v>
      </c>
      <c r="BG122" s="57" t="s">
        <v>23</v>
      </c>
      <c r="BH122" s="57" t="s">
        <v>23</v>
      </c>
      <c r="BI122" s="57" t="s">
        <v>23</v>
      </c>
      <c r="BJ122" s="57" t="s">
        <v>23</v>
      </c>
      <c r="BK122" s="57" t="s">
        <v>23</v>
      </c>
    </row>
    <row r="123" spans="1:63" s="27" customFormat="1" ht="15.2" customHeight="1">
      <c r="A123" s="64"/>
      <c r="B123" s="63"/>
      <c r="C123" s="62" t="s">
        <v>218</v>
      </c>
      <c r="D123" s="61"/>
      <c r="E123" s="61"/>
      <c r="F123" s="61"/>
      <c r="G123" s="61"/>
      <c r="H123" s="61"/>
      <c r="I123" s="60"/>
      <c r="J123" s="61"/>
      <c r="K123" s="60"/>
      <c r="L123" s="60"/>
      <c r="M123" s="61"/>
      <c r="N123" s="61"/>
      <c r="O123" s="61"/>
      <c r="P123" s="61"/>
      <c r="Q123" s="61"/>
      <c r="R123" s="60"/>
      <c r="S123" s="59" t="s">
        <v>71</v>
      </c>
      <c r="T123" s="58"/>
      <c r="U123" s="57" t="s">
        <v>23</v>
      </c>
      <c r="V123" s="57" t="s">
        <v>23</v>
      </c>
      <c r="W123" s="57" t="s">
        <v>23</v>
      </c>
      <c r="X123" s="57" t="s">
        <v>23</v>
      </c>
      <c r="Y123" s="57" t="s">
        <v>23</v>
      </c>
      <c r="Z123" s="57" t="s">
        <v>23</v>
      </c>
      <c r="AA123" s="57" t="s">
        <v>23</v>
      </c>
      <c r="AB123" s="57" t="s">
        <v>23</v>
      </c>
      <c r="AC123" s="57" t="s">
        <v>23</v>
      </c>
      <c r="AD123" s="57" t="s">
        <v>23</v>
      </c>
      <c r="AE123" s="57" t="s">
        <v>23</v>
      </c>
      <c r="AF123" s="57" t="s">
        <v>23</v>
      </c>
      <c r="AG123" s="57" t="s">
        <v>23</v>
      </c>
      <c r="AH123" s="57" t="s">
        <v>23</v>
      </c>
      <c r="AI123" s="57" t="s">
        <v>23</v>
      </c>
      <c r="AJ123" s="57" t="s">
        <v>23</v>
      </c>
      <c r="AK123" s="57" t="s">
        <v>23</v>
      </c>
      <c r="AL123" s="57" t="s">
        <v>23</v>
      </c>
      <c r="AM123" s="57" t="s">
        <v>23</v>
      </c>
      <c r="AN123" s="57" t="s">
        <v>23</v>
      </c>
      <c r="AO123" s="57" t="s">
        <v>23</v>
      </c>
      <c r="AP123" s="57" t="s">
        <v>23</v>
      </c>
      <c r="AQ123" s="57" t="s">
        <v>23</v>
      </c>
      <c r="AR123" s="57" t="s">
        <v>23</v>
      </c>
      <c r="AS123" s="57" t="s">
        <v>23</v>
      </c>
      <c r="AT123" s="57" t="s">
        <v>23</v>
      </c>
      <c r="AU123" s="57" t="s">
        <v>23</v>
      </c>
      <c r="AV123" s="57" t="s">
        <v>23</v>
      </c>
      <c r="AW123" s="57" t="s">
        <v>23</v>
      </c>
      <c r="AX123" s="57" t="s">
        <v>23</v>
      </c>
      <c r="AY123" s="57" t="s">
        <v>23</v>
      </c>
      <c r="AZ123" s="57" t="s">
        <v>23</v>
      </c>
      <c r="BA123" s="57" t="s">
        <v>23</v>
      </c>
      <c r="BB123" s="57" t="s">
        <v>23</v>
      </c>
      <c r="BC123" s="57" t="s">
        <v>23</v>
      </c>
      <c r="BD123" s="57" t="s">
        <v>23</v>
      </c>
      <c r="BE123" s="57" t="s">
        <v>23</v>
      </c>
      <c r="BF123" s="57" t="s">
        <v>23</v>
      </c>
      <c r="BG123" s="57" t="s">
        <v>23</v>
      </c>
      <c r="BH123" s="57" t="s">
        <v>23</v>
      </c>
      <c r="BI123" s="57" t="s">
        <v>23</v>
      </c>
      <c r="BJ123" s="57" t="s">
        <v>23</v>
      </c>
      <c r="BK123" s="57" t="s">
        <v>23</v>
      </c>
    </row>
    <row r="124" spans="1:63" s="27" customFormat="1" ht="15.2" customHeight="1">
      <c r="A124" s="64"/>
      <c r="B124" s="116" t="s">
        <v>217</v>
      </c>
      <c r="C124" s="115"/>
      <c r="D124" s="114"/>
      <c r="E124" s="114"/>
      <c r="F124" s="114"/>
      <c r="G124" s="114"/>
      <c r="H124" s="114"/>
      <c r="I124" s="113"/>
      <c r="J124" s="112"/>
      <c r="K124" s="113"/>
      <c r="L124" s="113"/>
      <c r="M124" s="114"/>
      <c r="N124" s="114"/>
      <c r="O124" s="114"/>
      <c r="P124" s="114"/>
      <c r="Q124" s="114"/>
      <c r="R124" s="113"/>
      <c r="S124" s="112"/>
      <c r="T124" s="111"/>
      <c r="U124" s="110"/>
      <c r="V124" s="110"/>
      <c r="W124" s="109"/>
      <c r="X124" s="109"/>
      <c r="Y124" s="110"/>
      <c r="Z124" s="109"/>
      <c r="AA124" s="109"/>
      <c r="AB124" s="110"/>
      <c r="AC124" s="109"/>
      <c r="AD124" s="109"/>
      <c r="AE124" s="110"/>
      <c r="AF124" s="109"/>
      <c r="AG124" s="109"/>
      <c r="AH124" s="110"/>
      <c r="AI124" s="109"/>
      <c r="AJ124" s="109"/>
      <c r="AK124" s="110"/>
      <c r="AL124" s="109"/>
      <c r="AM124" s="109"/>
      <c r="AN124" s="110"/>
      <c r="AO124" s="109"/>
      <c r="AP124" s="109"/>
      <c r="AQ124" s="110"/>
      <c r="AR124" s="109"/>
      <c r="AS124" s="109"/>
      <c r="AT124" s="110"/>
      <c r="AU124" s="109"/>
      <c r="AV124" s="109"/>
      <c r="AW124" s="110"/>
      <c r="AX124" s="109"/>
      <c r="AY124" s="109"/>
      <c r="AZ124" s="110"/>
      <c r="BA124" s="109"/>
      <c r="BB124" s="109"/>
      <c r="BC124" s="110"/>
      <c r="BD124" s="109"/>
      <c r="BE124" s="109"/>
      <c r="BF124" s="110"/>
      <c r="BG124" s="109"/>
      <c r="BH124" s="109"/>
      <c r="BI124" s="110"/>
      <c r="BJ124" s="109"/>
      <c r="BK124" s="109"/>
    </row>
    <row r="125" spans="1:63" s="27" customFormat="1" ht="14.25" customHeight="1" thickBot="1">
      <c r="A125" s="64"/>
      <c r="B125" s="108"/>
      <c r="C125" s="107" t="s">
        <v>216</v>
      </c>
      <c r="D125" s="106"/>
      <c r="E125" s="106"/>
      <c r="F125" s="106"/>
      <c r="G125" s="106"/>
      <c r="H125" s="106"/>
      <c r="I125" s="106"/>
      <c r="J125" s="106"/>
      <c r="K125" s="106"/>
      <c r="L125" s="106"/>
      <c r="M125" s="106"/>
      <c r="N125" s="106"/>
      <c r="O125" s="106"/>
      <c r="P125" s="106"/>
      <c r="Q125" s="106"/>
      <c r="R125" s="105"/>
      <c r="S125" s="104"/>
      <c r="T125" s="103"/>
      <c r="U125" s="102" t="s">
        <v>23</v>
      </c>
      <c r="V125" s="102" t="s">
        <v>23</v>
      </c>
      <c r="W125" s="102" t="s">
        <v>23</v>
      </c>
      <c r="X125" s="102" t="s">
        <v>23</v>
      </c>
      <c r="Y125" s="102" t="s">
        <v>23</v>
      </c>
      <c r="Z125" s="102" t="s">
        <v>23</v>
      </c>
      <c r="AA125" s="102" t="s">
        <v>23</v>
      </c>
      <c r="AB125" s="102" t="s">
        <v>23</v>
      </c>
      <c r="AC125" s="102" t="s">
        <v>23</v>
      </c>
      <c r="AD125" s="102" t="s">
        <v>23</v>
      </c>
      <c r="AE125" s="102" t="s">
        <v>23</v>
      </c>
      <c r="AF125" s="102" t="s">
        <v>23</v>
      </c>
      <c r="AG125" s="102" t="s">
        <v>23</v>
      </c>
      <c r="AH125" s="102" t="s">
        <v>23</v>
      </c>
      <c r="AI125" s="102" t="s">
        <v>23</v>
      </c>
      <c r="AJ125" s="102" t="s">
        <v>23</v>
      </c>
      <c r="AK125" s="102" t="s">
        <v>23</v>
      </c>
      <c r="AL125" s="102" t="s">
        <v>23</v>
      </c>
      <c r="AM125" s="102" t="s">
        <v>23</v>
      </c>
      <c r="AN125" s="102" t="s">
        <v>23</v>
      </c>
      <c r="AO125" s="102" t="s">
        <v>23</v>
      </c>
      <c r="AP125" s="102" t="s">
        <v>23</v>
      </c>
      <c r="AQ125" s="102" t="s">
        <v>23</v>
      </c>
      <c r="AR125" s="102" t="s">
        <v>23</v>
      </c>
      <c r="AS125" s="102" t="s">
        <v>23</v>
      </c>
      <c r="AT125" s="102" t="s">
        <v>23</v>
      </c>
      <c r="AU125" s="102" t="s">
        <v>23</v>
      </c>
      <c r="AV125" s="102" t="s">
        <v>23</v>
      </c>
      <c r="AW125" s="102" t="s">
        <v>23</v>
      </c>
      <c r="AX125" s="102" t="s">
        <v>23</v>
      </c>
      <c r="AY125" s="102" t="s">
        <v>23</v>
      </c>
      <c r="AZ125" s="102" t="s">
        <v>23</v>
      </c>
      <c r="BA125" s="102" t="s">
        <v>23</v>
      </c>
      <c r="BB125" s="102" t="s">
        <v>23</v>
      </c>
      <c r="BC125" s="102" t="s">
        <v>23</v>
      </c>
      <c r="BD125" s="102" t="s">
        <v>23</v>
      </c>
      <c r="BE125" s="102" t="s">
        <v>23</v>
      </c>
      <c r="BF125" s="102" t="s">
        <v>23</v>
      </c>
      <c r="BG125" s="102" t="s">
        <v>23</v>
      </c>
      <c r="BH125" s="102" t="s">
        <v>23</v>
      </c>
      <c r="BI125" s="102" t="s">
        <v>23</v>
      </c>
      <c r="BJ125" s="102" t="s">
        <v>23</v>
      </c>
      <c r="BK125" s="102" t="s">
        <v>23</v>
      </c>
    </row>
    <row r="126" spans="1:63" s="27" customFormat="1" ht="15.2" customHeight="1" thickTop="1">
      <c r="A126" s="101" t="s">
        <v>215</v>
      </c>
      <c r="B126" s="100"/>
      <c r="C126" s="99"/>
      <c r="D126" s="99"/>
      <c r="E126" s="99"/>
      <c r="F126" s="99"/>
      <c r="G126" s="99"/>
      <c r="H126" s="99"/>
      <c r="I126" s="99"/>
      <c r="J126" s="99"/>
      <c r="K126" s="99"/>
      <c r="L126" s="99"/>
      <c r="M126" s="99"/>
      <c r="N126" s="99"/>
      <c r="O126" s="392"/>
      <c r="P126" s="392"/>
      <c r="Q126" s="392"/>
      <c r="R126" s="392"/>
      <c r="S126" s="392"/>
      <c r="T126" s="393"/>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c r="BD126" s="98"/>
      <c r="BE126" s="98"/>
      <c r="BF126" s="98"/>
      <c r="BG126" s="98"/>
      <c r="BH126" s="98"/>
      <c r="BI126" s="98"/>
      <c r="BJ126" s="98"/>
      <c r="BK126" s="98"/>
    </row>
    <row r="127" spans="1:63" s="27" customFormat="1" ht="15.2" customHeight="1">
      <c r="A127" s="64"/>
      <c r="B127" s="79"/>
      <c r="C127" s="84" t="s">
        <v>214</v>
      </c>
      <c r="D127" s="83"/>
      <c r="E127" s="83"/>
      <c r="F127" s="83"/>
      <c r="G127" s="83"/>
      <c r="H127" s="83"/>
      <c r="I127" s="83"/>
      <c r="J127" s="83"/>
      <c r="K127" s="83"/>
      <c r="L127" s="83"/>
      <c r="M127" s="83"/>
      <c r="N127" s="83"/>
      <c r="O127" s="83"/>
      <c r="P127" s="83"/>
      <c r="Q127" s="83"/>
      <c r="R127" s="83"/>
      <c r="S127" s="82"/>
      <c r="T127" s="81"/>
      <c r="U127" s="80"/>
      <c r="V127" s="80"/>
      <c r="W127" s="80"/>
      <c r="X127" s="80"/>
      <c r="Y127" s="80"/>
      <c r="Z127" s="80"/>
      <c r="AA127" s="80"/>
      <c r="AB127" s="80"/>
      <c r="AC127" s="80"/>
      <c r="AD127" s="80"/>
      <c r="AE127" s="80"/>
      <c r="AF127" s="80"/>
      <c r="AG127" s="80"/>
      <c r="AH127" s="80"/>
      <c r="AI127" s="80"/>
      <c r="AJ127" s="80"/>
      <c r="AK127" s="80"/>
      <c r="AL127" s="80"/>
      <c r="AM127" s="80"/>
      <c r="AN127" s="80"/>
      <c r="AO127" s="80"/>
      <c r="AP127" s="80"/>
      <c r="AQ127" s="80"/>
      <c r="AR127" s="80"/>
      <c r="AS127" s="80"/>
      <c r="AT127" s="80"/>
      <c r="AU127" s="80"/>
      <c r="AV127" s="80"/>
      <c r="AW127" s="80"/>
      <c r="AX127" s="80"/>
      <c r="AY127" s="80"/>
      <c r="AZ127" s="80"/>
      <c r="BA127" s="80"/>
      <c r="BB127" s="80"/>
      <c r="BC127" s="80"/>
      <c r="BD127" s="80"/>
      <c r="BE127" s="80"/>
      <c r="BF127" s="80"/>
      <c r="BG127" s="80"/>
      <c r="BH127" s="80"/>
      <c r="BI127" s="80"/>
      <c r="BJ127" s="80"/>
      <c r="BK127" s="80"/>
    </row>
    <row r="128" spans="1:63" s="27" customFormat="1" ht="15.2" customHeight="1">
      <c r="A128" s="64"/>
      <c r="B128" s="79"/>
      <c r="C128" s="78" t="s">
        <v>213</v>
      </c>
      <c r="D128" s="77"/>
      <c r="E128" s="77"/>
      <c r="F128" s="77"/>
      <c r="G128" s="77"/>
      <c r="H128" s="77"/>
      <c r="I128" s="77"/>
      <c r="J128" s="77"/>
      <c r="K128" s="77"/>
      <c r="L128" s="77"/>
      <c r="M128" s="77"/>
      <c r="N128" s="77"/>
      <c r="O128" s="77"/>
      <c r="P128" s="77"/>
      <c r="Q128" s="77"/>
      <c r="R128" s="96"/>
      <c r="S128" s="97" t="s">
        <v>51</v>
      </c>
      <c r="T128" s="87"/>
      <c r="U128" s="86" t="s">
        <v>59</v>
      </c>
      <c r="V128" s="86"/>
      <c r="W128" s="86"/>
      <c r="X128" s="86" t="s">
        <v>59</v>
      </c>
      <c r="Y128" s="86"/>
      <c r="Z128" s="86"/>
      <c r="AA128" s="86" t="s">
        <v>59</v>
      </c>
      <c r="AB128" s="86"/>
      <c r="AC128" s="86"/>
      <c r="AD128" s="86" t="s">
        <v>59</v>
      </c>
      <c r="AE128" s="86"/>
      <c r="AF128" s="86"/>
      <c r="AG128" s="86" t="s">
        <v>59</v>
      </c>
      <c r="AH128" s="86"/>
      <c r="AI128" s="86"/>
      <c r="AJ128" s="86" t="s">
        <v>59</v>
      </c>
      <c r="AK128" s="86"/>
      <c r="AL128" s="86"/>
      <c r="AM128" s="86" t="s">
        <v>59</v>
      </c>
      <c r="AN128" s="86"/>
      <c r="AO128" s="86"/>
      <c r="AP128" s="86" t="s">
        <v>59</v>
      </c>
      <c r="AQ128" s="86"/>
      <c r="AR128" s="86"/>
      <c r="AS128" s="86" t="s">
        <v>59</v>
      </c>
      <c r="AT128" s="86"/>
      <c r="AU128" s="86"/>
      <c r="AV128" s="86" t="s">
        <v>59</v>
      </c>
      <c r="AW128" s="86"/>
      <c r="AX128" s="86"/>
      <c r="AY128" s="86" t="s">
        <v>59</v>
      </c>
      <c r="AZ128" s="86"/>
      <c r="BA128" s="86"/>
      <c r="BB128" s="86" t="s">
        <v>59</v>
      </c>
      <c r="BC128" s="86"/>
      <c r="BD128" s="86"/>
      <c r="BE128" s="86" t="s">
        <v>59</v>
      </c>
      <c r="BF128" s="86"/>
      <c r="BG128" s="86"/>
      <c r="BH128" s="86" t="s">
        <v>59</v>
      </c>
      <c r="BI128" s="86"/>
      <c r="BJ128" s="86"/>
      <c r="BK128" s="86" t="s">
        <v>59</v>
      </c>
    </row>
    <row r="129" spans="1:63" s="27" customFormat="1" ht="15.2" customHeight="1">
      <c r="A129" s="64"/>
      <c r="B129" s="79"/>
      <c r="C129" s="95"/>
      <c r="D129" s="94"/>
      <c r="E129" s="94"/>
      <c r="F129" s="94"/>
      <c r="G129" s="94"/>
      <c r="H129" s="94"/>
      <c r="I129" s="94"/>
      <c r="J129" s="94"/>
      <c r="K129" s="94"/>
      <c r="L129" s="94"/>
      <c r="M129" s="94"/>
      <c r="N129" s="94"/>
      <c r="O129" s="94"/>
      <c r="P129" s="94"/>
      <c r="Q129" s="94"/>
      <c r="R129" s="93"/>
      <c r="S129" s="92" t="s">
        <v>79</v>
      </c>
      <c r="T129" s="87"/>
      <c r="U129" s="86"/>
      <c r="V129" s="86" t="s">
        <v>59</v>
      </c>
      <c r="W129" s="86" t="s">
        <v>59</v>
      </c>
      <c r="X129" s="86"/>
      <c r="Y129" s="86" t="s">
        <v>59</v>
      </c>
      <c r="Z129" s="86" t="s">
        <v>59</v>
      </c>
      <c r="AA129" s="86"/>
      <c r="AB129" s="86" t="s">
        <v>59</v>
      </c>
      <c r="AC129" s="86" t="s">
        <v>59</v>
      </c>
      <c r="AD129" s="86"/>
      <c r="AE129" s="86" t="s">
        <v>59</v>
      </c>
      <c r="AF129" s="86" t="s">
        <v>59</v>
      </c>
      <c r="AG129" s="86"/>
      <c r="AH129" s="86" t="s">
        <v>59</v>
      </c>
      <c r="AI129" s="86" t="s">
        <v>59</v>
      </c>
      <c r="AJ129" s="86"/>
      <c r="AK129" s="86" t="s">
        <v>59</v>
      </c>
      <c r="AL129" s="86" t="s">
        <v>59</v>
      </c>
      <c r="AM129" s="86"/>
      <c r="AN129" s="86" t="s">
        <v>59</v>
      </c>
      <c r="AO129" s="86" t="s">
        <v>59</v>
      </c>
      <c r="AP129" s="86"/>
      <c r="AQ129" s="86" t="s">
        <v>59</v>
      </c>
      <c r="AR129" s="86" t="s">
        <v>59</v>
      </c>
      <c r="AS129" s="86"/>
      <c r="AT129" s="86" t="s">
        <v>59</v>
      </c>
      <c r="AU129" s="86" t="s">
        <v>59</v>
      </c>
      <c r="AV129" s="86"/>
      <c r="AW129" s="86" t="s">
        <v>59</v>
      </c>
      <c r="AX129" s="86" t="s">
        <v>59</v>
      </c>
      <c r="AY129" s="86"/>
      <c r="AZ129" s="86" t="s">
        <v>59</v>
      </c>
      <c r="BA129" s="86" t="s">
        <v>59</v>
      </c>
      <c r="BB129" s="86"/>
      <c r="BC129" s="86" t="s">
        <v>59</v>
      </c>
      <c r="BD129" s="86" t="s">
        <v>59</v>
      </c>
      <c r="BE129" s="86"/>
      <c r="BF129" s="86" t="s">
        <v>59</v>
      </c>
      <c r="BG129" s="86" t="s">
        <v>59</v>
      </c>
      <c r="BH129" s="86"/>
      <c r="BI129" s="86" t="s">
        <v>59</v>
      </c>
      <c r="BJ129" s="86" t="s">
        <v>59</v>
      </c>
      <c r="BK129" s="86"/>
    </row>
    <row r="130" spans="1:63" s="27" customFormat="1" ht="15.2" customHeight="1">
      <c r="A130" s="64"/>
      <c r="B130" s="79"/>
      <c r="C130" s="78" t="s">
        <v>212</v>
      </c>
      <c r="D130" s="77"/>
      <c r="E130" s="77"/>
      <c r="F130" s="77"/>
      <c r="G130" s="77"/>
      <c r="H130" s="77"/>
      <c r="I130" s="77"/>
      <c r="J130" s="77"/>
      <c r="K130" s="77"/>
      <c r="L130" s="77"/>
      <c r="M130" s="77"/>
      <c r="N130" s="77"/>
      <c r="O130" s="77"/>
      <c r="P130" s="77"/>
      <c r="Q130" s="77"/>
      <c r="R130" s="96"/>
      <c r="S130" s="92" t="s">
        <v>76</v>
      </c>
      <c r="T130" s="87"/>
      <c r="U130" s="86" t="s">
        <v>59</v>
      </c>
      <c r="V130" s="86"/>
      <c r="W130" s="86"/>
      <c r="X130" s="86" t="s">
        <v>59</v>
      </c>
      <c r="Y130" s="86"/>
      <c r="Z130" s="86"/>
      <c r="AA130" s="86" t="s">
        <v>59</v>
      </c>
      <c r="AB130" s="86"/>
      <c r="AC130" s="86"/>
      <c r="AD130" s="86" t="s">
        <v>59</v>
      </c>
      <c r="AE130" s="86"/>
      <c r="AF130" s="86"/>
      <c r="AG130" s="86" t="s">
        <v>59</v>
      </c>
      <c r="AH130" s="86"/>
      <c r="AI130" s="86"/>
      <c r="AJ130" s="86" t="s">
        <v>59</v>
      </c>
      <c r="AK130" s="86"/>
      <c r="AL130" s="86"/>
      <c r="AM130" s="86" t="s">
        <v>59</v>
      </c>
      <c r="AN130" s="86"/>
      <c r="AO130" s="86"/>
      <c r="AP130" s="86" t="s">
        <v>59</v>
      </c>
      <c r="AQ130" s="86"/>
      <c r="AR130" s="86"/>
      <c r="AS130" s="86" t="s">
        <v>59</v>
      </c>
      <c r="AT130" s="86"/>
      <c r="AU130" s="86"/>
      <c r="AV130" s="86" t="s">
        <v>59</v>
      </c>
      <c r="AW130" s="86"/>
      <c r="AX130" s="86"/>
      <c r="AY130" s="86" t="s">
        <v>59</v>
      </c>
      <c r="AZ130" s="86"/>
      <c r="BA130" s="86"/>
      <c r="BB130" s="86" t="s">
        <v>59</v>
      </c>
      <c r="BC130" s="86"/>
      <c r="BD130" s="86"/>
      <c r="BE130" s="86" t="s">
        <v>59</v>
      </c>
      <c r="BF130" s="86"/>
      <c r="BG130" s="86"/>
      <c r="BH130" s="86" t="s">
        <v>59</v>
      </c>
      <c r="BI130" s="86"/>
      <c r="BJ130" s="86"/>
      <c r="BK130" s="86" t="s">
        <v>59</v>
      </c>
    </row>
    <row r="131" spans="1:63" s="27" customFormat="1" ht="15.2" customHeight="1">
      <c r="A131" s="64"/>
      <c r="B131" s="79"/>
      <c r="C131" s="95"/>
      <c r="D131" s="94"/>
      <c r="E131" s="94"/>
      <c r="F131" s="94"/>
      <c r="G131" s="94"/>
      <c r="H131" s="94"/>
      <c r="I131" s="94"/>
      <c r="J131" s="94"/>
      <c r="K131" s="94"/>
      <c r="L131" s="94"/>
      <c r="M131" s="94"/>
      <c r="N131" s="94"/>
      <c r="O131" s="94"/>
      <c r="P131" s="94"/>
      <c r="Q131" s="94"/>
      <c r="R131" s="93"/>
      <c r="S131" s="92" t="s">
        <v>209</v>
      </c>
      <c r="T131" s="87"/>
      <c r="U131" s="86"/>
      <c r="V131" s="86" t="s">
        <v>59</v>
      </c>
      <c r="W131" s="86" t="s">
        <v>59</v>
      </c>
      <c r="X131" s="86"/>
      <c r="Y131" s="86" t="s">
        <v>59</v>
      </c>
      <c r="Z131" s="86" t="s">
        <v>59</v>
      </c>
      <c r="AA131" s="86"/>
      <c r="AB131" s="86" t="s">
        <v>59</v>
      </c>
      <c r="AC131" s="86" t="s">
        <v>59</v>
      </c>
      <c r="AD131" s="86"/>
      <c r="AE131" s="86" t="s">
        <v>59</v>
      </c>
      <c r="AF131" s="86" t="s">
        <v>59</v>
      </c>
      <c r="AG131" s="86"/>
      <c r="AH131" s="86" t="s">
        <v>59</v>
      </c>
      <c r="AI131" s="86" t="s">
        <v>59</v>
      </c>
      <c r="AJ131" s="86"/>
      <c r="AK131" s="86" t="s">
        <v>59</v>
      </c>
      <c r="AL131" s="86" t="s">
        <v>59</v>
      </c>
      <c r="AM131" s="86"/>
      <c r="AN131" s="86" t="s">
        <v>59</v>
      </c>
      <c r="AO131" s="86" t="s">
        <v>59</v>
      </c>
      <c r="AP131" s="86"/>
      <c r="AQ131" s="86" t="s">
        <v>59</v>
      </c>
      <c r="AR131" s="86" t="s">
        <v>59</v>
      </c>
      <c r="AS131" s="86"/>
      <c r="AT131" s="86" t="s">
        <v>59</v>
      </c>
      <c r="AU131" s="86" t="s">
        <v>59</v>
      </c>
      <c r="AV131" s="86"/>
      <c r="AW131" s="86" t="s">
        <v>59</v>
      </c>
      <c r="AX131" s="86" t="s">
        <v>59</v>
      </c>
      <c r="AY131" s="86"/>
      <c r="AZ131" s="86" t="s">
        <v>59</v>
      </c>
      <c r="BA131" s="86" t="s">
        <v>59</v>
      </c>
      <c r="BB131" s="86"/>
      <c r="BC131" s="86" t="s">
        <v>59</v>
      </c>
      <c r="BD131" s="86" t="s">
        <v>59</v>
      </c>
      <c r="BE131" s="86"/>
      <c r="BF131" s="86" t="s">
        <v>59</v>
      </c>
      <c r="BG131" s="86" t="s">
        <v>59</v>
      </c>
      <c r="BH131" s="86"/>
      <c r="BI131" s="86" t="s">
        <v>59</v>
      </c>
      <c r="BJ131" s="86" t="s">
        <v>59</v>
      </c>
      <c r="BK131" s="86"/>
    </row>
    <row r="132" spans="1:63" s="27" customFormat="1" ht="15.2" customHeight="1">
      <c r="A132" s="64"/>
      <c r="B132" s="79"/>
      <c r="C132" s="78" t="s">
        <v>202</v>
      </c>
      <c r="D132" s="77"/>
      <c r="E132" s="77"/>
      <c r="F132" s="77"/>
      <c r="G132" s="77"/>
      <c r="H132" s="77"/>
      <c r="I132" s="77"/>
      <c r="J132" s="77"/>
      <c r="K132" s="77"/>
      <c r="L132" s="77"/>
      <c r="M132" s="77"/>
      <c r="N132" s="77"/>
      <c r="O132" s="77"/>
      <c r="P132" s="77"/>
      <c r="Q132" s="77"/>
      <c r="R132" s="96"/>
      <c r="S132" s="92" t="s">
        <v>211</v>
      </c>
      <c r="T132" s="87"/>
      <c r="U132" s="86" t="s">
        <v>59</v>
      </c>
      <c r="V132" s="86"/>
      <c r="W132" s="86"/>
      <c r="X132" s="86" t="s">
        <v>59</v>
      </c>
      <c r="Y132" s="86"/>
      <c r="Z132" s="86"/>
      <c r="AA132" s="86" t="s">
        <v>59</v>
      </c>
      <c r="AB132" s="86"/>
      <c r="AC132" s="86"/>
      <c r="AD132" s="86" t="s">
        <v>59</v>
      </c>
      <c r="AE132" s="86"/>
      <c r="AF132" s="86"/>
      <c r="AG132" s="86" t="s">
        <v>59</v>
      </c>
      <c r="AH132" s="86"/>
      <c r="AI132" s="86"/>
      <c r="AJ132" s="86" t="s">
        <v>59</v>
      </c>
      <c r="AK132" s="86"/>
      <c r="AL132" s="86"/>
      <c r="AM132" s="86" t="s">
        <v>59</v>
      </c>
      <c r="AN132" s="86"/>
      <c r="AO132" s="86"/>
      <c r="AP132" s="86" t="s">
        <v>59</v>
      </c>
      <c r="AQ132" s="86"/>
      <c r="AR132" s="86"/>
      <c r="AS132" s="86" t="s">
        <v>59</v>
      </c>
      <c r="AT132" s="86"/>
      <c r="AU132" s="86"/>
      <c r="AV132" s="86" t="s">
        <v>59</v>
      </c>
      <c r="AW132" s="86"/>
      <c r="AX132" s="86"/>
      <c r="AY132" s="86" t="s">
        <v>59</v>
      </c>
      <c r="AZ132" s="86"/>
      <c r="BA132" s="86"/>
      <c r="BB132" s="86" t="s">
        <v>59</v>
      </c>
      <c r="BC132" s="86"/>
      <c r="BD132" s="86"/>
      <c r="BE132" s="86" t="s">
        <v>59</v>
      </c>
      <c r="BF132" s="86"/>
      <c r="BG132" s="86"/>
      <c r="BH132" s="86" t="s">
        <v>59</v>
      </c>
      <c r="BI132" s="86"/>
      <c r="BJ132" s="86"/>
      <c r="BK132" s="86" t="s">
        <v>59</v>
      </c>
    </row>
    <row r="133" spans="1:63" s="27" customFormat="1" ht="15.2" customHeight="1">
      <c r="A133" s="64"/>
      <c r="B133" s="79"/>
      <c r="C133" s="95"/>
      <c r="D133" s="94"/>
      <c r="E133" s="94"/>
      <c r="F133" s="94"/>
      <c r="G133" s="94"/>
      <c r="H133" s="94"/>
      <c r="I133" s="94"/>
      <c r="J133" s="94"/>
      <c r="K133" s="94"/>
      <c r="L133" s="94"/>
      <c r="M133" s="94"/>
      <c r="N133" s="94"/>
      <c r="O133" s="94"/>
      <c r="P133" s="94"/>
      <c r="Q133" s="94"/>
      <c r="R133" s="93"/>
      <c r="S133" s="92" t="s">
        <v>209</v>
      </c>
      <c r="T133" s="87"/>
      <c r="U133" s="86"/>
      <c r="V133" s="86" t="s">
        <v>59</v>
      </c>
      <c r="W133" s="86" t="s">
        <v>59</v>
      </c>
      <c r="X133" s="86"/>
      <c r="Y133" s="86" t="s">
        <v>59</v>
      </c>
      <c r="Z133" s="86" t="s">
        <v>59</v>
      </c>
      <c r="AA133" s="86"/>
      <c r="AB133" s="86" t="s">
        <v>59</v>
      </c>
      <c r="AC133" s="86" t="s">
        <v>59</v>
      </c>
      <c r="AD133" s="86"/>
      <c r="AE133" s="86" t="s">
        <v>59</v>
      </c>
      <c r="AF133" s="86" t="s">
        <v>59</v>
      </c>
      <c r="AG133" s="86"/>
      <c r="AH133" s="86" t="s">
        <v>59</v>
      </c>
      <c r="AI133" s="86" t="s">
        <v>59</v>
      </c>
      <c r="AJ133" s="86"/>
      <c r="AK133" s="86" t="s">
        <v>59</v>
      </c>
      <c r="AL133" s="86" t="s">
        <v>59</v>
      </c>
      <c r="AM133" s="86"/>
      <c r="AN133" s="86" t="s">
        <v>59</v>
      </c>
      <c r="AO133" s="86" t="s">
        <v>59</v>
      </c>
      <c r="AP133" s="86"/>
      <c r="AQ133" s="86" t="s">
        <v>59</v>
      </c>
      <c r="AR133" s="86" t="s">
        <v>59</v>
      </c>
      <c r="AS133" s="86"/>
      <c r="AT133" s="86" t="s">
        <v>59</v>
      </c>
      <c r="AU133" s="86" t="s">
        <v>59</v>
      </c>
      <c r="AV133" s="86"/>
      <c r="AW133" s="86" t="s">
        <v>59</v>
      </c>
      <c r="AX133" s="86" t="s">
        <v>59</v>
      </c>
      <c r="AY133" s="86"/>
      <c r="AZ133" s="86" t="s">
        <v>59</v>
      </c>
      <c r="BA133" s="86" t="s">
        <v>59</v>
      </c>
      <c r="BB133" s="86"/>
      <c r="BC133" s="86" t="s">
        <v>59</v>
      </c>
      <c r="BD133" s="86" t="s">
        <v>59</v>
      </c>
      <c r="BE133" s="86"/>
      <c r="BF133" s="86" t="s">
        <v>59</v>
      </c>
      <c r="BG133" s="86" t="s">
        <v>59</v>
      </c>
      <c r="BH133" s="86"/>
      <c r="BI133" s="86" t="s">
        <v>59</v>
      </c>
      <c r="BJ133" s="86" t="s">
        <v>59</v>
      </c>
      <c r="BK133" s="86"/>
    </row>
    <row r="134" spans="1:63" s="27" customFormat="1" ht="15.2" customHeight="1">
      <c r="A134" s="64"/>
      <c r="B134" s="79"/>
      <c r="C134" s="78" t="s">
        <v>198</v>
      </c>
      <c r="D134" s="77"/>
      <c r="E134" s="77"/>
      <c r="F134" s="77"/>
      <c r="G134" s="77"/>
      <c r="H134" s="77"/>
      <c r="I134" s="77"/>
      <c r="J134" s="77"/>
      <c r="K134" s="77"/>
      <c r="L134" s="77"/>
      <c r="M134" s="77"/>
      <c r="N134" s="77"/>
      <c r="O134" s="77"/>
      <c r="P134" s="77"/>
      <c r="Q134" s="77"/>
      <c r="R134" s="96"/>
      <c r="S134" s="92" t="s">
        <v>210</v>
      </c>
      <c r="T134" s="87"/>
      <c r="U134" s="86" t="s">
        <v>59</v>
      </c>
      <c r="V134" s="86"/>
      <c r="W134" s="86"/>
      <c r="X134" s="86" t="s">
        <v>59</v>
      </c>
      <c r="Y134" s="86"/>
      <c r="Z134" s="86"/>
      <c r="AA134" s="86" t="s">
        <v>59</v>
      </c>
      <c r="AB134" s="86"/>
      <c r="AC134" s="86"/>
      <c r="AD134" s="86" t="s">
        <v>59</v>
      </c>
      <c r="AE134" s="86"/>
      <c r="AF134" s="86"/>
      <c r="AG134" s="86" t="s">
        <v>59</v>
      </c>
      <c r="AH134" s="86"/>
      <c r="AI134" s="86"/>
      <c r="AJ134" s="86" t="s">
        <v>59</v>
      </c>
      <c r="AK134" s="86"/>
      <c r="AL134" s="86"/>
      <c r="AM134" s="86" t="s">
        <v>59</v>
      </c>
      <c r="AN134" s="86"/>
      <c r="AO134" s="86"/>
      <c r="AP134" s="86" t="s">
        <v>59</v>
      </c>
      <c r="AQ134" s="86"/>
      <c r="AR134" s="86"/>
      <c r="AS134" s="86" t="s">
        <v>59</v>
      </c>
      <c r="AT134" s="86"/>
      <c r="AU134" s="86"/>
      <c r="AV134" s="86" t="s">
        <v>59</v>
      </c>
      <c r="AW134" s="86"/>
      <c r="AX134" s="86"/>
      <c r="AY134" s="86" t="s">
        <v>59</v>
      </c>
      <c r="AZ134" s="86"/>
      <c r="BA134" s="86"/>
      <c r="BB134" s="86" t="s">
        <v>59</v>
      </c>
      <c r="BC134" s="86"/>
      <c r="BD134" s="86"/>
      <c r="BE134" s="86" t="s">
        <v>59</v>
      </c>
      <c r="BF134" s="86"/>
      <c r="BG134" s="86"/>
      <c r="BH134" s="86" t="s">
        <v>59</v>
      </c>
      <c r="BI134" s="86"/>
      <c r="BJ134" s="86"/>
      <c r="BK134" s="86" t="s">
        <v>59</v>
      </c>
    </row>
    <row r="135" spans="1:63" s="27" customFormat="1" ht="15.2" customHeight="1">
      <c r="A135" s="64"/>
      <c r="B135" s="79"/>
      <c r="C135" s="95"/>
      <c r="D135" s="94"/>
      <c r="E135" s="94"/>
      <c r="F135" s="94"/>
      <c r="G135" s="94"/>
      <c r="H135" s="94"/>
      <c r="I135" s="94"/>
      <c r="J135" s="94"/>
      <c r="K135" s="94"/>
      <c r="L135" s="94"/>
      <c r="M135" s="94"/>
      <c r="N135" s="94"/>
      <c r="O135" s="94"/>
      <c r="P135" s="94"/>
      <c r="Q135" s="94"/>
      <c r="R135" s="93"/>
      <c r="S135" s="92" t="s">
        <v>209</v>
      </c>
      <c r="T135" s="87"/>
      <c r="U135" s="86"/>
      <c r="V135" s="86" t="s">
        <v>59</v>
      </c>
      <c r="W135" s="86" t="s">
        <v>59</v>
      </c>
      <c r="X135" s="86"/>
      <c r="Y135" s="86" t="s">
        <v>59</v>
      </c>
      <c r="Z135" s="86" t="s">
        <v>59</v>
      </c>
      <c r="AA135" s="86"/>
      <c r="AB135" s="86" t="s">
        <v>59</v>
      </c>
      <c r="AC135" s="86" t="s">
        <v>59</v>
      </c>
      <c r="AD135" s="86"/>
      <c r="AE135" s="86" t="s">
        <v>59</v>
      </c>
      <c r="AF135" s="86" t="s">
        <v>59</v>
      </c>
      <c r="AG135" s="86"/>
      <c r="AH135" s="86" t="s">
        <v>59</v>
      </c>
      <c r="AI135" s="86" t="s">
        <v>59</v>
      </c>
      <c r="AJ135" s="86"/>
      <c r="AK135" s="86" t="s">
        <v>59</v>
      </c>
      <c r="AL135" s="86" t="s">
        <v>59</v>
      </c>
      <c r="AM135" s="86"/>
      <c r="AN135" s="86" t="s">
        <v>59</v>
      </c>
      <c r="AO135" s="86" t="s">
        <v>59</v>
      </c>
      <c r="AP135" s="86"/>
      <c r="AQ135" s="86" t="s">
        <v>59</v>
      </c>
      <c r="AR135" s="86" t="s">
        <v>59</v>
      </c>
      <c r="AS135" s="86"/>
      <c r="AT135" s="86" t="s">
        <v>59</v>
      </c>
      <c r="AU135" s="86" t="s">
        <v>59</v>
      </c>
      <c r="AV135" s="86"/>
      <c r="AW135" s="86" t="s">
        <v>59</v>
      </c>
      <c r="AX135" s="86" t="s">
        <v>59</v>
      </c>
      <c r="AY135" s="86"/>
      <c r="AZ135" s="86" t="s">
        <v>59</v>
      </c>
      <c r="BA135" s="86" t="s">
        <v>59</v>
      </c>
      <c r="BB135" s="86"/>
      <c r="BC135" s="86" t="s">
        <v>59</v>
      </c>
      <c r="BD135" s="86" t="s">
        <v>59</v>
      </c>
      <c r="BE135" s="86"/>
      <c r="BF135" s="86" t="s">
        <v>59</v>
      </c>
      <c r="BG135" s="86" t="s">
        <v>59</v>
      </c>
      <c r="BH135" s="86"/>
      <c r="BI135" s="86" t="s">
        <v>59</v>
      </c>
      <c r="BJ135" s="86" t="s">
        <v>59</v>
      </c>
      <c r="BK135" s="86"/>
    </row>
    <row r="136" spans="1:63" s="27" customFormat="1" ht="15.2" customHeight="1">
      <c r="A136" s="64"/>
      <c r="B136" s="79"/>
      <c r="C136" s="91" t="s">
        <v>208</v>
      </c>
      <c r="D136" s="90"/>
      <c r="E136" s="90"/>
      <c r="F136" s="90"/>
      <c r="G136" s="90"/>
      <c r="H136" s="90"/>
      <c r="I136" s="90"/>
      <c r="J136" s="90"/>
      <c r="K136" s="90"/>
      <c r="L136" s="90"/>
      <c r="M136" s="90"/>
      <c r="N136" s="90"/>
      <c r="O136" s="90"/>
      <c r="P136" s="90"/>
      <c r="Q136" s="90"/>
      <c r="R136" s="89"/>
      <c r="S136" s="88" t="s">
        <v>207</v>
      </c>
      <c r="T136" s="87"/>
      <c r="U136" s="86" t="s">
        <v>59</v>
      </c>
      <c r="V136" s="86"/>
      <c r="W136" s="86"/>
      <c r="X136" s="86" t="s">
        <v>59</v>
      </c>
      <c r="Y136" s="86"/>
      <c r="Z136" s="86"/>
      <c r="AA136" s="86" t="s">
        <v>59</v>
      </c>
      <c r="AB136" s="86"/>
      <c r="AC136" s="86"/>
      <c r="AD136" s="86" t="s">
        <v>59</v>
      </c>
      <c r="AE136" s="86"/>
      <c r="AF136" s="86"/>
      <c r="AG136" s="86" t="s">
        <v>59</v>
      </c>
      <c r="AH136" s="86"/>
      <c r="AI136" s="86"/>
      <c r="AJ136" s="86" t="s">
        <v>59</v>
      </c>
      <c r="AK136" s="86"/>
      <c r="AL136" s="86"/>
      <c r="AM136" s="86" t="s">
        <v>59</v>
      </c>
      <c r="AN136" s="86"/>
      <c r="AO136" s="86"/>
      <c r="AP136" s="86" t="s">
        <v>59</v>
      </c>
      <c r="AQ136" s="86"/>
      <c r="AR136" s="86"/>
      <c r="AS136" s="86" t="s">
        <v>59</v>
      </c>
      <c r="AT136" s="86"/>
      <c r="AU136" s="86"/>
      <c r="AV136" s="86" t="s">
        <v>59</v>
      </c>
      <c r="AW136" s="86"/>
      <c r="AX136" s="86"/>
      <c r="AY136" s="86" t="s">
        <v>59</v>
      </c>
      <c r="AZ136" s="86"/>
      <c r="BA136" s="86"/>
      <c r="BB136" s="86" t="s">
        <v>59</v>
      </c>
      <c r="BC136" s="86"/>
      <c r="BD136" s="86"/>
      <c r="BE136" s="86" t="s">
        <v>59</v>
      </c>
      <c r="BF136" s="86"/>
      <c r="BG136" s="86"/>
      <c r="BH136" s="86" t="s">
        <v>59</v>
      </c>
      <c r="BI136" s="86"/>
      <c r="BJ136" s="86"/>
      <c r="BK136" s="86" t="s">
        <v>59</v>
      </c>
    </row>
    <row r="137" spans="1:63" s="27" customFormat="1" ht="15.2" customHeight="1">
      <c r="A137" s="64"/>
      <c r="B137" s="79"/>
      <c r="C137" s="84" t="s">
        <v>206</v>
      </c>
      <c r="D137" s="83"/>
      <c r="E137" s="83"/>
      <c r="F137" s="83"/>
      <c r="G137" s="83"/>
      <c r="H137" s="83"/>
      <c r="I137" s="83"/>
      <c r="J137" s="83"/>
      <c r="K137" s="83"/>
      <c r="L137" s="83"/>
      <c r="M137" s="83"/>
      <c r="N137" s="83"/>
      <c r="O137" s="83"/>
      <c r="P137" s="83"/>
      <c r="Q137" s="83"/>
      <c r="R137" s="83"/>
      <c r="S137" s="82"/>
      <c r="T137" s="81"/>
      <c r="U137" s="80"/>
      <c r="V137" s="80"/>
      <c r="W137" s="80"/>
      <c r="X137" s="80"/>
      <c r="Y137" s="80"/>
      <c r="Z137" s="80"/>
      <c r="AA137" s="80"/>
      <c r="AB137" s="80"/>
      <c r="AC137" s="80"/>
      <c r="AD137" s="80"/>
      <c r="AE137" s="80"/>
      <c r="AF137" s="80"/>
      <c r="AG137" s="80"/>
      <c r="AH137" s="80"/>
      <c r="AI137" s="80"/>
      <c r="AJ137" s="80"/>
      <c r="AK137" s="80"/>
      <c r="AL137" s="80"/>
      <c r="AM137" s="80"/>
      <c r="AN137" s="80"/>
      <c r="AO137" s="80"/>
      <c r="AP137" s="80"/>
      <c r="AQ137" s="80"/>
      <c r="AR137" s="80"/>
      <c r="AS137" s="80"/>
      <c r="AT137" s="80"/>
      <c r="AU137" s="80"/>
      <c r="AV137" s="80"/>
      <c r="AW137" s="80"/>
      <c r="AX137" s="80"/>
      <c r="AY137" s="80"/>
      <c r="AZ137" s="80"/>
      <c r="BA137" s="80"/>
      <c r="BB137" s="80"/>
      <c r="BC137" s="80"/>
      <c r="BD137" s="80"/>
      <c r="BE137" s="80"/>
      <c r="BF137" s="80"/>
      <c r="BG137" s="80"/>
      <c r="BH137" s="80"/>
      <c r="BI137" s="80"/>
      <c r="BJ137" s="80"/>
      <c r="BK137" s="80"/>
    </row>
    <row r="138" spans="1:63" s="27" customFormat="1" ht="15.2" customHeight="1">
      <c r="A138" s="64"/>
      <c r="B138" s="79"/>
      <c r="C138" s="78" t="s">
        <v>541</v>
      </c>
      <c r="D138" s="77"/>
      <c r="E138" s="77"/>
      <c r="F138" s="77"/>
      <c r="G138" s="77"/>
      <c r="H138" s="77"/>
      <c r="I138" s="77"/>
      <c r="J138" s="77"/>
      <c r="K138" s="77"/>
      <c r="L138" s="77"/>
      <c r="M138" s="77"/>
      <c r="N138" s="77"/>
      <c r="O138" s="77"/>
      <c r="P138" s="77"/>
      <c r="Q138" s="77"/>
      <c r="R138" s="77"/>
      <c r="S138" s="76"/>
      <c r="T138" s="75"/>
      <c r="U138" s="86"/>
      <c r="V138" s="86" t="s">
        <v>59</v>
      </c>
      <c r="W138" s="86"/>
      <c r="X138" s="86"/>
      <c r="Y138" s="86" t="s">
        <v>59</v>
      </c>
      <c r="Z138" s="86"/>
      <c r="AA138" s="86"/>
      <c r="AB138" s="86" t="s">
        <v>59</v>
      </c>
      <c r="AC138" s="86"/>
      <c r="AD138" s="86"/>
      <c r="AE138" s="86" t="s">
        <v>59</v>
      </c>
      <c r="AF138" s="86"/>
      <c r="AG138" s="86"/>
      <c r="AH138" s="86" t="s">
        <v>59</v>
      </c>
      <c r="AI138" s="86"/>
      <c r="AJ138" s="86"/>
      <c r="AK138" s="86" t="s">
        <v>59</v>
      </c>
      <c r="AL138" s="86"/>
      <c r="AM138" s="86"/>
      <c r="AN138" s="86" t="s">
        <v>59</v>
      </c>
      <c r="AO138" s="86"/>
      <c r="AP138" s="86"/>
      <c r="AQ138" s="86" t="s">
        <v>59</v>
      </c>
      <c r="AR138" s="86"/>
      <c r="AS138" s="86"/>
      <c r="AT138" s="86" t="s">
        <v>59</v>
      </c>
      <c r="AU138" s="86"/>
      <c r="AV138" s="86"/>
      <c r="AW138" s="86" t="s">
        <v>59</v>
      </c>
      <c r="AX138" s="86"/>
      <c r="AY138" s="86"/>
      <c r="AZ138" s="86" t="s">
        <v>59</v>
      </c>
      <c r="BA138" s="86"/>
      <c r="BB138" s="86"/>
      <c r="BC138" s="86" t="s">
        <v>59</v>
      </c>
      <c r="BD138" s="86"/>
      <c r="BE138" s="86"/>
      <c r="BF138" s="86" t="s">
        <v>59</v>
      </c>
      <c r="BG138" s="86"/>
      <c r="BH138" s="86"/>
      <c r="BI138" s="86" t="s">
        <v>59</v>
      </c>
      <c r="BJ138" s="86"/>
      <c r="BK138" s="86"/>
    </row>
    <row r="139" spans="1:63" s="27" customFormat="1" ht="15.2" customHeight="1">
      <c r="A139" s="64"/>
      <c r="B139" s="79"/>
      <c r="C139" s="78" t="s">
        <v>540</v>
      </c>
      <c r="D139" s="77"/>
      <c r="E139" s="77"/>
      <c r="F139" s="77"/>
      <c r="G139" s="77"/>
      <c r="H139" s="77"/>
      <c r="I139" s="77"/>
      <c r="J139" s="77"/>
      <c r="K139" s="77"/>
      <c r="L139" s="77"/>
      <c r="M139" s="77"/>
      <c r="N139" s="77"/>
      <c r="O139" s="77"/>
      <c r="P139" s="77"/>
      <c r="Q139" s="77"/>
      <c r="R139" s="77"/>
      <c r="S139" s="76"/>
      <c r="T139" s="75"/>
      <c r="U139" s="85"/>
      <c r="V139" s="85"/>
      <c r="W139" s="86" t="s">
        <v>59</v>
      </c>
      <c r="X139" s="85"/>
      <c r="Y139" s="85"/>
      <c r="Z139" s="86" t="s">
        <v>59</v>
      </c>
      <c r="AA139" s="85"/>
      <c r="AB139" s="85"/>
      <c r="AC139" s="86" t="s">
        <v>59</v>
      </c>
      <c r="AD139" s="85"/>
      <c r="AE139" s="85"/>
      <c r="AF139" s="86" t="s">
        <v>59</v>
      </c>
      <c r="AG139" s="85"/>
      <c r="AH139" s="85"/>
      <c r="AI139" s="86" t="s">
        <v>59</v>
      </c>
      <c r="AJ139" s="85"/>
      <c r="AK139" s="85"/>
      <c r="AL139" s="86" t="s">
        <v>59</v>
      </c>
      <c r="AM139" s="85"/>
      <c r="AN139" s="85"/>
      <c r="AO139" s="86" t="s">
        <v>59</v>
      </c>
      <c r="AP139" s="85"/>
      <c r="AQ139" s="85"/>
      <c r="AR139" s="86" t="s">
        <v>59</v>
      </c>
      <c r="AS139" s="85"/>
      <c r="AT139" s="85"/>
      <c r="AU139" s="86" t="s">
        <v>59</v>
      </c>
      <c r="AV139" s="85"/>
      <c r="AW139" s="85"/>
      <c r="AX139" s="86" t="s">
        <v>59</v>
      </c>
      <c r="AY139" s="85"/>
      <c r="AZ139" s="85"/>
      <c r="BA139" s="86" t="s">
        <v>59</v>
      </c>
      <c r="BB139" s="85"/>
      <c r="BC139" s="85"/>
      <c r="BD139" s="86" t="s">
        <v>59</v>
      </c>
      <c r="BE139" s="85"/>
      <c r="BF139" s="85"/>
      <c r="BG139" s="86" t="s">
        <v>59</v>
      </c>
      <c r="BH139" s="85"/>
      <c r="BI139" s="85"/>
      <c r="BJ139" s="86" t="s">
        <v>59</v>
      </c>
      <c r="BK139" s="86"/>
    </row>
    <row r="140" spans="1:63" s="27" customFormat="1" ht="15.2" customHeight="1">
      <c r="A140" s="64"/>
      <c r="B140" s="79"/>
      <c r="C140" s="78" t="s">
        <v>204</v>
      </c>
      <c r="D140" s="77"/>
      <c r="E140" s="77"/>
      <c r="F140" s="77"/>
      <c r="G140" s="77"/>
      <c r="H140" s="77"/>
      <c r="I140" s="77"/>
      <c r="J140" s="77"/>
      <c r="K140" s="77"/>
      <c r="L140" s="77"/>
      <c r="M140" s="77"/>
      <c r="N140" s="77"/>
      <c r="O140" s="77"/>
      <c r="P140" s="77"/>
      <c r="Q140" s="77"/>
      <c r="R140" s="77"/>
      <c r="S140" s="76"/>
      <c r="T140" s="75"/>
      <c r="U140" s="85" t="s">
        <v>59</v>
      </c>
      <c r="V140" s="85"/>
      <c r="W140" s="85"/>
      <c r="X140" s="85" t="s">
        <v>59</v>
      </c>
      <c r="Y140" s="85"/>
      <c r="Z140" s="85"/>
      <c r="AA140" s="85" t="s">
        <v>59</v>
      </c>
      <c r="AB140" s="85"/>
      <c r="AC140" s="85"/>
      <c r="AD140" s="85" t="s">
        <v>59</v>
      </c>
      <c r="AE140" s="85"/>
      <c r="AF140" s="85"/>
      <c r="AG140" s="85" t="s">
        <v>59</v>
      </c>
      <c r="AH140" s="85"/>
      <c r="AI140" s="85"/>
      <c r="AJ140" s="85" t="s">
        <v>59</v>
      </c>
      <c r="AK140" s="85"/>
      <c r="AL140" s="85"/>
      <c r="AM140" s="85" t="s">
        <v>59</v>
      </c>
      <c r="AN140" s="85"/>
      <c r="AO140" s="85"/>
      <c r="AP140" s="85" t="s">
        <v>59</v>
      </c>
      <c r="AQ140" s="85"/>
      <c r="AR140" s="85"/>
      <c r="AS140" s="85" t="s">
        <v>59</v>
      </c>
      <c r="AT140" s="85"/>
      <c r="AU140" s="85"/>
      <c r="AV140" s="85" t="s">
        <v>59</v>
      </c>
      <c r="AW140" s="85"/>
      <c r="AX140" s="85"/>
      <c r="AY140" s="85" t="s">
        <v>59</v>
      </c>
      <c r="AZ140" s="85"/>
      <c r="BA140" s="85"/>
      <c r="BB140" s="85" t="s">
        <v>59</v>
      </c>
      <c r="BC140" s="85"/>
      <c r="BD140" s="85"/>
      <c r="BE140" s="85" t="s">
        <v>59</v>
      </c>
      <c r="BF140" s="85"/>
      <c r="BG140" s="85"/>
      <c r="BH140" s="85" t="s">
        <v>59</v>
      </c>
      <c r="BI140" s="85"/>
      <c r="BJ140" s="85"/>
      <c r="BK140" s="86" t="s">
        <v>59</v>
      </c>
    </row>
    <row r="141" spans="1:63" s="27" customFormat="1" ht="15.2" customHeight="1">
      <c r="A141" s="64"/>
      <c r="B141" s="79"/>
      <c r="C141" s="84" t="s">
        <v>205</v>
      </c>
      <c r="D141" s="83"/>
      <c r="E141" s="83"/>
      <c r="F141" s="83"/>
      <c r="G141" s="83"/>
      <c r="H141" s="83"/>
      <c r="I141" s="83"/>
      <c r="J141" s="83"/>
      <c r="K141" s="83"/>
      <c r="L141" s="83"/>
      <c r="M141" s="83"/>
      <c r="N141" s="83"/>
      <c r="O141" s="83"/>
      <c r="P141" s="83"/>
      <c r="Q141" s="83"/>
      <c r="R141" s="83"/>
      <c r="S141" s="82"/>
      <c r="T141" s="81"/>
      <c r="U141" s="80"/>
      <c r="V141" s="80"/>
      <c r="W141" s="80"/>
      <c r="X141" s="80"/>
      <c r="Y141" s="80"/>
      <c r="Z141" s="80"/>
      <c r="AA141" s="80"/>
      <c r="AB141" s="80"/>
      <c r="AC141" s="80"/>
      <c r="AD141" s="80"/>
      <c r="AE141" s="80"/>
      <c r="AF141" s="80"/>
      <c r="AG141" s="80"/>
      <c r="AH141" s="80"/>
      <c r="AI141" s="80"/>
      <c r="AJ141" s="80"/>
      <c r="AK141" s="80"/>
      <c r="AL141" s="80"/>
      <c r="AM141" s="80"/>
      <c r="AN141" s="80"/>
      <c r="AO141" s="80"/>
      <c r="AP141" s="80"/>
      <c r="AQ141" s="80"/>
      <c r="AR141" s="80"/>
      <c r="AS141" s="80"/>
      <c r="AT141" s="80"/>
      <c r="AU141" s="80"/>
      <c r="AV141" s="80"/>
      <c r="AW141" s="80"/>
      <c r="AX141" s="80"/>
      <c r="AY141" s="80"/>
      <c r="AZ141" s="80"/>
      <c r="BA141" s="80"/>
      <c r="BB141" s="80"/>
      <c r="BC141" s="80"/>
      <c r="BD141" s="80"/>
      <c r="BE141" s="80"/>
      <c r="BF141" s="80"/>
      <c r="BG141" s="80"/>
      <c r="BH141" s="80"/>
      <c r="BI141" s="80"/>
      <c r="BJ141" s="80"/>
      <c r="BK141" s="80"/>
    </row>
    <row r="142" spans="1:63" s="27" customFormat="1" ht="15.2" customHeight="1">
      <c r="A142" s="64"/>
      <c r="B142" s="79"/>
      <c r="C142" s="78" t="s">
        <v>204</v>
      </c>
      <c r="D142" s="77"/>
      <c r="E142" s="77"/>
      <c r="F142" s="77"/>
      <c r="G142" s="77"/>
      <c r="H142" s="77"/>
      <c r="I142" s="77"/>
      <c r="J142" s="77"/>
      <c r="K142" s="77"/>
      <c r="L142" s="77"/>
      <c r="M142" s="77"/>
      <c r="N142" s="77"/>
      <c r="O142" s="77"/>
      <c r="P142" s="77"/>
      <c r="Q142" s="77"/>
      <c r="R142" s="77"/>
      <c r="S142" s="76"/>
      <c r="T142" s="75"/>
      <c r="U142" s="49" t="s">
        <v>23</v>
      </c>
      <c r="V142" s="49" t="s">
        <v>23</v>
      </c>
      <c r="W142" s="49" t="s">
        <v>23</v>
      </c>
      <c r="X142" s="49" t="s">
        <v>23</v>
      </c>
      <c r="Y142" s="49" t="s">
        <v>23</v>
      </c>
      <c r="Z142" s="49" t="s">
        <v>23</v>
      </c>
      <c r="AA142" s="49" t="s">
        <v>23</v>
      </c>
      <c r="AB142" s="49" t="s">
        <v>23</v>
      </c>
      <c r="AC142" s="49" t="s">
        <v>23</v>
      </c>
      <c r="AD142" s="49" t="s">
        <v>23</v>
      </c>
      <c r="AE142" s="49" t="s">
        <v>23</v>
      </c>
      <c r="AF142" s="49" t="s">
        <v>23</v>
      </c>
      <c r="AG142" s="49" t="s">
        <v>23</v>
      </c>
      <c r="AH142" s="49" t="s">
        <v>23</v>
      </c>
      <c r="AI142" s="49" t="s">
        <v>23</v>
      </c>
      <c r="AJ142" s="49" t="s">
        <v>23</v>
      </c>
      <c r="AK142" s="49" t="s">
        <v>23</v>
      </c>
      <c r="AL142" s="49" t="s">
        <v>23</v>
      </c>
      <c r="AM142" s="49" t="s">
        <v>23</v>
      </c>
      <c r="AN142" s="49" t="s">
        <v>23</v>
      </c>
      <c r="AO142" s="49" t="s">
        <v>23</v>
      </c>
      <c r="AP142" s="49" t="s">
        <v>23</v>
      </c>
      <c r="AQ142" s="49" t="s">
        <v>23</v>
      </c>
      <c r="AR142" s="49" t="s">
        <v>23</v>
      </c>
      <c r="AS142" s="49" t="s">
        <v>23</v>
      </c>
      <c r="AT142" s="49" t="s">
        <v>23</v>
      </c>
      <c r="AU142" s="49" t="s">
        <v>23</v>
      </c>
      <c r="AV142" s="49" t="s">
        <v>23</v>
      </c>
      <c r="AW142" s="49" t="s">
        <v>23</v>
      </c>
      <c r="AX142" s="49" t="s">
        <v>23</v>
      </c>
      <c r="AY142" s="49" t="s">
        <v>23</v>
      </c>
      <c r="AZ142" s="49" t="s">
        <v>23</v>
      </c>
      <c r="BA142" s="49" t="s">
        <v>23</v>
      </c>
      <c r="BB142" s="49" t="s">
        <v>23</v>
      </c>
      <c r="BC142" s="49" t="s">
        <v>23</v>
      </c>
      <c r="BD142" s="49" t="s">
        <v>23</v>
      </c>
      <c r="BE142" s="49" t="s">
        <v>23</v>
      </c>
      <c r="BF142" s="49" t="s">
        <v>23</v>
      </c>
      <c r="BG142" s="49" t="s">
        <v>23</v>
      </c>
      <c r="BH142" s="49" t="s">
        <v>23</v>
      </c>
      <c r="BI142" s="49" t="s">
        <v>23</v>
      </c>
      <c r="BJ142" s="49" t="s">
        <v>23</v>
      </c>
      <c r="BK142" s="49" t="s">
        <v>23</v>
      </c>
    </row>
    <row r="143" spans="1:63" s="27" customFormat="1" ht="15" customHeight="1">
      <c r="A143" s="64"/>
      <c r="B143" s="63"/>
      <c r="C143" s="74" t="s">
        <v>203</v>
      </c>
      <c r="D143" s="72"/>
      <c r="E143" s="72"/>
      <c r="F143" s="72"/>
      <c r="G143" s="72"/>
      <c r="H143" s="72"/>
      <c r="I143" s="73"/>
      <c r="J143" s="72"/>
      <c r="K143" s="73"/>
      <c r="L143" s="73"/>
      <c r="M143" s="72"/>
      <c r="N143" s="72"/>
      <c r="O143" s="72"/>
      <c r="P143" s="72"/>
      <c r="Q143" s="72"/>
      <c r="R143" s="73"/>
      <c r="S143" s="72"/>
      <c r="T143" s="71"/>
      <c r="U143" s="70"/>
      <c r="V143" s="70"/>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row>
    <row r="144" spans="1:63" s="27" customFormat="1" ht="15.2" customHeight="1">
      <c r="A144" s="64"/>
      <c r="B144" s="63"/>
      <c r="C144" s="62" t="s">
        <v>202</v>
      </c>
      <c r="D144" s="61"/>
      <c r="E144" s="61"/>
      <c r="F144" s="61"/>
      <c r="G144" s="61"/>
      <c r="H144" s="61"/>
      <c r="I144" s="60"/>
      <c r="J144" s="61"/>
      <c r="K144" s="60"/>
      <c r="L144" s="60"/>
      <c r="M144" s="61"/>
      <c r="N144" s="61"/>
      <c r="O144" s="61"/>
      <c r="P144" s="61"/>
      <c r="Q144" s="61"/>
      <c r="R144" s="60"/>
      <c r="S144" s="59" t="s">
        <v>201</v>
      </c>
      <c r="T144" s="58"/>
      <c r="U144" s="57" t="s">
        <v>23</v>
      </c>
      <c r="V144" s="56"/>
      <c r="W144" s="56"/>
      <c r="X144" s="57" t="s">
        <v>23</v>
      </c>
      <c r="Y144" s="56"/>
      <c r="Z144" s="56"/>
      <c r="AA144" s="57" t="s">
        <v>23</v>
      </c>
      <c r="AB144" s="56"/>
      <c r="AC144" s="56"/>
      <c r="AD144" s="57" t="s">
        <v>23</v>
      </c>
      <c r="AE144" s="56"/>
      <c r="AF144" s="56"/>
      <c r="AG144" s="57" t="s">
        <v>23</v>
      </c>
      <c r="AH144" s="56"/>
      <c r="AI144" s="56"/>
      <c r="AJ144" s="57" t="s">
        <v>23</v>
      </c>
      <c r="AK144" s="56"/>
      <c r="AL144" s="56"/>
      <c r="AM144" s="57" t="s">
        <v>23</v>
      </c>
      <c r="AN144" s="56"/>
      <c r="AO144" s="56"/>
      <c r="AP144" s="57" t="s">
        <v>23</v>
      </c>
      <c r="AQ144" s="56"/>
      <c r="AR144" s="56"/>
      <c r="AS144" s="57" t="s">
        <v>23</v>
      </c>
      <c r="AT144" s="56"/>
      <c r="AU144" s="56"/>
      <c r="AV144" s="57" t="s">
        <v>23</v>
      </c>
      <c r="AW144" s="56"/>
      <c r="AX144" s="56"/>
      <c r="AY144" s="57" t="s">
        <v>23</v>
      </c>
      <c r="AZ144" s="56"/>
      <c r="BA144" s="56"/>
      <c r="BB144" s="57" t="s">
        <v>23</v>
      </c>
      <c r="BC144" s="56"/>
      <c r="BD144" s="56"/>
      <c r="BE144" s="57" t="s">
        <v>23</v>
      </c>
      <c r="BF144" s="56"/>
      <c r="BG144" s="56"/>
      <c r="BH144" s="57" t="s">
        <v>23</v>
      </c>
      <c r="BI144" s="56"/>
      <c r="BJ144" s="56"/>
      <c r="BK144" s="57" t="s">
        <v>23</v>
      </c>
    </row>
    <row r="145" spans="1:63" s="27" customFormat="1" ht="15.2" customHeight="1">
      <c r="A145" s="64"/>
      <c r="B145" s="63"/>
      <c r="C145" s="62" t="s">
        <v>200</v>
      </c>
      <c r="D145" s="61"/>
      <c r="E145" s="61"/>
      <c r="F145" s="61"/>
      <c r="G145" s="61"/>
      <c r="H145" s="61"/>
      <c r="I145" s="60"/>
      <c r="J145" s="61"/>
      <c r="K145" s="60"/>
      <c r="L145" s="60"/>
      <c r="M145" s="61"/>
      <c r="N145" s="61"/>
      <c r="O145" s="61"/>
      <c r="P145" s="61"/>
      <c r="Q145" s="61"/>
      <c r="R145" s="60"/>
      <c r="S145" s="59" t="s">
        <v>199</v>
      </c>
      <c r="T145" s="58"/>
      <c r="U145" s="57" t="s">
        <v>23</v>
      </c>
      <c r="V145" s="56"/>
      <c r="W145" s="56"/>
      <c r="X145" s="57" t="s">
        <v>23</v>
      </c>
      <c r="Y145" s="56"/>
      <c r="Z145" s="56"/>
      <c r="AA145" s="57" t="s">
        <v>23</v>
      </c>
      <c r="AB145" s="56"/>
      <c r="AC145" s="56"/>
      <c r="AD145" s="57" t="s">
        <v>23</v>
      </c>
      <c r="AE145" s="56"/>
      <c r="AF145" s="56"/>
      <c r="AG145" s="57" t="s">
        <v>23</v>
      </c>
      <c r="AH145" s="56"/>
      <c r="AI145" s="56"/>
      <c r="AJ145" s="57" t="s">
        <v>23</v>
      </c>
      <c r="AK145" s="56"/>
      <c r="AL145" s="56"/>
      <c r="AM145" s="57" t="s">
        <v>23</v>
      </c>
      <c r="AN145" s="56"/>
      <c r="AO145" s="56"/>
      <c r="AP145" s="57" t="s">
        <v>23</v>
      </c>
      <c r="AQ145" s="56"/>
      <c r="AR145" s="56"/>
      <c r="AS145" s="57" t="s">
        <v>23</v>
      </c>
      <c r="AT145" s="56"/>
      <c r="AU145" s="56"/>
      <c r="AV145" s="57" t="s">
        <v>23</v>
      </c>
      <c r="AW145" s="56"/>
      <c r="AX145" s="56"/>
      <c r="AY145" s="57" t="s">
        <v>23</v>
      </c>
      <c r="AZ145" s="56"/>
      <c r="BA145" s="56"/>
      <c r="BB145" s="57" t="s">
        <v>23</v>
      </c>
      <c r="BC145" s="56"/>
      <c r="BD145" s="56"/>
      <c r="BE145" s="57" t="s">
        <v>23</v>
      </c>
      <c r="BF145" s="56"/>
      <c r="BG145" s="56"/>
      <c r="BH145" s="57" t="s">
        <v>23</v>
      </c>
      <c r="BI145" s="56"/>
      <c r="BJ145" s="56"/>
      <c r="BK145" s="57" t="s">
        <v>23</v>
      </c>
    </row>
    <row r="146" spans="1:63" s="27" customFormat="1" ht="15.2" customHeight="1">
      <c r="A146" s="64"/>
      <c r="B146" s="63"/>
      <c r="C146" s="62" t="s">
        <v>198</v>
      </c>
      <c r="D146" s="61"/>
      <c r="E146" s="61"/>
      <c r="F146" s="61"/>
      <c r="G146" s="61"/>
      <c r="H146" s="61"/>
      <c r="I146" s="60"/>
      <c r="J146" s="61"/>
      <c r="K146" s="60"/>
      <c r="L146" s="60"/>
      <c r="M146" s="61"/>
      <c r="N146" s="61"/>
      <c r="O146" s="61"/>
      <c r="P146" s="61"/>
      <c r="Q146" s="61"/>
      <c r="R146" s="60"/>
      <c r="S146" s="59" t="s">
        <v>197</v>
      </c>
      <c r="T146" s="58"/>
      <c r="U146" s="57" t="s">
        <v>23</v>
      </c>
      <c r="V146" s="56"/>
      <c r="W146" s="56"/>
      <c r="X146" s="57" t="s">
        <v>23</v>
      </c>
      <c r="Y146" s="56"/>
      <c r="Z146" s="56"/>
      <c r="AA146" s="57" t="s">
        <v>23</v>
      </c>
      <c r="AB146" s="56"/>
      <c r="AC146" s="56"/>
      <c r="AD146" s="57" t="s">
        <v>23</v>
      </c>
      <c r="AE146" s="56"/>
      <c r="AF146" s="56"/>
      <c r="AG146" s="57" t="s">
        <v>23</v>
      </c>
      <c r="AH146" s="56"/>
      <c r="AI146" s="56"/>
      <c r="AJ146" s="57" t="s">
        <v>23</v>
      </c>
      <c r="AK146" s="56"/>
      <c r="AL146" s="56"/>
      <c r="AM146" s="57" t="s">
        <v>23</v>
      </c>
      <c r="AN146" s="56"/>
      <c r="AO146" s="56"/>
      <c r="AP146" s="57" t="s">
        <v>23</v>
      </c>
      <c r="AQ146" s="56"/>
      <c r="AR146" s="56"/>
      <c r="AS146" s="57" t="s">
        <v>23</v>
      </c>
      <c r="AT146" s="56"/>
      <c r="AU146" s="56"/>
      <c r="AV146" s="57" t="s">
        <v>23</v>
      </c>
      <c r="AW146" s="56"/>
      <c r="AX146" s="56"/>
      <c r="AY146" s="57" t="s">
        <v>23</v>
      </c>
      <c r="AZ146" s="56"/>
      <c r="BA146" s="56"/>
      <c r="BB146" s="57" t="s">
        <v>23</v>
      </c>
      <c r="BC146" s="56"/>
      <c r="BD146" s="56"/>
      <c r="BE146" s="57" t="s">
        <v>23</v>
      </c>
      <c r="BF146" s="56"/>
      <c r="BG146" s="56"/>
      <c r="BH146" s="57" t="s">
        <v>23</v>
      </c>
      <c r="BI146" s="56"/>
      <c r="BJ146" s="56"/>
      <c r="BK146" s="57" t="s">
        <v>23</v>
      </c>
    </row>
    <row r="147" spans="1:63" s="27" customFormat="1" ht="15.2" customHeight="1">
      <c r="A147" s="64"/>
      <c r="B147" s="63"/>
      <c r="C147" s="62" t="s">
        <v>196</v>
      </c>
      <c r="D147" s="61"/>
      <c r="E147" s="61"/>
      <c r="F147" s="61"/>
      <c r="G147" s="61"/>
      <c r="H147" s="61"/>
      <c r="I147" s="60"/>
      <c r="J147" s="61"/>
      <c r="K147" s="60"/>
      <c r="L147" s="60"/>
      <c r="M147" s="61"/>
      <c r="N147" s="61"/>
      <c r="O147" s="61"/>
      <c r="P147" s="61"/>
      <c r="Q147" s="61"/>
      <c r="R147" s="60"/>
      <c r="S147" s="59" t="s">
        <v>195</v>
      </c>
      <c r="T147" s="58"/>
      <c r="U147" s="57" t="s">
        <v>23</v>
      </c>
      <c r="V147" s="56"/>
      <c r="W147" s="56"/>
      <c r="X147" s="57" t="s">
        <v>23</v>
      </c>
      <c r="Y147" s="56"/>
      <c r="Z147" s="56"/>
      <c r="AA147" s="57" t="s">
        <v>23</v>
      </c>
      <c r="AB147" s="56"/>
      <c r="AC147" s="56"/>
      <c r="AD147" s="57" t="s">
        <v>23</v>
      </c>
      <c r="AE147" s="56"/>
      <c r="AF147" s="56"/>
      <c r="AG147" s="57" t="s">
        <v>23</v>
      </c>
      <c r="AH147" s="56"/>
      <c r="AI147" s="56"/>
      <c r="AJ147" s="57" t="s">
        <v>23</v>
      </c>
      <c r="AK147" s="56"/>
      <c r="AL147" s="56"/>
      <c r="AM147" s="57" t="s">
        <v>23</v>
      </c>
      <c r="AN147" s="56"/>
      <c r="AO147" s="56"/>
      <c r="AP147" s="57" t="s">
        <v>23</v>
      </c>
      <c r="AQ147" s="56"/>
      <c r="AR147" s="56"/>
      <c r="AS147" s="57" t="s">
        <v>23</v>
      </c>
      <c r="AT147" s="56"/>
      <c r="AU147" s="56"/>
      <c r="AV147" s="57" t="s">
        <v>23</v>
      </c>
      <c r="AW147" s="56"/>
      <c r="AX147" s="56"/>
      <c r="AY147" s="57" t="s">
        <v>23</v>
      </c>
      <c r="AZ147" s="56"/>
      <c r="BA147" s="56"/>
      <c r="BB147" s="57" t="s">
        <v>23</v>
      </c>
      <c r="BC147" s="56"/>
      <c r="BD147" s="56"/>
      <c r="BE147" s="57" t="s">
        <v>23</v>
      </c>
      <c r="BF147" s="56"/>
      <c r="BG147" s="56"/>
      <c r="BH147" s="57" t="s">
        <v>23</v>
      </c>
      <c r="BI147" s="56"/>
      <c r="BJ147" s="56"/>
      <c r="BK147" s="57" t="s">
        <v>23</v>
      </c>
    </row>
    <row r="148" spans="1:63" s="27" customFormat="1" ht="15.2" customHeight="1">
      <c r="A148" s="64"/>
      <c r="B148" s="63"/>
      <c r="C148" s="62" t="s">
        <v>194</v>
      </c>
      <c r="D148" s="61"/>
      <c r="E148" s="61"/>
      <c r="F148" s="61"/>
      <c r="G148" s="61"/>
      <c r="H148" s="61"/>
      <c r="I148" s="60"/>
      <c r="J148" s="61"/>
      <c r="K148" s="60"/>
      <c r="L148" s="60"/>
      <c r="M148" s="61"/>
      <c r="N148" s="61"/>
      <c r="O148" s="61"/>
      <c r="P148" s="61"/>
      <c r="Q148" s="61"/>
      <c r="R148" s="60"/>
      <c r="S148" s="59" t="s">
        <v>193</v>
      </c>
      <c r="T148" s="58"/>
      <c r="U148" s="57" t="s">
        <v>23</v>
      </c>
      <c r="V148" s="56"/>
      <c r="W148" s="56"/>
      <c r="X148" s="57" t="s">
        <v>23</v>
      </c>
      <c r="Y148" s="56"/>
      <c r="Z148" s="56"/>
      <c r="AA148" s="57" t="s">
        <v>23</v>
      </c>
      <c r="AB148" s="56"/>
      <c r="AC148" s="56"/>
      <c r="AD148" s="57" t="s">
        <v>23</v>
      </c>
      <c r="AE148" s="56"/>
      <c r="AF148" s="56"/>
      <c r="AG148" s="57" t="s">
        <v>23</v>
      </c>
      <c r="AH148" s="56"/>
      <c r="AI148" s="56"/>
      <c r="AJ148" s="57" t="s">
        <v>23</v>
      </c>
      <c r="AK148" s="56"/>
      <c r="AL148" s="56"/>
      <c r="AM148" s="57" t="s">
        <v>23</v>
      </c>
      <c r="AN148" s="56"/>
      <c r="AO148" s="56"/>
      <c r="AP148" s="57" t="s">
        <v>23</v>
      </c>
      <c r="AQ148" s="56"/>
      <c r="AR148" s="56"/>
      <c r="AS148" s="57" t="s">
        <v>23</v>
      </c>
      <c r="AT148" s="56"/>
      <c r="AU148" s="56"/>
      <c r="AV148" s="57" t="s">
        <v>23</v>
      </c>
      <c r="AW148" s="56"/>
      <c r="AX148" s="56"/>
      <c r="AY148" s="57" t="s">
        <v>23</v>
      </c>
      <c r="AZ148" s="56"/>
      <c r="BA148" s="56"/>
      <c r="BB148" s="57" t="s">
        <v>23</v>
      </c>
      <c r="BC148" s="56"/>
      <c r="BD148" s="56"/>
      <c r="BE148" s="57" t="s">
        <v>23</v>
      </c>
      <c r="BF148" s="56"/>
      <c r="BG148" s="56"/>
      <c r="BH148" s="57" t="s">
        <v>23</v>
      </c>
      <c r="BI148" s="56"/>
      <c r="BJ148" s="56"/>
      <c r="BK148" s="57" t="s">
        <v>23</v>
      </c>
    </row>
    <row r="149" spans="1:63" s="27" customFormat="1" ht="15.2" customHeight="1">
      <c r="A149" s="64"/>
      <c r="B149" s="63"/>
      <c r="C149" s="62" t="s">
        <v>192</v>
      </c>
      <c r="D149" s="61"/>
      <c r="E149" s="61"/>
      <c r="F149" s="61"/>
      <c r="G149" s="61"/>
      <c r="H149" s="61"/>
      <c r="I149" s="60"/>
      <c r="J149" s="61"/>
      <c r="K149" s="60"/>
      <c r="L149" s="60"/>
      <c r="M149" s="61"/>
      <c r="N149" s="61"/>
      <c r="O149" s="61"/>
      <c r="P149" s="61"/>
      <c r="Q149" s="61"/>
      <c r="R149" s="60"/>
      <c r="S149" s="59" t="s">
        <v>191</v>
      </c>
      <c r="T149" s="58"/>
      <c r="U149" s="57" t="s">
        <v>23</v>
      </c>
      <c r="V149" s="56"/>
      <c r="W149" s="56"/>
      <c r="X149" s="57" t="s">
        <v>23</v>
      </c>
      <c r="Y149" s="56"/>
      <c r="Z149" s="56"/>
      <c r="AA149" s="57" t="s">
        <v>23</v>
      </c>
      <c r="AB149" s="56"/>
      <c r="AC149" s="56"/>
      <c r="AD149" s="57" t="s">
        <v>23</v>
      </c>
      <c r="AE149" s="56"/>
      <c r="AF149" s="56"/>
      <c r="AG149" s="57" t="s">
        <v>23</v>
      </c>
      <c r="AH149" s="56"/>
      <c r="AI149" s="56"/>
      <c r="AJ149" s="57" t="s">
        <v>23</v>
      </c>
      <c r="AK149" s="56"/>
      <c r="AL149" s="56"/>
      <c r="AM149" s="57" t="s">
        <v>23</v>
      </c>
      <c r="AN149" s="56"/>
      <c r="AO149" s="56"/>
      <c r="AP149" s="57" t="s">
        <v>23</v>
      </c>
      <c r="AQ149" s="56"/>
      <c r="AR149" s="56"/>
      <c r="AS149" s="57" t="s">
        <v>23</v>
      </c>
      <c r="AT149" s="56"/>
      <c r="AU149" s="56"/>
      <c r="AV149" s="57" t="s">
        <v>23</v>
      </c>
      <c r="AW149" s="56"/>
      <c r="AX149" s="56"/>
      <c r="AY149" s="57" t="s">
        <v>23</v>
      </c>
      <c r="AZ149" s="56"/>
      <c r="BA149" s="56"/>
      <c r="BB149" s="57" t="s">
        <v>23</v>
      </c>
      <c r="BC149" s="56"/>
      <c r="BD149" s="56"/>
      <c r="BE149" s="57" t="s">
        <v>23</v>
      </c>
      <c r="BF149" s="56"/>
      <c r="BG149" s="56"/>
      <c r="BH149" s="57" t="s">
        <v>23</v>
      </c>
      <c r="BI149" s="56"/>
      <c r="BJ149" s="56"/>
      <c r="BK149" s="57" t="s">
        <v>23</v>
      </c>
    </row>
    <row r="150" spans="1:63" s="27" customFormat="1" ht="15.2" customHeight="1">
      <c r="A150" s="64"/>
      <c r="B150" s="63"/>
      <c r="C150" s="62" t="s">
        <v>190</v>
      </c>
      <c r="D150" s="61"/>
      <c r="E150" s="61"/>
      <c r="F150" s="61"/>
      <c r="G150" s="61"/>
      <c r="H150" s="61"/>
      <c r="I150" s="60"/>
      <c r="J150" s="61"/>
      <c r="K150" s="60"/>
      <c r="L150" s="60"/>
      <c r="M150" s="61"/>
      <c r="N150" s="61"/>
      <c r="O150" s="61"/>
      <c r="P150" s="61"/>
      <c r="Q150" s="61"/>
      <c r="R150" s="60"/>
      <c r="S150" s="59" t="s">
        <v>189</v>
      </c>
      <c r="T150" s="58"/>
      <c r="U150" s="57" t="s">
        <v>23</v>
      </c>
      <c r="V150" s="56"/>
      <c r="W150" s="56"/>
      <c r="X150" s="57" t="s">
        <v>23</v>
      </c>
      <c r="Y150" s="56"/>
      <c r="Z150" s="56"/>
      <c r="AA150" s="57" t="s">
        <v>23</v>
      </c>
      <c r="AB150" s="56"/>
      <c r="AC150" s="56"/>
      <c r="AD150" s="57" t="s">
        <v>23</v>
      </c>
      <c r="AE150" s="56"/>
      <c r="AF150" s="56"/>
      <c r="AG150" s="57" t="s">
        <v>23</v>
      </c>
      <c r="AH150" s="56"/>
      <c r="AI150" s="56"/>
      <c r="AJ150" s="57" t="s">
        <v>23</v>
      </c>
      <c r="AK150" s="56"/>
      <c r="AL150" s="56"/>
      <c r="AM150" s="57" t="s">
        <v>23</v>
      </c>
      <c r="AN150" s="56"/>
      <c r="AO150" s="56"/>
      <c r="AP150" s="57" t="s">
        <v>23</v>
      </c>
      <c r="AQ150" s="56"/>
      <c r="AR150" s="56"/>
      <c r="AS150" s="57" t="s">
        <v>23</v>
      </c>
      <c r="AT150" s="56"/>
      <c r="AU150" s="56"/>
      <c r="AV150" s="57" t="s">
        <v>23</v>
      </c>
      <c r="AW150" s="56"/>
      <c r="AX150" s="56"/>
      <c r="AY150" s="57" t="s">
        <v>23</v>
      </c>
      <c r="AZ150" s="56"/>
      <c r="BA150" s="56"/>
      <c r="BB150" s="57" t="s">
        <v>23</v>
      </c>
      <c r="BC150" s="56"/>
      <c r="BD150" s="56"/>
      <c r="BE150" s="57" t="s">
        <v>23</v>
      </c>
      <c r="BF150" s="56"/>
      <c r="BG150" s="56"/>
      <c r="BH150" s="57" t="s">
        <v>23</v>
      </c>
      <c r="BI150" s="56"/>
      <c r="BJ150" s="56"/>
      <c r="BK150" s="57" t="s">
        <v>23</v>
      </c>
    </row>
    <row r="151" spans="1:63" s="27" customFormat="1" ht="15.2" customHeight="1">
      <c r="A151" s="64"/>
      <c r="B151" s="63"/>
      <c r="C151" s="62" t="s">
        <v>188</v>
      </c>
      <c r="D151" s="61"/>
      <c r="E151" s="61"/>
      <c r="F151" s="61"/>
      <c r="G151" s="61"/>
      <c r="H151" s="61"/>
      <c r="I151" s="60"/>
      <c r="J151" s="61"/>
      <c r="K151" s="60"/>
      <c r="L151" s="60"/>
      <c r="M151" s="61"/>
      <c r="N151" s="61"/>
      <c r="O151" s="61"/>
      <c r="P151" s="61"/>
      <c r="Q151" s="61"/>
      <c r="R151" s="60"/>
      <c r="S151" s="59" t="s">
        <v>187</v>
      </c>
      <c r="T151" s="58"/>
      <c r="U151" s="57" t="s">
        <v>23</v>
      </c>
      <c r="V151" s="56"/>
      <c r="W151" s="56"/>
      <c r="X151" s="57" t="s">
        <v>23</v>
      </c>
      <c r="Y151" s="56"/>
      <c r="Z151" s="56"/>
      <c r="AA151" s="57" t="s">
        <v>23</v>
      </c>
      <c r="AB151" s="56"/>
      <c r="AC151" s="56"/>
      <c r="AD151" s="57" t="s">
        <v>23</v>
      </c>
      <c r="AE151" s="56"/>
      <c r="AF151" s="56"/>
      <c r="AG151" s="57" t="s">
        <v>23</v>
      </c>
      <c r="AH151" s="56"/>
      <c r="AI151" s="56"/>
      <c r="AJ151" s="57" t="s">
        <v>23</v>
      </c>
      <c r="AK151" s="56"/>
      <c r="AL151" s="56"/>
      <c r="AM151" s="57" t="s">
        <v>23</v>
      </c>
      <c r="AN151" s="56"/>
      <c r="AO151" s="56"/>
      <c r="AP151" s="57" t="s">
        <v>23</v>
      </c>
      <c r="AQ151" s="56"/>
      <c r="AR151" s="56"/>
      <c r="AS151" s="57" t="s">
        <v>23</v>
      </c>
      <c r="AT151" s="56"/>
      <c r="AU151" s="56"/>
      <c r="AV151" s="57" t="s">
        <v>23</v>
      </c>
      <c r="AW151" s="56"/>
      <c r="AX151" s="56"/>
      <c r="AY151" s="57" t="s">
        <v>23</v>
      </c>
      <c r="AZ151" s="56"/>
      <c r="BA151" s="56"/>
      <c r="BB151" s="57" t="s">
        <v>23</v>
      </c>
      <c r="BC151" s="56"/>
      <c r="BD151" s="56"/>
      <c r="BE151" s="57" t="s">
        <v>23</v>
      </c>
      <c r="BF151" s="56"/>
      <c r="BG151" s="56"/>
      <c r="BH151" s="57" t="s">
        <v>23</v>
      </c>
      <c r="BI151" s="56"/>
      <c r="BJ151" s="56"/>
      <c r="BK151" s="57" t="s">
        <v>23</v>
      </c>
    </row>
    <row r="152" spans="1:63" s="27" customFormat="1" ht="15.2" customHeight="1">
      <c r="A152" s="64"/>
      <c r="B152" s="63"/>
      <c r="C152" s="62" t="s">
        <v>186</v>
      </c>
      <c r="D152" s="61"/>
      <c r="E152" s="61"/>
      <c r="F152" s="61"/>
      <c r="G152" s="61"/>
      <c r="H152" s="61"/>
      <c r="I152" s="60"/>
      <c r="J152" s="61"/>
      <c r="K152" s="60"/>
      <c r="L152" s="60"/>
      <c r="M152" s="61"/>
      <c r="N152" s="61"/>
      <c r="O152" s="61"/>
      <c r="P152" s="61"/>
      <c r="Q152" s="61"/>
      <c r="R152" s="60"/>
      <c r="S152" s="59" t="s">
        <v>185</v>
      </c>
      <c r="T152" s="58"/>
      <c r="U152" s="57" t="s">
        <v>23</v>
      </c>
      <c r="V152" s="56"/>
      <c r="W152" s="56"/>
      <c r="X152" s="57" t="s">
        <v>23</v>
      </c>
      <c r="Y152" s="56"/>
      <c r="Z152" s="56"/>
      <c r="AA152" s="57" t="s">
        <v>23</v>
      </c>
      <c r="AB152" s="56"/>
      <c r="AC152" s="56"/>
      <c r="AD152" s="57" t="s">
        <v>23</v>
      </c>
      <c r="AE152" s="56"/>
      <c r="AF152" s="56"/>
      <c r="AG152" s="57" t="s">
        <v>23</v>
      </c>
      <c r="AH152" s="56"/>
      <c r="AI152" s="56"/>
      <c r="AJ152" s="57" t="s">
        <v>23</v>
      </c>
      <c r="AK152" s="56"/>
      <c r="AL152" s="56"/>
      <c r="AM152" s="57" t="s">
        <v>23</v>
      </c>
      <c r="AN152" s="56"/>
      <c r="AO152" s="56"/>
      <c r="AP152" s="57" t="s">
        <v>23</v>
      </c>
      <c r="AQ152" s="56"/>
      <c r="AR152" s="56"/>
      <c r="AS152" s="57" t="s">
        <v>23</v>
      </c>
      <c r="AT152" s="56"/>
      <c r="AU152" s="56"/>
      <c r="AV152" s="57" t="s">
        <v>23</v>
      </c>
      <c r="AW152" s="56"/>
      <c r="AX152" s="56"/>
      <c r="AY152" s="57" t="s">
        <v>23</v>
      </c>
      <c r="AZ152" s="56"/>
      <c r="BA152" s="56"/>
      <c r="BB152" s="57" t="s">
        <v>23</v>
      </c>
      <c r="BC152" s="56"/>
      <c r="BD152" s="56"/>
      <c r="BE152" s="57" t="s">
        <v>23</v>
      </c>
      <c r="BF152" s="56"/>
      <c r="BG152" s="56"/>
      <c r="BH152" s="57" t="s">
        <v>23</v>
      </c>
      <c r="BI152" s="56"/>
      <c r="BJ152" s="56"/>
      <c r="BK152" s="57" t="s">
        <v>23</v>
      </c>
    </row>
    <row r="153" spans="1:63" s="27" customFormat="1" ht="15.2" customHeight="1">
      <c r="A153" s="64"/>
      <c r="B153" s="63"/>
      <c r="C153" s="62" t="s">
        <v>184</v>
      </c>
      <c r="D153" s="61"/>
      <c r="E153" s="61"/>
      <c r="F153" s="61"/>
      <c r="G153" s="61"/>
      <c r="H153" s="61"/>
      <c r="I153" s="60"/>
      <c r="J153" s="61"/>
      <c r="K153" s="60"/>
      <c r="L153" s="60"/>
      <c r="M153" s="61"/>
      <c r="N153" s="61"/>
      <c r="O153" s="61"/>
      <c r="P153" s="61"/>
      <c r="Q153" s="61"/>
      <c r="R153" s="60"/>
      <c r="S153" s="59" t="s">
        <v>183</v>
      </c>
      <c r="T153" s="58"/>
      <c r="U153" s="57" t="s">
        <v>23</v>
      </c>
      <c r="V153" s="56"/>
      <c r="W153" s="56"/>
      <c r="X153" s="57" t="s">
        <v>23</v>
      </c>
      <c r="Y153" s="56"/>
      <c r="Z153" s="56"/>
      <c r="AA153" s="57" t="s">
        <v>23</v>
      </c>
      <c r="AB153" s="56"/>
      <c r="AC153" s="56"/>
      <c r="AD153" s="57" t="s">
        <v>23</v>
      </c>
      <c r="AE153" s="56"/>
      <c r="AF153" s="56"/>
      <c r="AG153" s="57" t="s">
        <v>23</v>
      </c>
      <c r="AH153" s="56"/>
      <c r="AI153" s="56"/>
      <c r="AJ153" s="57" t="s">
        <v>23</v>
      </c>
      <c r="AK153" s="56"/>
      <c r="AL153" s="56"/>
      <c r="AM153" s="57" t="s">
        <v>23</v>
      </c>
      <c r="AN153" s="56"/>
      <c r="AO153" s="56"/>
      <c r="AP153" s="57" t="s">
        <v>23</v>
      </c>
      <c r="AQ153" s="56"/>
      <c r="AR153" s="56"/>
      <c r="AS153" s="57" t="s">
        <v>23</v>
      </c>
      <c r="AT153" s="56"/>
      <c r="AU153" s="56"/>
      <c r="AV153" s="57" t="s">
        <v>23</v>
      </c>
      <c r="AW153" s="56"/>
      <c r="AX153" s="56"/>
      <c r="AY153" s="57" t="s">
        <v>23</v>
      </c>
      <c r="AZ153" s="56"/>
      <c r="BA153" s="56"/>
      <c r="BB153" s="57" t="s">
        <v>23</v>
      </c>
      <c r="BC153" s="56"/>
      <c r="BD153" s="56"/>
      <c r="BE153" s="57" t="s">
        <v>23</v>
      </c>
      <c r="BF153" s="56"/>
      <c r="BG153" s="56"/>
      <c r="BH153" s="57" t="s">
        <v>23</v>
      </c>
      <c r="BI153" s="56"/>
      <c r="BJ153" s="56"/>
      <c r="BK153" s="57" t="s">
        <v>23</v>
      </c>
    </row>
    <row r="154" spans="1:63" s="27" customFormat="1" ht="15.2" customHeight="1">
      <c r="A154" s="64"/>
      <c r="B154" s="63"/>
      <c r="C154" s="62" t="s">
        <v>182</v>
      </c>
      <c r="D154" s="61"/>
      <c r="E154" s="61"/>
      <c r="F154" s="61"/>
      <c r="G154" s="61"/>
      <c r="H154" s="61"/>
      <c r="I154" s="60"/>
      <c r="J154" s="61"/>
      <c r="K154" s="60"/>
      <c r="L154" s="60"/>
      <c r="M154" s="61"/>
      <c r="N154" s="61"/>
      <c r="O154" s="61"/>
      <c r="P154" s="61"/>
      <c r="Q154" s="61"/>
      <c r="R154" s="60"/>
      <c r="S154" s="59" t="s">
        <v>181</v>
      </c>
      <c r="T154" s="58"/>
      <c r="U154" s="57" t="s">
        <v>23</v>
      </c>
      <c r="V154" s="56"/>
      <c r="W154" s="56"/>
      <c r="X154" s="57" t="s">
        <v>23</v>
      </c>
      <c r="Y154" s="56"/>
      <c r="Z154" s="56"/>
      <c r="AA154" s="57" t="s">
        <v>23</v>
      </c>
      <c r="AB154" s="56"/>
      <c r="AC154" s="56"/>
      <c r="AD154" s="57" t="s">
        <v>23</v>
      </c>
      <c r="AE154" s="56"/>
      <c r="AF154" s="56"/>
      <c r="AG154" s="57" t="s">
        <v>23</v>
      </c>
      <c r="AH154" s="56"/>
      <c r="AI154" s="56"/>
      <c r="AJ154" s="57" t="s">
        <v>23</v>
      </c>
      <c r="AK154" s="56"/>
      <c r="AL154" s="56"/>
      <c r="AM154" s="57" t="s">
        <v>23</v>
      </c>
      <c r="AN154" s="56"/>
      <c r="AO154" s="56"/>
      <c r="AP154" s="57" t="s">
        <v>23</v>
      </c>
      <c r="AQ154" s="56"/>
      <c r="AR154" s="56"/>
      <c r="AS154" s="57" t="s">
        <v>23</v>
      </c>
      <c r="AT154" s="56"/>
      <c r="AU154" s="56"/>
      <c r="AV154" s="57" t="s">
        <v>23</v>
      </c>
      <c r="AW154" s="56"/>
      <c r="AX154" s="56"/>
      <c r="AY154" s="57" t="s">
        <v>23</v>
      </c>
      <c r="AZ154" s="56"/>
      <c r="BA154" s="56"/>
      <c r="BB154" s="57" t="s">
        <v>23</v>
      </c>
      <c r="BC154" s="56"/>
      <c r="BD154" s="56"/>
      <c r="BE154" s="57" t="s">
        <v>23</v>
      </c>
      <c r="BF154" s="56"/>
      <c r="BG154" s="56"/>
      <c r="BH154" s="57" t="s">
        <v>23</v>
      </c>
      <c r="BI154" s="56"/>
      <c r="BJ154" s="56"/>
      <c r="BK154" s="57" t="s">
        <v>23</v>
      </c>
    </row>
    <row r="155" spans="1:63" s="27" customFormat="1" ht="15.2" customHeight="1">
      <c r="A155" s="64"/>
      <c r="B155" s="63"/>
      <c r="C155" s="62" t="s">
        <v>180</v>
      </c>
      <c r="D155" s="61"/>
      <c r="E155" s="61"/>
      <c r="F155" s="61"/>
      <c r="G155" s="61"/>
      <c r="H155" s="61"/>
      <c r="I155" s="60"/>
      <c r="J155" s="61"/>
      <c r="K155" s="60"/>
      <c r="L155" s="60"/>
      <c r="M155" s="61"/>
      <c r="N155" s="61"/>
      <c r="O155" s="61"/>
      <c r="P155" s="61"/>
      <c r="Q155" s="61"/>
      <c r="R155" s="60"/>
      <c r="S155" s="59" t="s">
        <v>179</v>
      </c>
      <c r="T155" s="58"/>
      <c r="U155" s="57" t="s">
        <v>23</v>
      </c>
      <c r="V155" s="56"/>
      <c r="W155" s="56"/>
      <c r="X155" s="57" t="s">
        <v>23</v>
      </c>
      <c r="Y155" s="56"/>
      <c r="Z155" s="56"/>
      <c r="AA155" s="57" t="s">
        <v>23</v>
      </c>
      <c r="AB155" s="56"/>
      <c r="AC155" s="56"/>
      <c r="AD155" s="57" t="s">
        <v>23</v>
      </c>
      <c r="AE155" s="56"/>
      <c r="AF155" s="56"/>
      <c r="AG155" s="57" t="s">
        <v>23</v>
      </c>
      <c r="AH155" s="56"/>
      <c r="AI155" s="56"/>
      <c r="AJ155" s="57" t="s">
        <v>23</v>
      </c>
      <c r="AK155" s="56"/>
      <c r="AL155" s="56"/>
      <c r="AM155" s="57" t="s">
        <v>23</v>
      </c>
      <c r="AN155" s="56"/>
      <c r="AO155" s="56"/>
      <c r="AP155" s="57" t="s">
        <v>23</v>
      </c>
      <c r="AQ155" s="56"/>
      <c r="AR155" s="56"/>
      <c r="AS155" s="57" t="s">
        <v>23</v>
      </c>
      <c r="AT155" s="56"/>
      <c r="AU155" s="56"/>
      <c r="AV155" s="57" t="s">
        <v>23</v>
      </c>
      <c r="AW155" s="56"/>
      <c r="AX155" s="56"/>
      <c r="AY155" s="57" t="s">
        <v>23</v>
      </c>
      <c r="AZ155" s="56"/>
      <c r="BA155" s="56"/>
      <c r="BB155" s="57" t="s">
        <v>23</v>
      </c>
      <c r="BC155" s="56"/>
      <c r="BD155" s="56"/>
      <c r="BE155" s="57" t="s">
        <v>23</v>
      </c>
      <c r="BF155" s="56"/>
      <c r="BG155" s="56"/>
      <c r="BH155" s="57" t="s">
        <v>23</v>
      </c>
      <c r="BI155" s="56"/>
      <c r="BJ155" s="56"/>
      <c r="BK155" s="57" t="s">
        <v>23</v>
      </c>
    </row>
    <row r="156" spans="1:63" s="27" customFormat="1" ht="15.2" customHeight="1">
      <c r="A156" s="64"/>
      <c r="B156" s="63"/>
      <c r="C156" s="62" t="s">
        <v>178</v>
      </c>
      <c r="D156" s="61"/>
      <c r="E156" s="61"/>
      <c r="F156" s="61"/>
      <c r="G156" s="61"/>
      <c r="H156" s="61"/>
      <c r="I156" s="60"/>
      <c r="J156" s="61"/>
      <c r="K156" s="60"/>
      <c r="L156" s="60"/>
      <c r="M156" s="61"/>
      <c r="N156" s="61"/>
      <c r="O156" s="61"/>
      <c r="P156" s="61"/>
      <c r="Q156" s="61"/>
      <c r="R156" s="60"/>
      <c r="S156" s="59" t="s">
        <v>177</v>
      </c>
      <c r="T156" s="58"/>
      <c r="U156" s="57" t="s">
        <v>23</v>
      </c>
      <c r="V156" s="56"/>
      <c r="W156" s="56"/>
      <c r="X156" s="57" t="s">
        <v>23</v>
      </c>
      <c r="Y156" s="56"/>
      <c r="Z156" s="56"/>
      <c r="AA156" s="57" t="s">
        <v>23</v>
      </c>
      <c r="AB156" s="56"/>
      <c r="AC156" s="56"/>
      <c r="AD156" s="57" t="s">
        <v>23</v>
      </c>
      <c r="AE156" s="56"/>
      <c r="AF156" s="56"/>
      <c r="AG156" s="57" t="s">
        <v>23</v>
      </c>
      <c r="AH156" s="56"/>
      <c r="AI156" s="56"/>
      <c r="AJ156" s="57" t="s">
        <v>23</v>
      </c>
      <c r="AK156" s="56"/>
      <c r="AL156" s="56"/>
      <c r="AM156" s="57" t="s">
        <v>23</v>
      </c>
      <c r="AN156" s="56"/>
      <c r="AO156" s="56"/>
      <c r="AP156" s="57" t="s">
        <v>23</v>
      </c>
      <c r="AQ156" s="56"/>
      <c r="AR156" s="56"/>
      <c r="AS156" s="57" t="s">
        <v>23</v>
      </c>
      <c r="AT156" s="56"/>
      <c r="AU156" s="56"/>
      <c r="AV156" s="57" t="s">
        <v>23</v>
      </c>
      <c r="AW156" s="56"/>
      <c r="AX156" s="56"/>
      <c r="AY156" s="57" t="s">
        <v>23</v>
      </c>
      <c r="AZ156" s="56"/>
      <c r="BA156" s="56"/>
      <c r="BB156" s="57" t="s">
        <v>23</v>
      </c>
      <c r="BC156" s="56"/>
      <c r="BD156" s="56"/>
      <c r="BE156" s="57" t="s">
        <v>23</v>
      </c>
      <c r="BF156" s="56"/>
      <c r="BG156" s="56"/>
      <c r="BH156" s="57" t="s">
        <v>23</v>
      </c>
      <c r="BI156" s="56"/>
      <c r="BJ156" s="56"/>
      <c r="BK156" s="57" t="s">
        <v>23</v>
      </c>
    </row>
    <row r="157" spans="1:63" s="27" customFormat="1" ht="15.2" customHeight="1">
      <c r="A157" s="64"/>
      <c r="B157" s="63"/>
      <c r="C157" s="62" t="s">
        <v>176</v>
      </c>
      <c r="D157" s="61"/>
      <c r="E157" s="61"/>
      <c r="F157" s="61"/>
      <c r="G157" s="61"/>
      <c r="H157" s="61"/>
      <c r="I157" s="60"/>
      <c r="J157" s="61"/>
      <c r="K157" s="60"/>
      <c r="L157" s="60"/>
      <c r="M157" s="61"/>
      <c r="N157" s="61"/>
      <c r="O157" s="61"/>
      <c r="P157" s="61"/>
      <c r="Q157" s="61"/>
      <c r="R157" s="60"/>
      <c r="S157" s="59" t="s">
        <v>175</v>
      </c>
      <c r="T157" s="58"/>
      <c r="U157" s="57" t="s">
        <v>23</v>
      </c>
      <c r="V157" s="56"/>
      <c r="W157" s="56"/>
      <c r="X157" s="57" t="s">
        <v>23</v>
      </c>
      <c r="Y157" s="56"/>
      <c r="Z157" s="56"/>
      <c r="AA157" s="57" t="s">
        <v>23</v>
      </c>
      <c r="AB157" s="56"/>
      <c r="AC157" s="56"/>
      <c r="AD157" s="57" t="s">
        <v>23</v>
      </c>
      <c r="AE157" s="56"/>
      <c r="AF157" s="56"/>
      <c r="AG157" s="57" t="s">
        <v>23</v>
      </c>
      <c r="AH157" s="56"/>
      <c r="AI157" s="56"/>
      <c r="AJ157" s="57" t="s">
        <v>23</v>
      </c>
      <c r="AK157" s="56"/>
      <c r="AL157" s="56"/>
      <c r="AM157" s="57" t="s">
        <v>23</v>
      </c>
      <c r="AN157" s="56"/>
      <c r="AO157" s="56"/>
      <c r="AP157" s="57" t="s">
        <v>23</v>
      </c>
      <c r="AQ157" s="56"/>
      <c r="AR157" s="56"/>
      <c r="AS157" s="57" t="s">
        <v>23</v>
      </c>
      <c r="AT157" s="56"/>
      <c r="AU157" s="56"/>
      <c r="AV157" s="57" t="s">
        <v>23</v>
      </c>
      <c r="AW157" s="56"/>
      <c r="AX157" s="56"/>
      <c r="AY157" s="57" t="s">
        <v>23</v>
      </c>
      <c r="AZ157" s="56"/>
      <c r="BA157" s="56"/>
      <c r="BB157" s="57" t="s">
        <v>23</v>
      </c>
      <c r="BC157" s="56"/>
      <c r="BD157" s="56"/>
      <c r="BE157" s="57" t="s">
        <v>23</v>
      </c>
      <c r="BF157" s="56"/>
      <c r="BG157" s="56"/>
      <c r="BH157" s="57" t="s">
        <v>23</v>
      </c>
      <c r="BI157" s="56"/>
      <c r="BJ157" s="56"/>
      <c r="BK157" s="57" t="s">
        <v>23</v>
      </c>
    </row>
    <row r="158" spans="1:63" s="27" customFormat="1" ht="15.2" customHeight="1">
      <c r="A158" s="64"/>
      <c r="B158" s="63"/>
      <c r="C158" s="62" t="s">
        <v>174</v>
      </c>
      <c r="D158" s="61"/>
      <c r="E158" s="61"/>
      <c r="F158" s="61"/>
      <c r="G158" s="61"/>
      <c r="H158" s="61"/>
      <c r="I158" s="60"/>
      <c r="J158" s="61"/>
      <c r="K158" s="60"/>
      <c r="L158" s="60"/>
      <c r="M158" s="61"/>
      <c r="N158" s="61"/>
      <c r="O158" s="61"/>
      <c r="P158" s="61"/>
      <c r="Q158" s="61"/>
      <c r="R158" s="60"/>
      <c r="S158" s="59" t="s">
        <v>173</v>
      </c>
      <c r="T158" s="58"/>
      <c r="U158" s="57" t="s">
        <v>23</v>
      </c>
      <c r="V158" s="56"/>
      <c r="W158" s="56"/>
      <c r="X158" s="57" t="s">
        <v>23</v>
      </c>
      <c r="Y158" s="56"/>
      <c r="Z158" s="56"/>
      <c r="AA158" s="57" t="s">
        <v>23</v>
      </c>
      <c r="AB158" s="56"/>
      <c r="AC158" s="56"/>
      <c r="AD158" s="57" t="s">
        <v>23</v>
      </c>
      <c r="AE158" s="56"/>
      <c r="AF158" s="56"/>
      <c r="AG158" s="57" t="s">
        <v>23</v>
      </c>
      <c r="AH158" s="56"/>
      <c r="AI158" s="56"/>
      <c r="AJ158" s="57" t="s">
        <v>23</v>
      </c>
      <c r="AK158" s="56"/>
      <c r="AL158" s="56"/>
      <c r="AM158" s="57" t="s">
        <v>23</v>
      </c>
      <c r="AN158" s="56"/>
      <c r="AO158" s="56"/>
      <c r="AP158" s="57" t="s">
        <v>23</v>
      </c>
      <c r="AQ158" s="56"/>
      <c r="AR158" s="56"/>
      <c r="AS158" s="57" t="s">
        <v>23</v>
      </c>
      <c r="AT158" s="56"/>
      <c r="AU158" s="56"/>
      <c r="AV158" s="57" t="s">
        <v>23</v>
      </c>
      <c r="AW158" s="56"/>
      <c r="AX158" s="56"/>
      <c r="AY158" s="57" t="s">
        <v>23</v>
      </c>
      <c r="AZ158" s="56"/>
      <c r="BA158" s="56"/>
      <c r="BB158" s="57" t="s">
        <v>23</v>
      </c>
      <c r="BC158" s="56"/>
      <c r="BD158" s="56"/>
      <c r="BE158" s="57" t="s">
        <v>23</v>
      </c>
      <c r="BF158" s="56"/>
      <c r="BG158" s="56"/>
      <c r="BH158" s="57" t="s">
        <v>23</v>
      </c>
      <c r="BI158" s="56"/>
      <c r="BJ158" s="56"/>
      <c r="BK158" s="57" t="s">
        <v>23</v>
      </c>
    </row>
    <row r="159" spans="1:63" s="27" customFormat="1" ht="15.2" customHeight="1">
      <c r="A159" s="64"/>
      <c r="B159" s="63"/>
      <c r="C159" s="62" t="s">
        <v>172</v>
      </c>
      <c r="D159" s="61"/>
      <c r="E159" s="61"/>
      <c r="F159" s="61"/>
      <c r="G159" s="61"/>
      <c r="H159" s="61"/>
      <c r="I159" s="60"/>
      <c r="J159" s="61"/>
      <c r="K159" s="60"/>
      <c r="L159" s="60"/>
      <c r="M159" s="61"/>
      <c r="N159" s="61"/>
      <c r="O159" s="61"/>
      <c r="P159" s="61"/>
      <c r="Q159" s="61"/>
      <c r="R159" s="60"/>
      <c r="S159" s="59" t="s">
        <v>171</v>
      </c>
      <c r="T159" s="58"/>
      <c r="U159" s="57" t="s">
        <v>23</v>
      </c>
      <c r="V159" s="56"/>
      <c r="W159" s="56"/>
      <c r="X159" s="57" t="s">
        <v>23</v>
      </c>
      <c r="Y159" s="56"/>
      <c r="Z159" s="56"/>
      <c r="AA159" s="57" t="s">
        <v>23</v>
      </c>
      <c r="AB159" s="56"/>
      <c r="AC159" s="56"/>
      <c r="AD159" s="57" t="s">
        <v>23</v>
      </c>
      <c r="AE159" s="56"/>
      <c r="AF159" s="56"/>
      <c r="AG159" s="57" t="s">
        <v>23</v>
      </c>
      <c r="AH159" s="56"/>
      <c r="AI159" s="56"/>
      <c r="AJ159" s="57" t="s">
        <v>23</v>
      </c>
      <c r="AK159" s="56"/>
      <c r="AL159" s="56"/>
      <c r="AM159" s="57" t="s">
        <v>23</v>
      </c>
      <c r="AN159" s="56"/>
      <c r="AO159" s="56"/>
      <c r="AP159" s="57" t="s">
        <v>23</v>
      </c>
      <c r="AQ159" s="56"/>
      <c r="AR159" s="56"/>
      <c r="AS159" s="57" t="s">
        <v>23</v>
      </c>
      <c r="AT159" s="56"/>
      <c r="AU159" s="56"/>
      <c r="AV159" s="57" t="s">
        <v>23</v>
      </c>
      <c r="AW159" s="56"/>
      <c r="AX159" s="56"/>
      <c r="AY159" s="57" t="s">
        <v>23</v>
      </c>
      <c r="AZ159" s="56"/>
      <c r="BA159" s="56"/>
      <c r="BB159" s="57" t="s">
        <v>23</v>
      </c>
      <c r="BC159" s="56"/>
      <c r="BD159" s="56"/>
      <c r="BE159" s="57" t="s">
        <v>23</v>
      </c>
      <c r="BF159" s="56"/>
      <c r="BG159" s="56"/>
      <c r="BH159" s="57" t="s">
        <v>23</v>
      </c>
      <c r="BI159" s="56"/>
      <c r="BJ159" s="56"/>
      <c r="BK159" s="57" t="s">
        <v>23</v>
      </c>
    </row>
    <row r="160" spans="1:63" s="27" customFormat="1" ht="15.2" customHeight="1">
      <c r="A160" s="64"/>
      <c r="B160" s="63"/>
      <c r="C160" s="62" t="s">
        <v>170</v>
      </c>
      <c r="D160" s="61"/>
      <c r="E160" s="61"/>
      <c r="F160" s="61"/>
      <c r="G160" s="61"/>
      <c r="H160" s="61"/>
      <c r="I160" s="60"/>
      <c r="J160" s="61"/>
      <c r="K160" s="60"/>
      <c r="L160" s="60"/>
      <c r="M160" s="61"/>
      <c r="N160" s="61"/>
      <c r="O160" s="61"/>
      <c r="P160" s="61"/>
      <c r="Q160" s="61"/>
      <c r="R160" s="60"/>
      <c r="S160" s="59" t="s">
        <v>169</v>
      </c>
      <c r="T160" s="58"/>
      <c r="U160" s="57" t="s">
        <v>23</v>
      </c>
      <c r="V160" s="56"/>
      <c r="W160" s="56"/>
      <c r="X160" s="57" t="s">
        <v>23</v>
      </c>
      <c r="Y160" s="56"/>
      <c r="Z160" s="56"/>
      <c r="AA160" s="57" t="s">
        <v>23</v>
      </c>
      <c r="AB160" s="56"/>
      <c r="AC160" s="56"/>
      <c r="AD160" s="57" t="s">
        <v>23</v>
      </c>
      <c r="AE160" s="56"/>
      <c r="AF160" s="56"/>
      <c r="AG160" s="57" t="s">
        <v>23</v>
      </c>
      <c r="AH160" s="56"/>
      <c r="AI160" s="56"/>
      <c r="AJ160" s="57" t="s">
        <v>23</v>
      </c>
      <c r="AK160" s="56"/>
      <c r="AL160" s="56"/>
      <c r="AM160" s="57" t="s">
        <v>23</v>
      </c>
      <c r="AN160" s="56"/>
      <c r="AO160" s="56"/>
      <c r="AP160" s="57" t="s">
        <v>23</v>
      </c>
      <c r="AQ160" s="56"/>
      <c r="AR160" s="56"/>
      <c r="AS160" s="57" t="s">
        <v>23</v>
      </c>
      <c r="AT160" s="56"/>
      <c r="AU160" s="56"/>
      <c r="AV160" s="57" t="s">
        <v>23</v>
      </c>
      <c r="AW160" s="56"/>
      <c r="AX160" s="56"/>
      <c r="AY160" s="57" t="s">
        <v>23</v>
      </c>
      <c r="AZ160" s="56"/>
      <c r="BA160" s="56"/>
      <c r="BB160" s="57" t="s">
        <v>23</v>
      </c>
      <c r="BC160" s="56"/>
      <c r="BD160" s="56"/>
      <c r="BE160" s="57" t="s">
        <v>23</v>
      </c>
      <c r="BF160" s="56"/>
      <c r="BG160" s="56"/>
      <c r="BH160" s="57" t="s">
        <v>23</v>
      </c>
      <c r="BI160" s="56"/>
      <c r="BJ160" s="56"/>
      <c r="BK160" s="57" t="s">
        <v>23</v>
      </c>
    </row>
    <row r="161" spans="1:63" s="27" customFormat="1" ht="15.2" customHeight="1">
      <c r="A161" s="64"/>
      <c r="B161" s="63"/>
      <c r="C161" s="62" t="s">
        <v>168</v>
      </c>
      <c r="D161" s="61"/>
      <c r="E161" s="61"/>
      <c r="F161" s="61"/>
      <c r="G161" s="61"/>
      <c r="H161" s="61"/>
      <c r="I161" s="60"/>
      <c r="J161" s="61"/>
      <c r="K161" s="60"/>
      <c r="L161" s="60"/>
      <c r="M161" s="61"/>
      <c r="N161" s="61"/>
      <c r="O161" s="61"/>
      <c r="P161" s="61"/>
      <c r="Q161" s="61"/>
      <c r="R161" s="60"/>
      <c r="S161" s="59" t="s">
        <v>167</v>
      </c>
      <c r="T161" s="58"/>
      <c r="U161" s="57" t="s">
        <v>23</v>
      </c>
      <c r="V161" s="56"/>
      <c r="W161" s="56"/>
      <c r="X161" s="57" t="s">
        <v>23</v>
      </c>
      <c r="Y161" s="56"/>
      <c r="Z161" s="56"/>
      <c r="AA161" s="57" t="s">
        <v>23</v>
      </c>
      <c r="AB161" s="56"/>
      <c r="AC161" s="56"/>
      <c r="AD161" s="57" t="s">
        <v>23</v>
      </c>
      <c r="AE161" s="56"/>
      <c r="AF161" s="56"/>
      <c r="AG161" s="57" t="s">
        <v>23</v>
      </c>
      <c r="AH161" s="56"/>
      <c r="AI161" s="56"/>
      <c r="AJ161" s="57" t="s">
        <v>23</v>
      </c>
      <c r="AK161" s="56"/>
      <c r="AL161" s="56"/>
      <c r="AM161" s="57" t="s">
        <v>23</v>
      </c>
      <c r="AN161" s="56"/>
      <c r="AO161" s="56"/>
      <c r="AP161" s="57" t="s">
        <v>23</v>
      </c>
      <c r="AQ161" s="56"/>
      <c r="AR161" s="56"/>
      <c r="AS161" s="57" t="s">
        <v>23</v>
      </c>
      <c r="AT161" s="56"/>
      <c r="AU161" s="56"/>
      <c r="AV161" s="57" t="s">
        <v>23</v>
      </c>
      <c r="AW161" s="56"/>
      <c r="AX161" s="56"/>
      <c r="AY161" s="57" t="s">
        <v>23</v>
      </c>
      <c r="AZ161" s="56"/>
      <c r="BA161" s="56"/>
      <c r="BB161" s="57" t="s">
        <v>23</v>
      </c>
      <c r="BC161" s="56"/>
      <c r="BD161" s="56"/>
      <c r="BE161" s="57" t="s">
        <v>23</v>
      </c>
      <c r="BF161" s="56"/>
      <c r="BG161" s="56"/>
      <c r="BH161" s="57" t="s">
        <v>23</v>
      </c>
      <c r="BI161" s="56"/>
      <c r="BJ161" s="56"/>
      <c r="BK161" s="57" t="s">
        <v>23</v>
      </c>
    </row>
    <row r="162" spans="1:63" s="27" customFormat="1" ht="15.2" customHeight="1">
      <c r="A162" s="64"/>
      <c r="B162" s="63"/>
      <c r="C162" s="62" t="s">
        <v>166</v>
      </c>
      <c r="D162" s="61"/>
      <c r="E162" s="61"/>
      <c r="F162" s="61"/>
      <c r="G162" s="61"/>
      <c r="H162" s="61"/>
      <c r="I162" s="60"/>
      <c r="J162" s="61"/>
      <c r="K162" s="60"/>
      <c r="L162" s="60"/>
      <c r="M162" s="61"/>
      <c r="N162" s="61"/>
      <c r="O162" s="61"/>
      <c r="P162" s="61"/>
      <c r="Q162" s="61"/>
      <c r="R162" s="60"/>
      <c r="S162" s="59" t="s">
        <v>165</v>
      </c>
      <c r="T162" s="58"/>
      <c r="U162" s="57" t="s">
        <v>23</v>
      </c>
      <c r="V162" s="56"/>
      <c r="W162" s="56"/>
      <c r="X162" s="57" t="s">
        <v>23</v>
      </c>
      <c r="Y162" s="56"/>
      <c r="Z162" s="56"/>
      <c r="AA162" s="57" t="s">
        <v>23</v>
      </c>
      <c r="AB162" s="56"/>
      <c r="AC162" s="56"/>
      <c r="AD162" s="57" t="s">
        <v>23</v>
      </c>
      <c r="AE162" s="56"/>
      <c r="AF162" s="56"/>
      <c r="AG162" s="57" t="s">
        <v>23</v>
      </c>
      <c r="AH162" s="56"/>
      <c r="AI162" s="56"/>
      <c r="AJ162" s="57" t="s">
        <v>23</v>
      </c>
      <c r="AK162" s="56"/>
      <c r="AL162" s="56"/>
      <c r="AM162" s="57" t="s">
        <v>23</v>
      </c>
      <c r="AN162" s="56"/>
      <c r="AO162" s="56"/>
      <c r="AP162" s="57" t="s">
        <v>23</v>
      </c>
      <c r="AQ162" s="56"/>
      <c r="AR162" s="56"/>
      <c r="AS162" s="57" t="s">
        <v>23</v>
      </c>
      <c r="AT162" s="56"/>
      <c r="AU162" s="56"/>
      <c r="AV162" s="57" t="s">
        <v>23</v>
      </c>
      <c r="AW162" s="56"/>
      <c r="AX162" s="56"/>
      <c r="AY162" s="57" t="s">
        <v>23</v>
      </c>
      <c r="AZ162" s="56"/>
      <c r="BA162" s="56"/>
      <c r="BB162" s="57" t="s">
        <v>23</v>
      </c>
      <c r="BC162" s="56"/>
      <c r="BD162" s="56"/>
      <c r="BE162" s="57" t="s">
        <v>23</v>
      </c>
      <c r="BF162" s="56"/>
      <c r="BG162" s="56"/>
      <c r="BH162" s="57" t="s">
        <v>23</v>
      </c>
      <c r="BI162" s="56"/>
      <c r="BJ162" s="56"/>
      <c r="BK162" s="57" t="s">
        <v>23</v>
      </c>
    </row>
    <row r="163" spans="1:63" s="27" customFormat="1" ht="15.2" customHeight="1">
      <c r="A163" s="64"/>
      <c r="B163" s="63"/>
      <c r="C163" s="62" t="s">
        <v>164</v>
      </c>
      <c r="D163" s="61"/>
      <c r="E163" s="61"/>
      <c r="F163" s="61"/>
      <c r="G163" s="61"/>
      <c r="H163" s="61"/>
      <c r="I163" s="60"/>
      <c r="J163" s="61"/>
      <c r="K163" s="60"/>
      <c r="L163" s="60"/>
      <c r="M163" s="61"/>
      <c r="N163" s="61"/>
      <c r="O163" s="61"/>
      <c r="P163" s="61"/>
      <c r="Q163" s="61"/>
      <c r="R163" s="60"/>
      <c r="S163" s="59" t="s">
        <v>163</v>
      </c>
      <c r="T163" s="58"/>
      <c r="U163" s="57" t="s">
        <v>23</v>
      </c>
      <c r="V163" s="56"/>
      <c r="W163" s="56"/>
      <c r="X163" s="57" t="s">
        <v>23</v>
      </c>
      <c r="Y163" s="56"/>
      <c r="Z163" s="56"/>
      <c r="AA163" s="57" t="s">
        <v>23</v>
      </c>
      <c r="AB163" s="56"/>
      <c r="AC163" s="56"/>
      <c r="AD163" s="57" t="s">
        <v>23</v>
      </c>
      <c r="AE163" s="56"/>
      <c r="AF163" s="56"/>
      <c r="AG163" s="57" t="s">
        <v>23</v>
      </c>
      <c r="AH163" s="56"/>
      <c r="AI163" s="56"/>
      <c r="AJ163" s="57" t="s">
        <v>23</v>
      </c>
      <c r="AK163" s="56"/>
      <c r="AL163" s="56"/>
      <c r="AM163" s="57" t="s">
        <v>23</v>
      </c>
      <c r="AN163" s="56"/>
      <c r="AO163" s="56"/>
      <c r="AP163" s="57" t="s">
        <v>23</v>
      </c>
      <c r="AQ163" s="56"/>
      <c r="AR163" s="56"/>
      <c r="AS163" s="57" t="s">
        <v>23</v>
      </c>
      <c r="AT163" s="56"/>
      <c r="AU163" s="56"/>
      <c r="AV163" s="57" t="s">
        <v>23</v>
      </c>
      <c r="AW163" s="56"/>
      <c r="AX163" s="56"/>
      <c r="AY163" s="57" t="s">
        <v>23</v>
      </c>
      <c r="AZ163" s="56"/>
      <c r="BA163" s="56"/>
      <c r="BB163" s="57" t="s">
        <v>23</v>
      </c>
      <c r="BC163" s="56"/>
      <c r="BD163" s="56"/>
      <c r="BE163" s="57" t="s">
        <v>23</v>
      </c>
      <c r="BF163" s="56"/>
      <c r="BG163" s="56"/>
      <c r="BH163" s="57" t="s">
        <v>23</v>
      </c>
      <c r="BI163" s="56"/>
      <c r="BJ163" s="56"/>
      <c r="BK163" s="57" t="s">
        <v>23</v>
      </c>
    </row>
    <row r="164" spans="1:63" s="27" customFormat="1" ht="15.2" customHeight="1">
      <c r="A164" s="64"/>
      <c r="B164" s="63"/>
      <c r="C164" s="62" t="s">
        <v>162</v>
      </c>
      <c r="D164" s="61"/>
      <c r="E164" s="61"/>
      <c r="F164" s="61"/>
      <c r="G164" s="61"/>
      <c r="H164" s="61"/>
      <c r="I164" s="60"/>
      <c r="J164" s="61"/>
      <c r="K164" s="60"/>
      <c r="L164" s="60"/>
      <c r="M164" s="61"/>
      <c r="N164" s="61"/>
      <c r="O164" s="61"/>
      <c r="P164" s="61"/>
      <c r="Q164" s="61"/>
      <c r="R164" s="60"/>
      <c r="S164" s="59" t="s">
        <v>161</v>
      </c>
      <c r="T164" s="58"/>
      <c r="U164" s="57" t="s">
        <v>23</v>
      </c>
      <c r="V164" s="56"/>
      <c r="W164" s="56"/>
      <c r="X164" s="57" t="s">
        <v>23</v>
      </c>
      <c r="Y164" s="56"/>
      <c r="Z164" s="56"/>
      <c r="AA164" s="57" t="s">
        <v>23</v>
      </c>
      <c r="AB164" s="56"/>
      <c r="AC164" s="56"/>
      <c r="AD164" s="57" t="s">
        <v>23</v>
      </c>
      <c r="AE164" s="56"/>
      <c r="AF164" s="56"/>
      <c r="AG164" s="57" t="s">
        <v>23</v>
      </c>
      <c r="AH164" s="56"/>
      <c r="AI164" s="56"/>
      <c r="AJ164" s="57" t="s">
        <v>23</v>
      </c>
      <c r="AK164" s="56"/>
      <c r="AL164" s="56"/>
      <c r="AM164" s="57" t="s">
        <v>23</v>
      </c>
      <c r="AN164" s="56"/>
      <c r="AO164" s="56"/>
      <c r="AP164" s="57" t="s">
        <v>23</v>
      </c>
      <c r="AQ164" s="56"/>
      <c r="AR164" s="56"/>
      <c r="AS164" s="57" t="s">
        <v>23</v>
      </c>
      <c r="AT164" s="56"/>
      <c r="AU164" s="56"/>
      <c r="AV164" s="57" t="s">
        <v>23</v>
      </c>
      <c r="AW164" s="56"/>
      <c r="AX164" s="56"/>
      <c r="AY164" s="57" t="s">
        <v>23</v>
      </c>
      <c r="AZ164" s="56"/>
      <c r="BA164" s="56"/>
      <c r="BB164" s="57" t="s">
        <v>23</v>
      </c>
      <c r="BC164" s="56"/>
      <c r="BD164" s="56"/>
      <c r="BE164" s="57" t="s">
        <v>23</v>
      </c>
      <c r="BF164" s="56"/>
      <c r="BG164" s="56"/>
      <c r="BH164" s="57" t="s">
        <v>23</v>
      </c>
      <c r="BI164" s="56"/>
      <c r="BJ164" s="56"/>
      <c r="BK164" s="57" t="s">
        <v>23</v>
      </c>
    </row>
    <row r="165" spans="1:63" s="27" customFormat="1" ht="15.2" customHeight="1">
      <c r="A165" s="64"/>
      <c r="B165" s="63"/>
      <c r="C165" s="62" t="s">
        <v>160</v>
      </c>
      <c r="D165" s="61"/>
      <c r="E165" s="61"/>
      <c r="F165" s="61"/>
      <c r="G165" s="61"/>
      <c r="H165" s="61"/>
      <c r="I165" s="60"/>
      <c r="J165" s="61"/>
      <c r="K165" s="60"/>
      <c r="L165" s="60"/>
      <c r="M165" s="61"/>
      <c r="N165" s="61"/>
      <c r="O165" s="61"/>
      <c r="P165" s="61"/>
      <c r="Q165" s="61"/>
      <c r="R165" s="60"/>
      <c r="S165" s="59" t="s">
        <v>159</v>
      </c>
      <c r="T165" s="58"/>
      <c r="U165" s="57" t="s">
        <v>23</v>
      </c>
      <c r="V165" s="56"/>
      <c r="W165" s="56"/>
      <c r="X165" s="57" t="s">
        <v>23</v>
      </c>
      <c r="Y165" s="56"/>
      <c r="Z165" s="56"/>
      <c r="AA165" s="57" t="s">
        <v>23</v>
      </c>
      <c r="AB165" s="56"/>
      <c r="AC165" s="56"/>
      <c r="AD165" s="57" t="s">
        <v>23</v>
      </c>
      <c r="AE165" s="56"/>
      <c r="AF165" s="56"/>
      <c r="AG165" s="57" t="s">
        <v>23</v>
      </c>
      <c r="AH165" s="56"/>
      <c r="AI165" s="56"/>
      <c r="AJ165" s="57" t="s">
        <v>23</v>
      </c>
      <c r="AK165" s="56"/>
      <c r="AL165" s="56"/>
      <c r="AM165" s="57" t="s">
        <v>23</v>
      </c>
      <c r="AN165" s="56"/>
      <c r="AO165" s="56"/>
      <c r="AP165" s="57" t="s">
        <v>23</v>
      </c>
      <c r="AQ165" s="56"/>
      <c r="AR165" s="56"/>
      <c r="AS165" s="57" t="s">
        <v>23</v>
      </c>
      <c r="AT165" s="56"/>
      <c r="AU165" s="56"/>
      <c r="AV165" s="57" t="s">
        <v>23</v>
      </c>
      <c r="AW165" s="56"/>
      <c r="AX165" s="56"/>
      <c r="AY165" s="57" t="s">
        <v>23</v>
      </c>
      <c r="AZ165" s="56"/>
      <c r="BA165" s="56"/>
      <c r="BB165" s="57" t="s">
        <v>23</v>
      </c>
      <c r="BC165" s="56"/>
      <c r="BD165" s="56"/>
      <c r="BE165" s="57" t="s">
        <v>23</v>
      </c>
      <c r="BF165" s="56"/>
      <c r="BG165" s="56"/>
      <c r="BH165" s="57" t="s">
        <v>23</v>
      </c>
      <c r="BI165" s="56"/>
      <c r="BJ165" s="56"/>
      <c r="BK165" s="57" t="s">
        <v>23</v>
      </c>
    </row>
    <row r="166" spans="1:63" s="27" customFormat="1" ht="15.2" customHeight="1">
      <c r="A166" s="64"/>
      <c r="B166" s="63"/>
      <c r="C166" s="69" t="s">
        <v>158</v>
      </c>
      <c r="D166" s="68"/>
      <c r="E166" s="68"/>
      <c r="F166" s="68"/>
      <c r="G166" s="68"/>
      <c r="H166" s="68"/>
      <c r="I166" s="67"/>
      <c r="J166" s="68"/>
      <c r="K166" s="67"/>
      <c r="L166" s="67"/>
      <c r="M166" s="68"/>
      <c r="N166" s="68"/>
      <c r="O166" s="68"/>
      <c r="P166" s="68"/>
      <c r="Q166" s="68"/>
      <c r="R166" s="67"/>
      <c r="S166" s="66" t="s">
        <v>157</v>
      </c>
      <c r="T166" s="65"/>
      <c r="U166" s="372" t="s">
        <v>860</v>
      </c>
      <c r="V166" s="56"/>
      <c r="W166" s="56"/>
      <c r="X166" s="57" t="s">
        <v>23</v>
      </c>
      <c r="Y166" s="56"/>
      <c r="Z166" s="56"/>
      <c r="AA166" s="57" t="s">
        <v>23</v>
      </c>
      <c r="AB166" s="56"/>
      <c r="AC166" s="56"/>
      <c r="AD166" s="57" t="s">
        <v>23</v>
      </c>
      <c r="AE166" s="56"/>
      <c r="AF166" s="56"/>
      <c r="AG166" s="57" t="s">
        <v>23</v>
      </c>
      <c r="AH166" s="56"/>
      <c r="AI166" s="56"/>
      <c r="AJ166" s="57" t="s">
        <v>23</v>
      </c>
      <c r="AK166" s="56"/>
      <c r="AL166" s="56"/>
      <c r="AM166" s="57" t="s">
        <v>23</v>
      </c>
      <c r="AN166" s="56"/>
      <c r="AO166" s="56"/>
      <c r="AP166" s="57" t="s">
        <v>23</v>
      </c>
      <c r="AQ166" s="56"/>
      <c r="AR166" s="56"/>
      <c r="AS166" s="57" t="s">
        <v>23</v>
      </c>
      <c r="AT166" s="56"/>
      <c r="AU166" s="56"/>
      <c r="AV166" s="57" t="s">
        <v>23</v>
      </c>
      <c r="AW166" s="56"/>
      <c r="AX166" s="56"/>
      <c r="AY166" s="57" t="s">
        <v>23</v>
      </c>
      <c r="AZ166" s="56"/>
      <c r="BA166" s="56"/>
      <c r="BB166" s="57" t="s">
        <v>23</v>
      </c>
      <c r="BC166" s="56"/>
      <c r="BD166" s="56"/>
      <c r="BE166" s="57" t="s">
        <v>23</v>
      </c>
      <c r="BF166" s="56"/>
      <c r="BG166" s="56"/>
      <c r="BH166" s="57" t="s">
        <v>23</v>
      </c>
      <c r="BI166" s="56"/>
      <c r="BJ166" s="56"/>
      <c r="BK166" s="372" t="s">
        <v>23</v>
      </c>
    </row>
    <row r="167" spans="1:63" s="27" customFormat="1" ht="15.2" customHeight="1">
      <c r="A167" s="64"/>
      <c r="B167" s="63"/>
      <c r="C167" s="69" t="s">
        <v>156</v>
      </c>
      <c r="D167" s="68"/>
      <c r="E167" s="68"/>
      <c r="F167" s="68"/>
      <c r="G167" s="68"/>
      <c r="H167" s="68"/>
      <c r="I167" s="67"/>
      <c r="J167" s="68"/>
      <c r="K167" s="67"/>
      <c r="L167" s="67"/>
      <c r="M167" s="68"/>
      <c r="N167" s="68"/>
      <c r="O167" s="68"/>
      <c r="P167" s="68"/>
      <c r="Q167" s="68"/>
      <c r="R167" s="67"/>
      <c r="S167" s="66" t="s">
        <v>155</v>
      </c>
      <c r="T167" s="65"/>
      <c r="U167" s="57" t="s">
        <v>23</v>
      </c>
      <c r="V167" s="56"/>
      <c r="W167" s="56"/>
      <c r="X167" s="372" t="s">
        <v>860</v>
      </c>
      <c r="Y167" s="56"/>
      <c r="Z167" s="56"/>
      <c r="AA167" s="57" t="s">
        <v>23</v>
      </c>
      <c r="AB167" s="56"/>
      <c r="AC167" s="56"/>
      <c r="AD167" s="57" t="s">
        <v>23</v>
      </c>
      <c r="AE167" s="56"/>
      <c r="AF167" s="56"/>
      <c r="AG167" s="57" t="s">
        <v>23</v>
      </c>
      <c r="AH167" s="56"/>
      <c r="AI167" s="56"/>
      <c r="AJ167" s="57" t="s">
        <v>23</v>
      </c>
      <c r="AK167" s="56"/>
      <c r="AL167" s="56"/>
      <c r="AM167" s="57" t="s">
        <v>23</v>
      </c>
      <c r="AN167" s="56"/>
      <c r="AO167" s="56"/>
      <c r="AP167" s="57" t="s">
        <v>23</v>
      </c>
      <c r="AQ167" s="56"/>
      <c r="AR167" s="56"/>
      <c r="AS167" s="57" t="s">
        <v>23</v>
      </c>
      <c r="AT167" s="56"/>
      <c r="AU167" s="56"/>
      <c r="AV167" s="57" t="s">
        <v>23</v>
      </c>
      <c r="AW167" s="56"/>
      <c r="AX167" s="56"/>
      <c r="AY167" s="57" t="s">
        <v>23</v>
      </c>
      <c r="AZ167" s="56"/>
      <c r="BA167" s="56"/>
      <c r="BB167" s="57" t="s">
        <v>23</v>
      </c>
      <c r="BC167" s="56"/>
      <c r="BD167" s="56"/>
      <c r="BE167" s="57" t="s">
        <v>23</v>
      </c>
      <c r="BF167" s="56"/>
      <c r="BG167" s="56"/>
      <c r="BH167" s="57" t="s">
        <v>23</v>
      </c>
      <c r="BI167" s="56"/>
      <c r="BJ167" s="56"/>
      <c r="BK167" s="372" t="s">
        <v>23</v>
      </c>
    </row>
    <row r="168" spans="1:63" s="27" customFormat="1" ht="15.2" customHeight="1">
      <c r="A168" s="64"/>
      <c r="B168" s="63"/>
      <c r="C168" s="69" t="s">
        <v>154</v>
      </c>
      <c r="D168" s="68"/>
      <c r="E168" s="68"/>
      <c r="F168" s="68"/>
      <c r="G168" s="68"/>
      <c r="H168" s="68"/>
      <c r="I168" s="67"/>
      <c r="J168" s="68"/>
      <c r="K168" s="67"/>
      <c r="L168" s="67"/>
      <c r="M168" s="68"/>
      <c r="N168" s="68"/>
      <c r="O168" s="68"/>
      <c r="P168" s="68"/>
      <c r="Q168" s="68"/>
      <c r="R168" s="67"/>
      <c r="S168" s="66" t="s">
        <v>153</v>
      </c>
      <c r="T168" s="65"/>
      <c r="U168" s="57" t="s">
        <v>23</v>
      </c>
      <c r="V168" s="56"/>
      <c r="W168" s="56"/>
      <c r="X168" s="57" t="s">
        <v>23</v>
      </c>
      <c r="Y168" s="56"/>
      <c r="Z168" s="56"/>
      <c r="AA168" s="372" t="s">
        <v>860</v>
      </c>
      <c r="AB168" s="56"/>
      <c r="AC168" s="56"/>
      <c r="AD168" s="57" t="s">
        <v>23</v>
      </c>
      <c r="AE168" s="56"/>
      <c r="AF168" s="56"/>
      <c r="AG168" s="57" t="s">
        <v>23</v>
      </c>
      <c r="AH168" s="56"/>
      <c r="AI168" s="56"/>
      <c r="AJ168" s="57" t="s">
        <v>23</v>
      </c>
      <c r="AK168" s="56"/>
      <c r="AL168" s="56"/>
      <c r="AM168" s="57" t="s">
        <v>23</v>
      </c>
      <c r="AN168" s="56"/>
      <c r="AO168" s="56"/>
      <c r="AP168" s="57" t="s">
        <v>23</v>
      </c>
      <c r="AQ168" s="56"/>
      <c r="AR168" s="56"/>
      <c r="AS168" s="57" t="s">
        <v>23</v>
      </c>
      <c r="AT168" s="56"/>
      <c r="AU168" s="56"/>
      <c r="AV168" s="57" t="s">
        <v>23</v>
      </c>
      <c r="AW168" s="56"/>
      <c r="AX168" s="56"/>
      <c r="AY168" s="57" t="s">
        <v>23</v>
      </c>
      <c r="AZ168" s="56"/>
      <c r="BA168" s="56"/>
      <c r="BB168" s="57" t="s">
        <v>23</v>
      </c>
      <c r="BC168" s="56"/>
      <c r="BD168" s="56"/>
      <c r="BE168" s="57" t="s">
        <v>23</v>
      </c>
      <c r="BF168" s="56"/>
      <c r="BG168" s="56"/>
      <c r="BH168" s="57" t="s">
        <v>23</v>
      </c>
      <c r="BI168" s="56"/>
      <c r="BJ168" s="56"/>
      <c r="BK168" s="372" t="s">
        <v>23</v>
      </c>
    </row>
    <row r="169" spans="1:63" s="27" customFormat="1" ht="15.2" customHeight="1">
      <c r="A169" s="64"/>
      <c r="B169" s="63"/>
      <c r="C169" s="69" t="s">
        <v>152</v>
      </c>
      <c r="D169" s="68"/>
      <c r="E169" s="68"/>
      <c r="F169" s="68"/>
      <c r="G169" s="68"/>
      <c r="H169" s="68"/>
      <c r="I169" s="67"/>
      <c r="J169" s="68"/>
      <c r="K169" s="67"/>
      <c r="L169" s="67"/>
      <c r="M169" s="68"/>
      <c r="N169" s="68"/>
      <c r="O169" s="68"/>
      <c r="P169" s="68"/>
      <c r="Q169" s="68"/>
      <c r="R169" s="67"/>
      <c r="S169" s="66" t="s">
        <v>151</v>
      </c>
      <c r="T169" s="65"/>
      <c r="U169" s="57" t="s">
        <v>23</v>
      </c>
      <c r="V169" s="56"/>
      <c r="W169" s="56"/>
      <c r="X169" s="57" t="s">
        <v>23</v>
      </c>
      <c r="Y169" s="56"/>
      <c r="Z169" s="56"/>
      <c r="AA169" s="57" t="s">
        <v>23</v>
      </c>
      <c r="AB169" s="56"/>
      <c r="AC169" s="56"/>
      <c r="AD169" s="372" t="s">
        <v>860</v>
      </c>
      <c r="AE169" s="56"/>
      <c r="AF169" s="56"/>
      <c r="AG169" s="57" t="s">
        <v>23</v>
      </c>
      <c r="AH169" s="56"/>
      <c r="AI169" s="56"/>
      <c r="AJ169" s="57" t="s">
        <v>23</v>
      </c>
      <c r="AK169" s="56"/>
      <c r="AL169" s="56"/>
      <c r="AM169" s="57" t="s">
        <v>23</v>
      </c>
      <c r="AN169" s="56"/>
      <c r="AO169" s="56"/>
      <c r="AP169" s="57" t="s">
        <v>23</v>
      </c>
      <c r="AQ169" s="56"/>
      <c r="AR169" s="56"/>
      <c r="AS169" s="57" t="s">
        <v>23</v>
      </c>
      <c r="AT169" s="56"/>
      <c r="AU169" s="56"/>
      <c r="AV169" s="57" t="s">
        <v>23</v>
      </c>
      <c r="AW169" s="56"/>
      <c r="AX169" s="56"/>
      <c r="AY169" s="57" t="s">
        <v>23</v>
      </c>
      <c r="AZ169" s="56"/>
      <c r="BA169" s="56"/>
      <c r="BB169" s="57" t="s">
        <v>23</v>
      </c>
      <c r="BC169" s="56"/>
      <c r="BD169" s="56"/>
      <c r="BE169" s="57" t="s">
        <v>23</v>
      </c>
      <c r="BF169" s="56"/>
      <c r="BG169" s="56"/>
      <c r="BH169" s="57" t="s">
        <v>23</v>
      </c>
      <c r="BI169" s="56"/>
      <c r="BJ169" s="56"/>
      <c r="BK169" s="372" t="s">
        <v>23</v>
      </c>
    </row>
    <row r="170" spans="1:63" s="27" customFormat="1" ht="15.2" customHeight="1">
      <c r="A170" s="64"/>
      <c r="B170" s="63"/>
      <c r="C170" s="69" t="s">
        <v>150</v>
      </c>
      <c r="D170" s="68"/>
      <c r="E170" s="68"/>
      <c r="F170" s="68"/>
      <c r="G170" s="68"/>
      <c r="H170" s="68"/>
      <c r="I170" s="67"/>
      <c r="J170" s="68"/>
      <c r="K170" s="67"/>
      <c r="L170" s="67"/>
      <c r="M170" s="68"/>
      <c r="N170" s="68"/>
      <c r="O170" s="68"/>
      <c r="P170" s="68"/>
      <c r="Q170" s="68"/>
      <c r="R170" s="67"/>
      <c r="S170" s="66" t="s">
        <v>149</v>
      </c>
      <c r="T170" s="65"/>
      <c r="U170" s="57" t="s">
        <v>23</v>
      </c>
      <c r="V170" s="56"/>
      <c r="W170" s="56"/>
      <c r="X170" s="57" t="s">
        <v>23</v>
      </c>
      <c r="Y170" s="56"/>
      <c r="Z170" s="56"/>
      <c r="AA170" s="57" t="s">
        <v>23</v>
      </c>
      <c r="AB170" s="56"/>
      <c r="AC170" s="56"/>
      <c r="AD170" s="57" t="s">
        <v>23</v>
      </c>
      <c r="AE170" s="56"/>
      <c r="AF170" s="56"/>
      <c r="AG170" s="372" t="s">
        <v>860</v>
      </c>
      <c r="AH170" s="56"/>
      <c r="AI170" s="56"/>
      <c r="AJ170" s="57" t="s">
        <v>23</v>
      </c>
      <c r="AK170" s="56"/>
      <c r="AL170" s="56"/>
      <c r="AM170" s="57" t="s">
        <v>23</v>
      </c>
      <c r="AN170" s="56"/>
      <c r="AO170" s="56"/>
      <c r="AP170" s="57" t="s">
        <v>23</v>
      </c>
      <c r="AQ170" s="56"/>
      <c r="AR170" s="56"/>
      <c r="AS170" s="57" t="s">
        <v>23</v>
      </c>
      <c r="AT170" s="56"/>
      <c r="AU170" s="56"/>
      <c r="AV170" s="57" t="s">
        <v>23</v>
      </c>
      <c r="AW170" s="56"/>
      <c r="AX170" s="56"/>
      <c r="AY170" s="57" t="s">
        <v>23</v>
      </c>
      <c r="AZ170" s="56"/>
      <c r="BA170" s="56"/>
      <c r="BB170" s="57" t="s">
        <v>23</v>
      </c>
      <c r="BC170" s="56"/>
      <c r="BD170" s="56"/>
      <c r="BE170" s="57" t="s">
        <v>23</v>
      </c>
      <c r="BF170" s="56"/>
      <c r="BG170" s="56"/>
      <c r="BH170" s="57" t="s">
        <v>23</v>
      </c>
      <c r="BI170" s="56"/>
      <c r="BJ170" s="56"/>
      <c r="BK170" s="372" t="s">
        <v>23</v>
      </c>
    </row>
    <row r="171" spans="1:63" s="27" customFormat="1" ht="15.2" customHeight="1">
      <c r="A171" s="64"/>
      <c r="B171" s="63"/>
      <c r="C171" s="69" t="s">
        <v>148</v>
      </c>
      <c r="D171" s="68"/>
      <c r="E171" s="68"/>
      <c r="F171" s="68"/>
      <c r="G171" s="68"/>
      <c r="H171" s="68"/>
      <c r="I171" s="67"/>
      <c r="J171" s="68"/>
      <c r="K171" s="67"/>
      <c r="L171" s="67"/>
      <c r="M171" s="68"/>
      <c r="N171" s="68"/>
      <c r="O171" s="68"/>
      <c r="P171" s="68"/>
      <c r="Q171" s="68"/>
      <c r="R171" s="67"/>
      <c r="S171" s="66" t="s">
        <v>147</v>
      </c>
      <c r="T171" s="65"/>
      <c r="U171" s="57" t="s">
        <v>23</v>
      </c>
      <c r="V171" s="56"/>
      <c r="W171" s="56"/>
      <c r="X171" s="57" t="s">
        <v>23</v>
      </c>
      <c r="Y171" s="56"/>
      <c r="Z171" s="56"/>
      <c r="AA171" s="57" t="s">
        <v>23</v>
      </c>
      <c r="AB171" s="56"/>
      <c r="AC171" s="56"/>
      <c r="AD171" s="57" t="s">
        <v>23</v>
      </c>
      <c r="AE171" s="56"/>
      <c r="AF171" s="56"/>
      <c r="AG171" s="57" t="s">
        <v>23</v>
      </c>
      <c r="AH171" s="56"/>
      <c r="AI171" s="56"/>
      <c r="AJ171" s="372" t="s">
        <v>860</v>
      </c>
      <c r="AK171" s="56"/>
      <c r="AL171" s="56"/>
      <c r="AM171" s="57" t="s">
        <v>23</v>
      </c>
      <c r="AN171" s="56"/>
      <c r="AO171" s="56"/>
      <c r="AP171" s="57" t="s">
        <v>23</v>
      </c>
      <c r="AQ171" s="56"/>
      <c r="AR171" s="56"/>
      <c r="AS171" s="57" t="s">
        <v>23</v>
      </c>
      <c r="AT171" s="56"/>
      <c r="AU171" s="56"/>
      <c r="AV171" s="57" t="s">
        <v>23</v>
      </c>
      <c r="AW171" s="56"/>
      <c r="AX171" s="56"/>
      <c r="AY171" s="57" t="s">
        <v>23</v>
      </c>
      <c r="AZ171" s="56"/>
      <c r="BA171" s="56"/>
      <c r="BB171" s="57" t="s">
        <v>23</v>
      </c>
      <c r="BC171" s="56"/>
      <c r="BD171" s="56"/>
      <c r="BE171" s="57" t="s">
        <v>23</v>
      </c>
      <c r="BF171" s="56"/>
      <c r="BG171" s="56"/>
      <c r="BH171" s="57" t="s">
        <v>23</v>
      </c>
      <c r="BI171" s="56"/>
      <c r="BJ171" s="56"/>
      <c r="BK171" s="372" t="s">
        <v>23</v>
      </c>
    </row>
    <row r="172" spans="1:63" s="27" customFormat="1" ht="15.2" customHeight="1">
      <c r="A172" s="64"/>
      <c r="B172" s="63"/>
      <c r="C172" s="69" t="s">
        <v>146</v>
      </c>
      <c r="D172" s="68"/>
      <c r="E172" s="68"/>
      <c r="F172" s="68"/>
      <c r="G172" s="68"/>
      <c r="H172" s="68"/>
      <c r="I172" s="67"/>
      <c r="J172" s="68"/>
      <c r="K172" s="67"/>
      <c r="L172" s="67"/>
      <c r="M172" s="68"/>
      <c r="N172" s="68"/>
      <c r="O172" s="68"/>
      <c r="P172" s="68"/>
      <c r="Q172" s="68"/>
      <c r="R172" s="67"/>
      <c r="S172" s="66" t="s">
        <v>145</v>
      </c>
      <c r="T172" s="65"/>
      <c r="U172" s="57" t="s">
        <v>23</v>
      </c>
      <c r="V172" s="56"/>
      <c r="W172" s="56"/>
      <c r="X172" s="57" t="s">
        <v>23</v>
      </c>
      <c r="Y172" s="56"/>
      <c r="Z172" s="56"/>
      <c r="AA172" s="57" t="s">
        <v>23</v>
      </c>
      <c r="AB172" s="56"/>
      <c r="AC172" s="56"/>
      <c r="AD172" s="57" t="s">
        <v>23</v>
      </c>
      <c r="AE172" s="56"/>
      <c r="AF172" s="56"/>
      <c r="AG172" s="57" t="s">
        <v>23</v>
      </c>
      <c r="AH172" s="56"/>
      <c r="AI172" s="56"/>
      <c r="AJ172" s="57" t="s">
        <v>23</v>
      </c>
      <c r="AK172" s="56"/>
      <c r="AL172" s="56"/>
      <c r="AM172" s="372" t="s">
        <v>749</v>
      </c>
      <c r="AN172" s="56"/>
      <c r="AO172" s="56"/>
      <c r="AP172" s="57" t="s">
        <v>23</v>
      </c>
      <c r="AQ172" s="56"/>
      <c r="AR172" s="56"/>
      <c r="AS172" s="57" t="s">
        <v>23</v>
      </c>
      <c r="AT172" s="56"/>
      <c r="AU172" s="56"/>
      <c r="AV172" s="57" t="s">
        <v>23</v>
      </c>
      <c r="AW172" s="56"/>
      <c r="AX172" s="56"/>
      <c r="AY172" s="57" t="s">
        <v>23</v>
      </c>
      <c r="AZ172" s="56"/>
      <c r="BA172" s="56"/>
      <c r="BB172" s="57" t="s">
        <v>23</v>
      </c>
      <c r="BC172" s="56"/>
      <c r="BD172" s="56"/>
      <c r="BE172" s="57" t="s">
        <v>23</v>
      </c>
      <c r="BF172" s="56"/>
      <c r="BG172" s="56"/>
      <c r="BH172" s="57" t="s">
        <v>23</v>
      </c>
      <c r="BI172" s="56"/>
      <c r="BJ172" s="56"/>
      <c r="BK172" s="372" t="s">
        <v>23</v>
      </c>
    </row>
    <row r="173" spans="1:63" s="27" customFormat="1" ht="15.2" customHeight="1">
      <c r="A173" s="64"/>
      <c r="B173" s="63"/>
      <c r="C173" s="69" t="s">
        <v>144</v>
      </c>
      <c r="D173" s="68"/>
      <c r="E173" s="68"/>
      <c r="F173" s="68"/>
      <c r="G173" s="68"/>
      <c r="H173" s="68"/>
      <c r="I173" s="67"/>
      <c r="J173" s="68"/>
      <c r="K173" s="67"/>
      <c r="L173" s="67"/>
      <c r="M173" s="68"/>
      <c r="N173" s="68"/>
      <c r="O173" s="68"/>
      <c r="P173" s="68"/>
      <c r="Q173" s="68"/>
      <c r="R173" s="67"/>
      <c r="S173" s="66" t="s">
        <v>143</v>
      </c>
      <c r="T173" s="65"/>
      <c r="U173" s="57" t="s">
        <v>23</v>
      </c>
      <c r="V173" s="56"/>
      <c r="W173" s="56"/>
      <c r="X173" s="57" t="s">
        <v>23</v>
      </c>
      <c r="Y173" s="56"/>
      <c r="Z173" s="56"/>
      <c r="AA173" s="57" t="s">
        <v>23</v>
      </c>
      <c r="AB173" s="56"/>
      <c r="AC173" s="56"/>
      <c r="AD173" s="57" t="s">
        <v>23</v>
      </c>
      <c r="AE173" s="56"/>
      <c r="AF173" s="56"/>
      <c r="AG173" s="57" t="s">
        <v>23</v>
      </c>
      <c r="AH173" s="56"/>
      <c r="AI173" s="56"/>
      <c r="AJ173" s="57" t="s">
        <v>23</v>
      </c>
      <c r="AK173" s="56"/>
      <c r="AL173" s="56"/>
      <c r="AM173" s="57" t="s">
        <v>23</v>
      </c>
      <c r="AN173" s="56"/>
      <c r="AO173" s="56"/>
      <c r="AP173" s="372" t="s">
        <v>749</v>
      </c>
      <c r="AQ173" s="56"/>
      <c r="AR173" s="56"/>
      <c r="AS173" s="57" t="s">
        <v>23</v>
      </c>
      <c r="AT173" s="56"/>
      <c r="AU173" s="56"/>
      <c r="AV173" s="57" t="s">
        <v>23</v>
      </c>
      <c r="AW173" s="56"/>
      <c r="AX173" s="56"/>
      <c r="AY173" s="57" t="s">
        <v>23</v>
      </c>
      <c r="AZ173" s="56"/>
      <c r="BA173" s="56"/>
      <c r="BB173" s="57" t="s">
        <v>23</v>
      </c>
      <c r="BC173" s="56"/>
      <c r="BD173" s="56"/>
      <c r="BE173" s="57" t="s">
        <v>23</v>
      </c>
      <c r="BF173" s="56"/>
      <c r="BG173" s="56"/>
      <c r="BH173" s="57" t="s">
        <v>23</v>
      </c>
      <c r="BI173" s="56"/>
      <c r="BJ173" s="56"/>
      <c r="BK173" s="372" t="s">
        <v>23</v>
      </c>
    </row>
    <row r="174" spans="1:63" s="27" customFormat="1" ht="15.2" customHeight="1">
      <c r="A174" s="64"/>
      <c r="B174" s="63"/>
      <c r="C174" s="69" t="s">
        <v>142</v>
      </c>
      <c r="D174" s="68"/>
      <c r="E174" s="68"/>
      <c r="F174" s="68"/>
      <c r="G174" s="68"/>
      <c r="H174" s="68"/>
      <c r="I174" s="67"/>
      <c r="J174" s="68"/>
      <c r="K174" s="67"/>
      <c r="L174" s="67"/>
      <c r="M174" s="68"/>
      <c r="N174" s="68"/>
      <c r="O174" s="68"/>
      <c r="P174" s="68"/>
      <c r="Q174" s="68"/>
      <c r="R174" s="67"/>
      <c r="S174" s="66" t="s">
        <v>141</v>
      </c>
      <c r="T174" s="65"/>
      <c r="U174" s="57" t="s">
        <v>23</v>
      </c>
      <c r="V174" s="56"/>
      <c r="W174" s="56"/>
      <c r="X174" s="57" t="s">
        <v>23</v>
      </c>
      <c r="Y174" s="56"/>
      <c r="Z174" s="56"/>
      <c r="AA174" s="57" t="s">
        <v>23</v>
      </c>
      <c r="AB174" s="56"/>
      <c r="AC174" s="56"/>
      <c r="AD174" s="57" t="s">
        <v>23</v>
      </c>
      <c r="AE174" s="56"/>
      <c r="AF174" s="56"/>
      <c r="AG174" s="57" t="s">
        <v>23</v>
      </c>
      <c r="AH174" s="56"/>
      <c r="AI174" s="56"/>
      <c r="AJ174" s="57" t="s">
        <v>23</v>
      </c>
      <c r="AK174" s="56"/>
      <c r="AL174" s="56"/>
      <c r="AM174" s="57" t="s">
        <v>23</v>
      </c>
      <c r="AN174" s="56"/>
      <c r="AO174" s="56"/>
      <c r="AP174" s="57" t="s">
        <v>23</v>
      </c>
      <c r="AQ174" s="56"/>
      <c r="AR174" s="56"/>
      <c r="AS174" s="372" t="s">
        <v>749</v>
      </c>
      <c r="AT174" s="56"/>
      <c r="AU174" s="56"/>
      <c r="AV174" s="57" t="s">
        <v>23</v>
      </c>
      <c r="AW174" s="56"/>
      <c r="AX174" s="56"/>
      <c r="AY174" s="57" t="s">
        <v>23</v>
      </c>
      <c r="AZ174" s="56"/>
      <c r="BA174" s="56"/>
      <c r="BB174" s="57" t="s">
        <v>23</v>
      </c>
      <c r="BC174" s="56"/>
      <c r="BD174" s="56"/>
      <c r="BE174" s="57" t="s">
        <v>23</v>
      </c>
      <c r="BF174" s="56"/>
      <c r="BG174" s="56"/>
      <c r="BH174" s="57" t="s">
        <v>23</v>
      </c>
      <c r="BI174" s="56"/>
      <c r="BJ174" s="56"/>
      <c r="BK174" s="372" t="s">
        <v>23</v>
      </c>
    </row>
    <row r="175" spans="1:63" s="27" customFormat="1" ht="15.2" customHeight="1">
      <c r="A175" s="64"/>
      <c r="B175" s="63"/>
      <c r="C175" s="69" t="s">
        <v>140</v>
      </c>
      <c r="D175" s="68"/>
      <c r="E175" s="68"/>
      <c r="F175" s="68"/>
      <c r="G175" s="68"/>
      <c r="H175" s="68"/>
      <c r="I175" s="67"/>
      <c r="J175" s="68"/>
      <c r="K175" s="67"/>
      <c r="L175" s="67"/>
      <c r="M175" s="68"/>
      <c r="N175" s="68"/>
      <c r="O175" s="68"/>
      <c r="P175" s="68"/>
      <c r="Q175" s="68"/>
      <c r="R175" s="67"/>
      <c r="S175" s="66" t="s">
        <v>139</v>
      </c>
      <c r="T175" s="65"/>
      <c r="U175" s="57" t="s">
        <v>23</v>
      </c>
      <c r="V175" s="56"/>
      <c r="W175" s="56"/>
      <c r="X175" s="57" t="s">
        <v>23</v>
      </c>
      <c r="Y175" s="56"/>
      <c r="Z175" s="56"/>
      <c r="AA175" s="57" t="s">
        <v>23</v>
      </c>
      <c r="AB175" s="56"/>
      <c r="AC175" s="56"/>
      <c r="AD175" s="57" t="s">
        <v>23</v>
      </c>
      <c r="AE175" s="56"/>
      <c r="AF175" s="56"/>
      <c r="AG175" s="57" t="s">
        <v>23</v>
      </c>
      <c r="AH175" s="56"/>
      <c r="AI175" s="56"/>
      <c r="AJ175" s="57" t="s">
        <v>23</v>
      </c>
      <c r="AK175" s="56"/>
      <c r="AL175" s="56"/>
      <c r="AM175" s="57" t="s">
        <v>23</v>
      </c>
      <c r="AN175" s="56"/>
      <c r="AO175" s="56"/>
      <c r="AP175" s="57" t="s">
        <v>23</v>
      </c>
      <c r="AQ175" s="56"/>
      <c r="AR175" s="56"/>
      <c r="AS175" s="57" t="s">
        <v>23</v>
      </c>
      <c r="AT175" s="56"/>
      <c r="AU175" s="56"/>
      <c r="AV175" s="372" t="s">
        <v>749</v>
      </c>
      <c r="AW175" s="56"/>
      <c r="AX175" s="56"/>
      <c r="AY175" s="57" t="s">
        <v>23</v>
      </c>
      <c r="AZ175" s="56"/>
      <c r="BA175" s="56"/>
      <c r="BB175" s="57" t="s">
        <v>23</v>
      </c>
      <c r="BC175" s="56"/>
      <c r="BD175" s="56"/>
      <c r="BE175" s="57" t="s">
        <v>23</v>
      </c>
      <c r="BF175" s="56"/>
      <c r="BG175" s="56"/>
      <c r="BH175" s="57" t="s">
        <v>23</v>
      </c>
      <c r="BI175" s="56"/>
      <c r="BJ175" s="56"/>
      <c r="BK175" s="372" t="s">
        <v>23</v>
      </c>
    </row>
    <row r="176" spans="1:63" s="27" customFormat="1" ht="15.2" customHeight="1">
      <c r="A176" s="64"/>
      <c r="B176" s="63"/>
      <c r="C176" s="69" t="s">
        <v>138</v>
      </c>
      <c r="D176" s="68"/>
      <c r="E176" s="68"/>
      <c r="F176" s="68"/>
      <c r="G176" s="68"/>
      <c r="H176" s="68"/>
      <c r="I176" s="67"/>
      <c r="J176" s="68"/>
      <c r="K176" s="67"/>
      <c r="L176" s="67"/>
      <c r="M176" s="68"/>
      <c r="N176" s="68"/>
      <c r="O176" s="68"/>
      <c r="P176" s="68"/>
      <c r="Q176" s="68"/>
      <c r="R176" s="67"/>
      <c r="S176" s="66" t="s">
        <v>137</v>
      </c>
      <c r="T176" s="65"/>
      <c r="U176" s="57" t="s">
        <v>23</v>
      </c>
      <c r="V176" s="56"/>
      <c r="W176" s="56"/>
      <c r="X176" s="57" t="s">
        <v>23</v>
      </c>
      <c r="Y176" s="56"/>
      <c r="Z176" s="56"/>
      <c r="AA176" s="57" t="s">
        <v>23</v>
      </c>
      <c r="AB176" s="56"/>
      <c r="AC176" s="56"/>
      <c r="AD176" s="57" t="s">
        <v>23</v>
      </c>
      <c r="AE176" s="56"/>
      <c r="AF176" s="56"/>
      <c r="AG176" s="57" t="s">
        <v>23</v>
      </c>
      <c r="AH176" s="56"/>
      <c r="AI176" s="56"/>
      <c r="AJ176" s="57" t="s">
        <v>23</v>
      </c>
      <c r="AK176" s="56"/>
      <c r="AL176" s="56"/>
      <c r="AM176" s="57" t="s">
        <v>23</v>
      </c>
      <c r="AN176" s="56"/>
      <c r="AO176" s="56"/>
      <c r="AP176" s="57" t="s">
        <v>23</v>
      </c>
      <c r="AQ176" s="56"/>
      <c r="AR176" s="56"/>
      <c r="AS176" s="57" t="s">
        <v>23</v>
      </c>
      <c r="AT176" s="56"/>
      <c r="AU176" s="56"/>
      <c r="AV176" s="57" t="s">
        <v>23</v>
      </c>
      <c r="AW176" s="56"/>
      <c r="AX176" s="56"/>
      <c r="AY176" s="372" t="s">
        <v>749</v>
      </c>
      <c r="AZ176" s="56"/>
      <c r="BA176" s="56"/>
      <c r="BB176" s="57" t="s">
        <v>23</v>
      </c>
      <c r="BC176" s="56"/>
      <c r="BD176" s="56"/>
      <c r="BE176" s="57" t="s">
        <v>23</v>
      </c>
      <c r="BF176" s="56"/>
      <c r="BG176" s="56"/>
      <c r="BH176" s="57" t="s">
        <v>23</v>
      </c>
      <c r="BI176" s="56"/>
      <c r="BJ176" s="56"/>
      <c r="BK176" s="372" t="s">
        <v>23</v>
      </c>
    </row>
    <row r="177" spans="1:63" s="27" customFormat="1" ht="15.2" customHeight="1">
      <c r="A177" s="64"/>
      <c r="B177" s="63"/>
      <c r="C177" s="69" t="s">
        <v>136</v>
      </c>
      <c r="D177" s="68"/>
      <c r="E177" s="68"/>
      <c r="F177" s="68"/>
      <c r="G177" s="68"/>
      <c r="H177" s="68"/>
      <c r="I177" s="67"/>
      <c r="J177" s="68"/>
      <c r="K177" s="67"/>
      <c r="L177" s="67"/>
      <c r="M177" s="68"/>
      <c r="N177" s="68"/>
      <c r="O177" s="68"/>
      <c r="P177" s="68"/>
      <c r="Q177" s="68"/>
      <c r="R177" s="67"/>
      <c r="S177" s="66" t="s">
        <v>135</v>
      </c>
      <c r="T177" s="65"/>
      <c r="U177" s="57" t="s">
        <v>23</v>
      </c>
      <c r="V177" s="56"/>
      <c r="W177" s="56"/>
      <c r="X177" s="57" t="s">
        <v>23</v>
      </c>
      <c r="Y177" s="56"/>
      <c r="Z177" s="56"/>
      <c r="AA177" s="57" t="s">
        <v>23</v>
      </c>
      <c r="AB177" s="56"/>
      <c r="AC177" s="56"/>
      <c r="AD177" s="57" t="s">
        <v>23</v>
      </c>
      <c r="AE177" s="56"/>
      <c r="AF177" s="56"/>
      <c r="AG177" s="57" t="s">
        <v>23</v>
      </c>
      <c r="AH177" s="56"/>
      <c r="AI177" s="56"/>
      <c r="AJ177" s="57" t="s">
        <v>23</v>
      </c>
      <c r="AK177" s="56"/>
      <c r="AL177" s="56"/>
      <c r="AM177" s="57" t="s">
        <v>23</v>
      </c>
      <c r="AN177" s="56"/>
      <c r="AO177" s="56"/>
      <c r="AP177" s="57" t="s">
        <v>23</v>
      </c>
      <c r="AQ177" s="56"/>
      <c r="AR177" s="56"/>
      <c r="AS177" s="57" t="s">
        <v>23</v>
      </c>
      <c r="AT177" s="56"/>
      <c r="AU177" s="56"/>
      <c r="AV177" s="57" t="s">
        <v>23</v>
      </c>
      <c r="AW177" s="56"/>
      <c r="AX177" s="56"/>
      <c r="AY177" s="57" t="s">
        <v>23</v>
      </c>
      <c r="AZ177" s="56"/>
      <c r="BA177" s="56"/>
      <c r="BB177" s="372" t="s">
        <v>749</v>
      </c>
      <c r="BC177" s="56"/>
      <c r="BD177" s="56"/>
      <c r="BE177" s="57" t="s">
        <v>23</v>
      </c>
      <c r="BF177" s="56"/>
      <c r="BG177" s="56"/>
      <c r="BH177" s="57" t="s">
        <v>23</v>
      </c>
      <c r="BI177" s="56"/>
      <c r="BJ177" s="56"/>
      <c r="BK177" s="372" t="s">
        <v>23</v>
      </c>
    </row>
    <row r="178" spans="1:63" s="27" customFormat="1" ht="15.2" customHeight="1">
      <c r="A178" s="64"/>
      <c r="B178" s="63"/>
      <c r="C178" s="69" t="s">
        <v>134</v>
      </c>
      <c r="D178" s="68"/>
      <c r="E178" s="68"/>
      <c r="F178" s="68"/>
      <c r="G178" s="68"/>
      <c r="H178" s="68"/>
      <c r="I178" s="67"/>
      <c r="J178" s="68"/>
      <c r="K178" s="67"/>
      <c r="L178" s="67"/>
      <c r="M178" s="68"/>
      <c r="N178" s="68"/>
      <c r="O178" s="68"/>
      <c r="P178" s="68"/>
      <c r="Q178" s="68"/>
      <c r="R178" s="67"/>
      <c r="S178" s="66" t="s">
        <v>133</v>
      </c>
      <c r="T178" s="65"/>
      <c r="U178" s="57" t="s">
        <v>23</v>
      </c>
      <c r="V178" s="56"/>
      <c r="W178" s="56"/>
      <c r="X178" s="57" t="s">
        <v>23</v>
      </c>
      <c r="Y178" s="56"/>
      <c r="Z178" s="56"/>
      <c r="AA178" s="57" t="s">
        <v>23</v>
      </c>
      <c r="AB178" s="56"/>
      <c r="AC178" s="56"/>
      <c r="AD178" s="57" t="s">
        <v>23</v>
      </c>
      <c r="AE178" s="56"/>
      <c r="AF178" s="56"/>
      <c r="AG178" s="57" t="s">
        <v>23</v>
      </c>
      <c r="AH178" s="56"/>
      <c r="AI178" s="56"/>
      <c r="AJ178" s="57" t="s">
        <v>23</v>
      </c>
      <c r="AK178" s="56"/>
      <c r="AL178" s="56"/>
      <c r="AM178" s="57" t="s">
        <v>23</v>
      </c>
      <c r="AN178" s="56"/>
      <c r="AO178" s="56"/>
      <c r="AP178" s="57" t="s">
        <v>23</v>
      </c>
      <c r="AQ178" s="56"/>
      <c r="AR178" s="56"/>
      <c r="AS178" s="57" t="s">
        <v>23</v>
      </c>
      <c r="AT178" s="56"/>
      <c r="AU178" s="56"/>
      <c r="AV178" s="57" t="s">
        <v>23</v>
      </c>
      <c r="AW178" s="56"/>
      <c r="AX178" s="56"/>
      <c r="AY178" s="57" t="s">
        <v>23</v>
      </c>
      <c r="AZ178" s="56"/>
      <c r="BA178" s="56"/>
      <c r="BB178" s="57" t="s">
        <v>23</v>
      </c>
      <c r="BC178" s="56"/>
      <c r="BD178" s="56"/>
      <c r="BE178" s="372" t="s">
        <v>749</v>
      </c>
      <c r="BF178" s="56"/>
      <c r="BG178" s="56"/>
      <c r="BH178" s="57" t="s">
        <v>23</v>
      </c>
      <c r="BI178" s="56"/>
      <c r="BJ178" s="56"/>
      <c r="BK178" s="372" t="s">
        <v>23</v>
      </c>
    </row>
    <row r="179" spans="1:63" s="27" customFormat="1" ht="15.2" customHeight="1">
      <c r="A179" s="64"/>
      <c r="B179" s="63"/>
      <c r="C179" s="69" t="s">
        <v>132</v>
      </c>
      <c r="D179" s="68"/>
      <c r="E179" s="68"/>
      <c r="F179" s="68"/>
      <c r="G179" s="68"/>
      <c r="H179" s="68"/>
      <c r="I179" s="67"/>
      <c r="J179" s="68"/>
      <c r="K179" s="67"/>
      <c r="L179" s="67"/>
      <c r="M179" s="68"/>
      <c r="N179" s="68"/>
      <c r="O179" s="68"/>
      <c r="P179" s="68"/>
      <c r="Q179" s="68"/>
      <c r="R179" s="67"/>
      <c r="S179" s="66" t="s">
        <v>131</v>
      </c>
      <c r="T179" s="65"/>
      <c r="U179" s="57" t="s">
        <v>23</v>
      </c>
      <c r="V179" s="56"/>
      <c r="W179" s="56"/>
      <c r="X179" s="57" t="s">
        <v>23</v>
      </c>
      <c r="Y179" s="56"/>
      <c r="Z179" s="56"/>
      <c r="AA179" s="57" t="s">
        <v>23</v>
      </c>
      <c r="AB179" s="56"/>
      <c r="AC179" s="56"/>
      <c r="AD179" s="57" t="s">
        <v>23</v>
      </c>
      <c r="AE179" s="56"/>
      <c r="AF179" s="56"/>
      <c r="AG179" s="57" t="s">
        <v>23</v>
      </c>
      <c r="AH179" s="56"/>
      <c r="AI179" s="56"/>
      <c r="AJ179" s="57" t="s">
        <v>23</v>
      </c>
      <c r="AK179" s="56"/>
      <c r="AL179" s="56"/>
      <c r="AM179" s="57" t="s">
        <v>23</v>
      </c>
      <c r="AN179" s="56"/>
      <c r="AO179" s="56"/>
      <c r="AP179" s="57" t="s">
        <v>23</v>
      </c>
      <c r="AQ179" s="56"/>
      <c r="AR179" s="56"/>
      <c r="AS179" s="57" t="s">
        <v>23</v>
      </c>
      <c r="AT179" s="56"/>
      <c r="AU179" s="56"/>
      <c r="AV179" s="57" t="s">
        <v>23</v>
      </c>
      <c r="AW179" s="56"/>
      <c r="AX179" s="56"/>
      <c r="AY179" s="57" t="s">
        <v>23</v>
      </c>
      <c r="AZ179" s="56"/>
      <c r="BA179" s="56"/>
      <c r="BB179" s="57" t="s">
        <v>23</v>
      </c>
      <c r="BC179" s="56"/>
      <c r="BD179" s="56"/>
      <c r="BE179" s="57" t="s">
        <v>23</v>
      </c>
      <c r="BF179" s="56"/>
      <c r="BG179" s="56"/>
      <c r="BH179" s="372" t="s">
        <v>749</v>
      </c>
      <c r="BI179" s="56"/>
      <c r="BJ179" s="56"/>
      <c r="BK179" s="372" t="s">
        <v>23</v>
      </c>
    </row>
    <row r="180" spans="1:63" s="27" customFormat="1" ht="15.2" customHeight="1">
      <c r="A180" s="64"/>
      <c r="B180" s="63"/>
      <c r="C180" s="62" t="s">
        <v>130</v>
      </c>
      <c r="D180" s="61"/>
      <c r="E180" s="61"/>
      <c r="F180" s="61"/>
      <c r="G180" s="61"/>
      <c r="H180" s="61"/>
      <c r="I180" s="60"/>
      <c r="J180" s="61"/>
      <c r="K180" s="60"/>
      <c r="L180" s="60"/>
      <c r="M180" s="61"/>
      <c r="N180" s="61"/>
      <c r="O180" s="61"/>
      <c r="P180" s="61"/>
      <c r="Q180" s="61"/>
      <c r="R180" s="60"/>
      <c r="S180" s="59" t="s">
        <v>129</v>
      </c>
      <c r="T180" s="58"/>
      <c r="U180" s="57" t="s">
        <v>23</v>
      </c>
      <c r="V180" s="56"/>
      <c r="W180" s="56"/>
      <c r="X180" s="57" t="s">
        <v>23</v>
      </c>
      <c r="Y180" s="56"/>
      <c r="Z180" s="56"/>
      <c r="AA180" s="57" t="s">
        <v>23</v>
      </c>
      <c r="AB180" s="56"/>
      <c r="AC180" s="56"/>
      <c r="AD180" s="57" t="s">
        <v>23</v>
      </c>
      <c r="AE180" s="56"/>
      <c r="AF180" s="56"/>
      <c r="AG180" s="57" t="s">
        <v>23</v>
      </c>
      <c r="AH180" s="56"/>
      <c r="AI180" s="56"/>
      <c r="AJ180" s="57" t="s">
        <v>23</v>
      </c>
      <c r="AK180" s="56"/>
      <c r="AL180" s="56"/>
      <c r="AM180" s="57" t="s">
        <v>23</v>
      </c>
      <c r="AN180" s="56"/>
      <c r="AO180" s="56"/>
      <c r="AP180" s="57" t="s">
        <v>23</v>
      </c>
      <c r="AQ180" s="56"/>
      <c r="AR180" s="56"/>
      <c r="AS180" s="57" t="s">
        <v>23</v>
      </c>
      <c r="AT180" s="56"/>
      <c r="AU180" s="56"/>
      <c r="AV180" s="57" t="s">
        <v>23</v>
      </c>
      <c r="AW180" s="56"/>
      <c r="AX180" s="56"/>
      <c r="AY180" s="57" t="s">
        <v>23</v>
      </c>
      <c r="AZ180" s="56"/>
      <c r="BA180" s="56"/>
      <c r="BB180" s="57" t="s">
        <v>23</v>
      </c>
      <c r="BC180" s="56"/>
      <c r="BD180" s="56"/>
      <c r="BE180" s="57" t="s">
        <v>23</v>
      </c>
      <c r="BF180" s="56"/>
      <c r="BG180" s="56"/>
      <c r="BH180" s="57" t="s">
        <v>23</v>
      </c>
      <c r="BI180" s="56"/>
      <c r="BJ180" s="56"/>
      <c r="BK180" s="57" t="s">
        <v>23</v>
      </c>
    </row>
    <row r="181" spans="1:63" s="27" customFormat="1" ht="15.2" customHeight="1">
      <c r="A181" s="64"/>
      <c r="B181" s="63"/>
      <c r="C181" s="62" t="s">
        <v>128</v>
      </c>
      <c r="D181" s="61"/>
      <c r="E181" s="61"/>
      <c r="F181" s="61"/>
      <c r="G181" s="61"/>
      <c r="H181" s="61"/>
      <c r="I181" s="60"/>
      <c r="J181" s="61"/>
      <c r="K181" s="60"/>
      <c r="L181" s="60"/>
      <c r="M181" s="61"/>
      <c r="N181" s="61"/>
      <c r="O181" s="61"/>
      <c r="P181" s="61"/>
      <c r="Q181" s="61"/>
      <c r="R181" s="60"/>
      <c r="S181" s="59" t="s">
        <v>127</v>
      </c>
      <c r="T181" s="58"/>
      <c r="U181" s="57" t="s">
        <v>23</v>
      </c>
      <c r="V181" s="56"/>
      <c r="W181" s="56"/>
      <c r="X181" s="57" t="s">
        <v>23</v>
      </c>
      <c r="Y181" s="56"/>
      <c r="Z181" s="56"/>
      <c r="AA181" s="57" t="s">
        <v>23</v>
      </c>
      <c r="AB181" s="56"/>
      <c r="AC181" s="56"/>
      <c r="AD181" s="57" t="s">
        <v>23</v>
      </c>
      <c r="AE181" s="56"/>
      <c r="AF181" s="56"/>
      <c r="AG181" s="57" t="s">
        <v>23</v>
      </c>
      <c r="AH181" s="56"/>
      <c r="AI181" s="56"/>
      <c r="AJ181" s="57" t="s">
        <v>23</v>
      </c>
      <c r="AK181" s="56"/>
      <c r="AL181" s="56"/>
      <c r="AM181" s="57" t="s">
        <v>23</v>
      </c>
      <c r="AN181" s="56"/>
      <c r="AO181" s="56"/>
      <c r="AP181" s="57" t="s">
        <v>23</v>
      </c>
      <c r="AQ181" s="56"/>
      <c r="AR181" s="56"/>
      <c r="AS181" s="57" t="s">
        <v>23</v>
      </c>
      <c r="AT181" s="56"/>
      <c r="AU181" s="56"/>
      <c r="AV181" s="57" t="s">
        <v>23</v>
      </c>
      <c r="AW181" s="56"/>
      <c r="AX181" s="56"/>
      <c r="AY181" s="57" t="s">
        <v>23</v>
      </c>
      <c r="AZ181" s="56"/>
      <c r="BA181" s="56"/>
      <c r="BB181" s="57" t="s">
        <v>23</v>
      </c>
      <c r="BC181" s="56"/>
      <c r="BD181" s="56"/>
      <c r="BE181" s="57" t="s">
        <v>23</v>
      </c>
      <c r="BF181" s="56"/>
      <c r="BG181" s="56"/>
      <c r="BH181" s="57" t="s">
        <v>23</v>
      </c>
      <c r="BI181" s="56"/>
      <c r="BJ181" s="56"/>
      <c r="BK181" s="57" t="s">
        <v>23</v>
      </c>
    </row>
    <row r="182" spans="1:63" s="27" customFormat="1" ht="15.2" customHeight="1">
      <c r="A182" s="64"/>
      <c r="B182" s="63"/>
      <c r="C182" s="62" t="s">
        <v>126</v>
      </c>
      <c r="D182" s="61"/>
      <c r="E182" s="61"/>
      <c r="F182" s="61"/>
      <c r="G182" s="61"/>
      <c r="H182" s="61"/>
      <c r="I182" s="60"/>
      <c r="J182" s="61"/>
      <c r="K182" s="60"/>
      <c r="L182" s="60"/>
      <c r="M182" s="61"/>
      <c r="N182" s="61"/>
      <c r="O182" s="61"/>
      <c r="P182" s="61"/>
      <c r="Q182" s="61"/>
      <c r="R182" s="60"/>
      <c r="S182" s="59" t="s">
        <v>125</v>
      </c>
      <c r="T182" s="58"/>
      <c r="U182" s="57" t="s">
        <v>23</v>
      </c>
      <c r="V182" s="56"/>
      <c r="W182" s="56"/>
      <c r="X182" s="57" t="s">
        <v>23</v>
      </c>
      <c r="Y182" s="56"/>
      <c r="Z182" s="56"/>
      <c r="AA182" s="57" t="s">
        <v>23</v>
      </c>
      <c r="AB182" s="56"/>
      <c r="AC182" s="56"/>
      <c r="AD182" s="57" t="s">
        <v>23</v>
      </c>
      <c r="AE182" s="56"/>
      <c r="AF182" s="56"/>
      <c r="AG182" s="57" t="s">
        <v>23</v>
      </c>
      <c r="AH182" s="56"/>
      <c r="AI182" s="56"/>
      <c r="AJ182" s="57" t="s">
        <v>23</v>
      </c>
      <c r="AK182" s="56"/>
      <c r="AL182" s="56"/>
      <c r="AM182" s="57" t="s">
        <v>23</v>
      </c>
      <c r="AN182" s="56"/>
      <c r="AO182" s="56"/>
      <c r="AP182" s="57" t="s">
        <v>23</v>
      </c>
      <c r="AQ182" s="56"/>
      <c r="AR182" s="56"/>
      <c r="AS182" s="57" t="s">
        <v>23</v>
      </c>
      <c r="AT182" s="56"/>
      <c r="AU182" s="56"/>
      <c r="AV182" s="57" t="s">
        <v>23</v>
      </c>
      <c r="AW182" s="56"/>
      <c r="AX182" s="56"/>
      <c r="AY182" s="57" t="s">
        <v>23</v>
      </c>
      <c r="AZ182" s="56"/>
      <c r="BA182" s="56"/>
      <c r="BB182" s="57" t="s">
        <v>23</v>
      </c>
      <c r="BC182" s="56"/>
      <c r="BD182" s="56"/>
      <c r="BE182" s="57" t="s">
        <v>23</v>
      </c>
      <c r="BF182" s="56"/>
      <c r="BG182" s="56"/>
      <c r="BH182" s="57" t="s">
        <v>23</v>
      </c>
      <c r="BI182" s="56"/>
      <c r="BJ182" s="56"/>
      <c r="BK182" s="57" t="s">
        <v>23</v>
      </c>
    </row>
    <row r="183" spans="1:63" s="27" customFormat="1" ht="15.2" customHeight="1">
      <c r="A183" s="64"/>
      <c r="B183" s="63"/>
      <c r="C183" s="62" t="s">
        <v>124</v>
      </c>
      <c r="D183" s="61"/>
      <c r="E183" s="61"/>
      <c r="F183" s="61"/>
      <c r="G183" s="61"/>
      <c r="H183" s="61"/>
      <c r="I183" s="60"/>
      <c r="J183" s="61"/>
      <c r="K183" s="60"/>
      <c r="L183" s="60"/>
      <c r="M183" s="61"/>
      <c r="N183" s="61"/>
      <c r="O183" s="61"/>
      <c r="P183" s="61"/>
      <c r="Q183" s="61"/>
      <c r="R183" s="60"/>
      <c r="S183" s="59" t="s">
        <v>123</v>
      </c>
      <c r="T183" s="58"/>
      <c r="U183" s="57" t="s">
        <v>23</v>
      </c>
      <c r="V183" s="56"/>
      <c r="W183" s="56"/>
      <c r="X183" s="57" t="s">
        <v>23</v>
      </c>
      <c r="Y183" s="56"/>
      <c r="Z183" s="56"/>
      <c r="AA183" s="57" t="s">
        <v>23</v>
      </c>
      <c r="AB183" s="56"/>
      <c r="AC183" s="56"/>
      <c r="AD183" s="57" t="s">
        <v>23</v>
      </c>
      <c r="AE183" s="56"/>
      <c r="AF183" s="56"/>
      <c r="AG183" s="57" t="s">
        <v>23</v>
      </c>
      <c r="AH183" s="56"/>
      <c r="AI183" s="56"/>
      <c r="AJ183" s="57" t="s">
        <v>23</v>
      </c>
      <c r="AK183" s="56"/>
      <c r="AL183" s="56"/>
      <c r="AM183" s="57" t="s">
        <v>23</v>
      </c>
      <c r="AN183" s="56"/>
      <c r="AO183" s="56"/>
      <c r="AP183" s="57" t="s">
        <v>23</v>
      </c>
      <c r="AQ183" s="56"/>
      <c r="AR183" s="56"/>
      <c r="AS183" s="57" t="s">
        <v>23</v>
      </c>
      <c r="AT183" s="56"/>
      <c r="AU183" s="56"/>
      <c r="AV183" s="57" t="s">
        <v>23</v>
      </c>
      <c r="AW183" s="56"/>
      <c r="AX183" s="56"/>
      <c r="AY183" s="57" t="s">
        <v>23</v>
      </c>
      <c r="AZ183" s="56"/>
      <c r="BA183" s="56"/>
      <c r="BB183" s="57" t="s">
        <v>23</v>
      </c>
      <c r="BC183" s="56"/>
      <c r="BD183" s="56"/>
      <c r="BE183" s="57" t="s">
        <v>23</v>
      </c>
      <c r="BF183" s="56"/>
      <c r="BG183" s="56"/>
      <c r="BH183" s="57" t="s">
        <v>23</v>
      </c>
      <c r="BI183" s="56"/>
      <c r="BJ183" s="56"/>
      <c r="BK183" s="57" t="s">
        <v>23</v>
      </c>
    </row>
    <row r="184" spans="1:63" s="27" customFormat="1" ht="15.2" customHeight="1">
      <c r="A184" s="64"/>
      <c r="B184" s="63"/>
      <c r="C184" s="62" t="s">
        <v>122</v>
      </c>
      <c r="D184" s="61"/>
      <c r="E184" s="61"/>
      <c r="F184" s="61"/>
      <c r="G184" s="61"/>
      <c r="H184" s="61"/>
      <c r="I184" s="60"/>
      <c r="J184" s="61"/>
      <c r="K184" s="60"/>
      <c r="L184" s="60"/>
      <c r="M184" s="61"/>
      <c r="N184" s="61"/>
      <c r="O184" s="61"/>
      <c r="P184" s="61"/>
      <c r="Q184" s="61"/>
      <c r="R184" s="60"/>
      <c r="S184" s="59" t="s">
        <v>121</v>
      </c>
      <c r="T184" s="58"/>
      <c r="U184" s="57" t="s">
        <v>23</v>
      </c>
      <c r="V184" s="56"/>
      <c r="W184" s="56"/>
      <c r="X184" s="57" t="s">
        <v>23</v>
      </c>
      <c r="Y184" s="56"/>
      <c r="Z184" s="56"/>
      <c r="AA184" s="57" t="s">
        <v>23</v>
      </c>
      <c r="AB184" s="56"/>
      <c r="AC184" s="56"/>
      <c r="AD184" s="57" t="s">
        <v>23</v>
      </c>
      <c r="AE184" s="56"/>
      <c r="AF184" s="56"/>
      <c r="AG184" s="57" t="s">
        <v>23</v>
      </c>
      <c r="AH184" s="56"/>
      <c r="AI184" s="56"/>
      <c r="AJ184" s="57" t="s">
        <v>23</v>
      </c>
      <c r="AK184" s="56"/>
      <c r="AL184" s="56"/>
      <c r="AM184" s="57" t="s">
        <v>23</v>
      </c>
      <c r="AN184" s="56"/>
      <c r="AO184" s="56"/>
      <c r="AP184" s="57" t="s">
        <v>23</v>
      </c>
      <c r="AQ184" s="56"/>
      <c r="AR184" s="56"/>
      <c r="AS184" s="57" t="s">
        <v>23</v>
      </c>
      <c r="AT184" s="56"/>
      <c r="AU184" s="56"/>
      <c r="AV184" s="57" t="s">
        <v>23</v>
      </c>
      <c r="AW184" s="56"/>
      <c r="AX184" s="56"/>
      <c r="AY184" s="57" t="s">
        <v>23</v>
      </c>
      <c r="AZ184" s="56"/>
      <c r="BA184" s="56"/>
      <c r="BB184" s="57" t="s">
        <v>23</v>
      </c>
      <c r="BC184" s="56"/>
      <c r="BD184" s="56"/>
      <c r="BE184" s="57" t="s">
        <v>23</v>
      </c>
      <c r="BF184" s="56"/>
      <c r="BG184" s="56"/>
      <c r="BH184" s="57" t="s">
        <v>23</v>
      </c>
      <c r="BI184" s="56"/>
      <c r="BJ184" s="56"/>
      <c r="BK184" s="57" t="s">
        <v>23</v>
      </c>
    </row>
    <row r="185" spans="1:63" s="27" customFormat="1" ht="15.2" customHeight="1">
      <c r="A185" s="64"/>
      <c r="B185" s="63"/>
      <c r="C185" s="62" t="s">
        <v>120</v>
      </c>
      <c r="D185" s="61"/>
      <c r="E185" s="61"/>
      <c r="F185" s="61"/>
      <c r="G185" s="61"/>
      <c r="H185" s="61"/>
      <c r="I185" s="60"/>
      <c r="J185" s="61"/>
      <c r="K185" s="60"/>
      <c r="L185" s="60"/>
      <c r="M185" s="61"/>
      <c r="N185" s="61"/>
      <c r="O185" s="61"/>
      <c r="P185" s="61"/>
      <c r="Q185" s="61"/>
      <c r="R185" s="60"/>
      <c r="S185" s="59" t="s">
        <v>119</v>
      </c>
      <c r="T185" s="58"/>
      <c r="U185" s="57" t="s">
        <v>23</v>
      </c>
      <c r="V185" s="56"/>
      <c r="W185" s="56"/>
      <c r="X185" s="57" t="s">
        <v>23</v>
      </c>
      <c r="Y185" s="56"/>
      <c r="Z185" s="56"/>
      <c r="AA185" s="57" t="s">
        <v>23</v>
      </c>
      <c r="AB185" s="56"/>
      <c r="AC185" s="56"/>
      <c r="AD185" s="57" t="s">
        <v>23</v>
      </c>
      <c r="AE185" s="56"/>
      <c r="AF185" s="56"/>
      <c r="AG185" s="57" t="s">
        <v>23</v>
      </c>
      <c r="AH185" s="56"/>
      <c r="AI185" s="56"/>
      <c r="AJ185" s="57" t="s">
        <v>23</v>
      </c>
      <c r="AK185" s="56"/>
      <c r="AL185" s="56"/>
      <c r="AM185" s="57" t="s">
        <v>23</v>
      </c>
      <c r="AN185" s="56"/>
      <c r="AO185" s="56"/>
      <c r="AP185" s="57" t="s">
        <v>23</v>
      </c>
      <c r="AQ185" s="56"/>
      <c r="AR185" s="56"/>
      <c r="AS185" s="57" t="s">
        <v>23</v>
      </c>
      <c r="AT185" s="56"/>
      <c r="AU185" s="56"/>
      <c r="AV185" s="57" t="s">
        <v>23</v>
      </c>
      <c r="AW185" s="56"/>
      <c r="AX185" s="56"/>
      <c r="AY185" s="57" t="s">
        <v>23</v>
      </c>
      <c r="AZ185" s="56"/>
      <c r="BA185" s="56"/>
      <c r="BB185" s="57" t="s">
        <v>23</v>
      </c>
      <c r="BC185" s="56"/>
      <c r="BD185" s="56"/>
      <c r="BE185" s="57" t="s">
        <v>23</v>
      </c>
      <c r="BF185" s="56"/>
      <c r="BG185" s="56"/>
      <c r="BH185" s="57" t="s">
        <v>23</v>
      </c>
      <c r="BI185" s="56"/>
      <c r="BJ185" s="56"/>
      <c r="BK185" s="57" t="s">
        <v>23</v>
      </c>
    </row>
    <row r="186" spans="1:63" s="27" customFormat="1" ht="15.2" customHeight="1">
      <c r="A186" s="64"/>
      <c r="B186" s="63"/>
      <c r="C186" s="62" t="s">
        <v>118</v>
      </c>
      <c r="D186" s="61"/>
      <c r="E186" s="61"/>
      <c r="F186" s="61"/>
      <c r="G186" s="61"/>
      <c r="H186" s="61"/>
      <c r="I186" s="60"/>
      <c r="J186" s="61"/>
      <c r="K186" s="60"/>
      <c r="L186" s="60"/>
      <c r="M186" s="61"/>
      <c r="N186" s="61"/>
      <c r="O186" s="61"/>
      <c r="P186" s="61"/>
      <c r="Q186" s="61"/>
      <c r="R186" s="60"/>
      <c r="S186" s="59" t="s">
        <v>117</v>
      </c>
      <c r="T186" s="58"/>
      <c r="U186" s="57" t="s">
        <v>23</v>
      </c>
      <c r="V186" s="56"/>
      <c r="W186" s="56"/>
      <c r="X186" s="57" t="s">
        <v>23</v>
      </c>
      <c r="Y186" s="56"/>
      <c r="Z186" s="56"/>
      <c r="AA186" s="57" t="s">
        <v>23</v>
      </c>
      <c r="AB186" s="56"/>
      <c r="AC186" s="56"/>
      <c r="AD186" s="57" t="s">
        <v>23</v>
      </c>
      <c r="AE186" s="56"/>
      <c r="AF186" s="56"/>
      <c r="AG186" s="57" t="s">
        <v>23</v>
      </c>
      <c r="AH186" s="56"/>
      <c r="AI186" s="56"/>
      <c r="AJ186" s="57" t="s">
        <v>23</v>
      </c>
      <c r="AK186" s="56"/>
      <c r="AL186" s="56"/>
      <c r="AM186" s="57" t="s">
        <v>23</v>
      </c>
      <c r="AN186" s="56"/>
      <c r="AO186" s="56"/>
      <c r="AP186" s="57" t="s">
        <v>23</v>
      </c>
      <c r="AQ186" s="56"/>
      <c r="AR186" s="56"/>
      <c r="AS186" s="57" t="s">
        <v>23</v>
      </c>
      <c r="AT186" s="56"/>
      <c r="AU186" s="56"/>
      <c r="AV186" s="57" t="s">
        <v>23</v>
      </c>
      <c r="AW186" s="56"/>
      <c r="AX186" s="56"/>
      <c r="AY186" s="57" t="s">
        <v>23</v>
      </c>
      <c r="AZ186" s="56"/>
      <c r="BA186" s="56"/>
      <c r="BB186" s="57" t="s">
        <v>23</v>
      </c>
      <c r="BC186" s="56"/>
      <c r="BD186" s="56"/>
      <c r="BE186" s="57" t="s">
        <v>23</v>
      </c>
      <c r="BF186" s="56"/>
      <c r="BG186" s="56"/>
      <c r="BH186" s="57" t="s">
        <v>23</v>
      </c>
      <c r="BI186" s="56"/>
      <c r="BJ186" s="56"/>
      <c r="BK186" s="57" t="s">
        <v>23</v>
      </c>
    </row>
    <row r="187" spans="1:63" s="27" customFormat="1" ht="15.2" customHeight="1">
      <c r="A187" s="64"/>
      <c r="B187" s="63"/>
      <c r="C187" s="62" t="s">
        <v>116</v>
      </c>
      <c r="D187" s="61"/>
      <c r="E187" s="61"/>
      <c r="F187" s="61"/>
      <c r="G187" s="61"/>
      <c r="H187" s="61"/>
      <c r="I187" s="60"/>
      <c r="J187" s="61"/>
      <c r="K187" s="60"/>
      <c r="L187" s="60"/>
      <c r="M187" s="61"/>
      <c r="N187" s="61"/>
      <c r="O187" s="61"/>
      <c r="P187" s="61"/>
      <c r="Q187" s="61"/>
      <c r="R187" s="60"/>
      <c r="S187" s="59" t="s">
        <v>115</v>
      </c>
      <c r="T187" s="58"/>
      <c r="U187" s="57" t="s">
        <v>23</v>
      </c>
      <c r="V187" s="56"/>
      <c r="W187" s="56"/>
      <c r="X187" s="57" t="s">
        <v>23</v>
      </c>
      <c r="Y187" s="56"/>
      <c r="Z187" s="56"/>
      <c r="AA187" s="57" t="s">
        <v>23</v>
      </c>
      <c r="AB187" s="56"/>
      <c r="AC187" s="56"/>
      <c r="AD187" s="57" t="s">
        <v>23</v>
      </c>
      <c r="AE187" s="56"/>
      <c r="AF187" s="56"/>
      <c r="AG187" s="57" t="s">
        <v>23</v>
      </c>
      <c r="AH187" s="56"/>
      <c r="AI187" s="56"/>
      <c r="AJ187" s="57" t="s">
        <v>23</v>
      </c>
      <c r="AK187" s="56"/>
      <c r="AL187" s="56"/>
      <c r="AM187" s="57" t="s">
        <v>23</v>
      </c>
      <c r="AN187" s="56"/>
      <c r="AO187" s="56"/>
      <c r="AP187" s="57" t="s">
        <v>23</v>
      </c>
      <c r="AQ187" s="56"/>
      <c r="AR187" s="56"/>
      <c r="AS187" s="57" t="s">
        <v>23</v>
      </c>
      <c r="AT187" s="56"/>
      <c r="AU187" s="56"/>
      <c r="AV187" s="57" t="s">
        <v>23</v>
      </c>
      <c r="AW187" s="56"/>
      <c r="AX187" s="56"/>
      <c r="AY187" s="57" t="s">
        <v>23</v>
      </c>
      <c r="AZ187" s="56"/>
      <c r="BA187" s="56"/>
      <c r="BB187" s="57" t="s">
        <v>23</v>
      </c>
      <c r="BC187" s="56"/>
      <c r="BD187" s="56"/>
      <c r="BE187" s="57" t="s">
        <v>23</v>
      </c>
      <c r="BF187" s="56"/>
      <c r="BG187" s="56"/>
      <c r="BH187" s="57" t="s">
        <v>23</v>
      </c>
      <c r="BI187" s="56"/>
      <c r="BJ187" s="56"/>
      <c r="BK187" s="57" t="s">
        <v>23</v>
      </c>
    </row>
    <row r="188" spans="1:63" s="27" customFormat="1" ht="15.2" customHeight="1">
      <c r="A188" s="64"/>
      <c r="B188" s="63"/>
      <c r="C188" s="62" t="s">
        <v>114</v>
      </c>
      <c r="D188" s="61"/>
      <c r="E188" s="61"/>
      <c r="F188" s="61"/>
      <c r="G188" s="61"/>
      <c r="H188" s="61"/>
      <c r="I188" s="60"/>
      <c r="J188" s="61"/>
      <c r="K188" s="60"/>
      <c r="L188" s="60"/>
      <c r="M188" s="61"/>
      <c r="N188" s="61"/>
      <c r="O188" s="61"/>
      <c r="P188" s="61"/>
      <c r="Q188" s="61"/>
      <c r="R188" s="60"/>
      <c r="S188" s="59" t="s">
        <v>113</v>
      </c>
      <c r="T188" s="58"/>
      <c r="U188" s="57" t="s">
        <v>23</v>
      </c>
      <c r="V188" s="56"/>
      <c r="W188" s="56"/>
      <c r="X188" s="57" t="s">
        <v>23</v>
      </c>
      <c r="Y188" s="56"/>
      <c r="Z188" s="56"/>
      <c r="AA188" s="57" t="s">
        <v>23</v>
      </c>
      <c r="AB188" s="56"/>
      <c r="AC188" s="56"/>
      <c r="AD188" s="57" t="s">
        <v>23</v>
      </c>
      <c r="AE188" s="56"/>
      <c r="AF188" s="56"/>
      <c r="AG188" s="57" t="s">
        <v>23</v>
      </c>
      <c r="AH188" s="56"/>
      <c r="AI188" s="56"/>
      <c r="AJ188" s="57" t="s">
        <v>23</v>
      </c>
      <c r="AK188" s="56"/>
      <c r="AL188" s="56"/>
      <c r="AM188" s="57" t="s">
        <v>23</v>
      </c>
      <c r="AN188" s="56"/>
      <c r="AO188" s="56"/>
      <c r="AP188" s="57" t="s">
        <v>23</v>
      </c>
      <c r="AQ188" s="56"/>
      <c r="AR188" s="56"/>
      <c r="AS188" s="57" t="s">
        <v>23</v>
      </c>
      <c r="AT188" s="56"/>
      <c r="AU188" s="56"/>
      <c r="AV188" s="57" t="s">
        <v>23</v>
      </c>
      <c r="AW188" s="56"/>
      <c r="AX188" s="56"/>
      <c r="AY188" s="57" t="s">
        <v>23</v>
      </c>
      <c r="AZ188" s="56"/>
      <c r="BA188" s="56"/>
      <c r="BB188" s="57" t="s">
        <v>23</v>
      </c>
      <c r="BC188" s="56"/>
      <c r="BD188" s="56"/>
      <c r="BE188" s="57" t="s">
        <v>23</v>
      </c>
      <c r="BF188" s="56"/>
      <c r="BG188" s="56"/>
      <c r="BH188" s="57" t="s">
        <v>23</v>
      </c>
      <c r="BI188" s="56"/>
      <c r="BJ188" s="56"/>
      <c r="BK188" s="57" t="s">
        <v>23</v>
      </c>
    </row>
    <row r="189" spans="1:63" s="27" customFormat="1" ht="15.2" customHeight="1">
      <c r="A189" s="64"/>
      <c r="B189" s="63"/>
      <c r="C189" s="62" t="s">
        <v>112</v>
      </c>
      <c r="D189" s="61"/>
      <c r="E189" s="61"/>
      <c r="F189" s="61"/>
      <c r="G189" s="61"/>
      <c r="H189" s="61"/>
      <c r="I189" s="60"/>
      <c r="J189" s="61"/>
      <c r="K189" s="60"/>
      <c r="L189" s="60"/>
      <c r="M189" s="61"/>
      <c r="N189" s="61"/>
      <c r="O189" s="61"/>
      <c r="P189" s="61"/>
      <c r="Q189" s="61"/>
      <c r="R189" s="60"/>
      <c r="S189" s="59" t="s">
        <v>111</v>
      </c>
      <c r="T189" s="58"/>
      <c r="U189" s="57" t="s">
        <v>23</v>
      </c>
      <c r="V189" s="56"/>
      <c r="W189" s="56"/>
      <c r="X189" s="57" t="s">
        <v>23</v>
      </c>
      <c r="Y189" s="56"/>
      <c r="Z189" s="56"/>
      <c r="AA189" s="57" t="s">
        <v>23</v>
      </c>
      <c r="AB189" s="56"/>
      <c r="AC189" s="56"/>
      <c r="AD189" s="57" t="s">
        <v>23</v>
      </c>
      <c r="AE189" s="56"/>
      <c r="AF189" s="56"/>
      <c r="AG189" s="57" t="s">
        <v>23</v>
      </c>
      <c r="AH189" s="56"/>
      <c r="AI189" s="56"/>
      <c r="AJ189" s="57" t="s">
        <v>23</v>
      </c>
      <c r="AK189" s="56"/>
      <c r="AL189" s="56"/>
      <c r="AM189" s="57" t="s">
        <v>23</v>
      </c>
      <c r="AN189" s="56"/>
      <c r="AO189" s="56"/>
      <c r="AP189" s="57" t="s">
        <v>23</v>
      </c>
      <c r="AQ189" s="56"/>
      <c r="AR189" s="56"/>
      <c r="AS189" s="57" t="s">
        <v>23</v>
      </c>
      <c r="AT189" s="56"/>
      <c r="AU189" s="56"/>
      <c r="AV189" s="57" t="s">
        <v>23</v>
      </c>
      <c r="AW189" s="56"/>
      <c r="AX189" s="56"/>
      <c r="AY189" s="57" t="s">
        <v>23</v>
      </c>
      <c r="AZ189" s="56"/>
      <c r="BA189" s="56"/>
      <c r="BB189" s="57" t="s">
        <v>23</v>
      </c>
      <c r="BC189" s="56"/>
      <c r="BD189" s="56"/>
      <c r="BE189" s="57" t="s">
        <v>23</v>
      </c>
      <c r="BF189" s="56"/>
      <c r="BG189" s="56"/>
      <c r="BH189" s="57" t="s">
        <v>23</v>
      </c>
      <c r="BI189" s="56"/>
      <c r="BJ189" s="56"/>
      <c r="BK189" s="57" t="s">
        <v>23</v>
      </c>
    </row>
    <row r="190" spans="1:63" s="27" customFormat="1" ht="15.2" customHeight="1">
      <c r="A190" s="64"/>
      <c r="B190" s="63"/>
      <c r="C190" s="62" t="s">
        <v>110</v>
      </c>
      <c r="D190" s="61"/>
      <c r="E190" s="61"/>
      <c r="F190" s="61"/>
      <c r="G190" s="61"/>
      <c r="H190" s="61"/>
      <c r="I190" s="60"/>
      <c r="J190" s="61"/>
      <c r="K190" s="60"/>
      <c r="L190" s="60"/>
      <c r="M190" s="61"/>
      <c r="N190" s="61"/>
      <c r="O190" s="61"/>
      <c r="P190" s="61"/>
      <c r="Q190" s="61"/>
      <c r="R190" s="60"/>
      <c r="S190" s="59" t="s">
        <v>98</v>
      </c>
      <c r="T190" s="58"/>
      <c r="U190" s="57" t="s">
        <v>23</v>
      </c>
      <c r="V190" s="56"/>
      <c r="W190" s="56"/>
      <c r="X190" s="57" t="s">
        <v>23</v>
      </c>
      <c r="Y190" s="56"/>
      <c r="Z190" s="56"/>
      <c r="AA190" s="57" t="s">
        <v>23</v>
      </c>
      <c r="AB190" s="56"/>
      <c r="AC190" s="56"/>
      <c r="AD190" s="57" t="s">
        <v>23</v>
      </c>
      <c r="AE190" s="56"/>
      <c r="AF190" s="56"/>
      <c r="AG190" s="57" t="s">
        <v>23</v>
      </c>
      <c r="AH190" s="56"/>
      <c r="AI190" s="56"/>
      <c r="AJ190" s="57" t="s">
        <v>23</v>
      </c>
      <c r="AK190" s="56"/>
      <c r="AL190" s="56"/>
      <c r="AM190" s="57" t="s">
        <v>23</v>
      </c>
      <c r="AN190" s="56"/>
      <c r="AO190" s="56"/>
      <c r="AP190" s="57" t="s">
        <v>23</v>
      </c>
      <c r="AQ190" s="56"/>
      <c r="AR190" s="56"/>
      <c r="AS190" s="57" t="s">
        <v>23</v>
      </c>
      <c r="AT190" s="56"/>
      <c r="AU190" s="56"/>
      <c r="AV190" s="57" t="s">
        <v>23</v>
      </c>
      <c r="AW190" s="56"/>
      <c r="AX190" s="56"/>
      <c r="AY190" s="57" t="s">
        <v>23</v>
      </c>
      <c r="AZ190" s="56"/>
      <c r="BA190" s="56"/>
      <c r="BB190" s="57" t="s">
        <v>23</v>
      </c>
      <c r="BC190" s="56"/>
      <c r="BD190" s="56"/>
      <c r="BE190" s="57" t="s">
        <v>23</v>
      </c>
      <c r="BF190" s="56"/>
      <c r="BG190" s="56"/>
      <c r="BH190" s="57" t="s">
        <v>23</v>
      </c>
      <c r="BI190" s="56"/>
      <c r="BJ190" s="56"/>
      <c r="BK190" s="57" t="s">
        <v>23</v>
      </c>
    </row>
    <row r="191" spans="1:63" s="27" customFormat="1" ht="15.2" customHeight="1">
      <c r="A191" s="64"/>
      <c r="B191" s="63"/>
      <c r="C191" s="62" t="s">
        <v>109</v>
      </c>
      <c r="D191" s="61"/>
      <c r="E191" s="61"/>
      <c r="F191" s="61"/>
      <c r="G191" s="61"/>
      <c r="H191" s="61"/>
      <c r="I191" s="60"/>
      <c r="J191" s="61"/>
      <c r="K191" s="60"/>
      <c r="L191" s="60"/>
      <c r="M191" s="61"/>
      <c r="N191" s="61"/>
      <c r="O191" s="61"/>
      <c r="P191" s="61"/>
      <c r="Q191" s="61"/>
      <c r="R191" s="60"/>
      <c r="S191" s="59" t="s">
        <v>108</v>
      </c>
      <c r="T191" s="58"/>
      <c r="U191" s="57" t="s">
        <v>23</v>
      </c>
      <c r="V191" s="56"/>
      <c r="W191" s="56"/>
      <c r="X191" s="57" t="s">
        <v>23</v>
      </c>
      <c r="Y191" s="56"/>
      <c r="Z191" s="56"/>
      <c r="AA191" s="57" t="s">
        <v>23</v>
      </c>
      <c r="AB191" s="56"/>
      <c r="AC191" s="56"/>
      <c r="AD191" s="57" t="s">
        <v>23</v>
      </c>
      <c r="AE191" s="56"/>
      <c r="AF191" s="56"/>
      <c r="AG191" s="57" t="s">
        <v>23</v>
      </c>
      <c r="AH191" s="56"/>
      <c r="AI191" s="56"/>
      <c r="AJ191" s="57" t="s">
        <v>23</v>
      </c>
      <c r="AK191" s="56"/>
      <c r="AL191" s="56"/>
      <c r="AM191" s="57" t="s">
        <v>23</v>
      </c>
      <c r="AN191" s="56"/>
      <c r="AO191" s="56"/>
      <c r="AP191" s="57" t="s">
        <v>23</v>
      </c>
      <c r="AQ191" s="56"/>
      <c r="AR191" s="56"/>
      <c r="AS191" s="57" t="s">
        <v>23</v>
      </c>
      <c r="AT191" s="56"/>
      <c r="AU191" s="56"/>
      <c r="AV191" s="57" t="s">
        <v>23</v>
      </c>
      <c r="AW191" s="56"/>
      <c r="AX191" s="56"/>
      <c r="AY191" s="57" t="s">
        <v>23</v>
      </c>
      <c r="AZ191" s="56"/>
      <c r="BA191" s="56"/>
      <c r="BB191" s="57" t="s">
        <v>23</v>
      </c>
      <c r="BC191" s="56"/>
      <c r="BD191" s="56"/>
      <c r="BE191" s="57" t="s">
        <v>23</v>
      </c>
      <c r="BF191" s="56"/>
      <c r="BG191" s="56"/>
      <c r="BH191" s="57" t="s">
        <v>23</v>
      </c>
      <c r="BI191" s="56"/>
      <c r="BJ191" s="56"/>
      <c r="BK191" s="57" t="s">
        <v>23</v>
      </c>
    </row>
    <row r="192" spans="1:63" s="27" customFormat="1" ht="15.2" customHeight="1">
      <c r="A192" s="64"/>
      <c r="B192" s="63"/>
      <c r="C192" s="62" t="s">
        <v>107</v>
      </c>
      <c r="D192" s="61"/>
      <c r="E192" s="61"/>
      <c r="F192" s="61"/>
      <c r="G192" s="61"/>
      <c r="H192" s="61"/>
      <c r="I192" s="60"/>
      <c r="J192" s="61"/>
      <c r="K192" s="60"/>
      <c r="L192" s="60"/>
      <c r="M192" s="61"/>
      <c r="N192" s="61"/>
      <c r="O192" s="61"/>
      <c r="P192" s="61"/>
      <c r="Q192" s="61"/>
      <c r="R192" s="60"/>
      <c r="S192" s="59" t="s">
        <v>106</v>
      </c>
      <c r="T192" s="58"/>
      <c r="U192" s="57" t="s">
        <v>23</v>
      </c>
      <c r="V192" s="56"/>
      <c r="W192" s="56"/>
      <c r="X192" s="57" t="s">
        <v>23</v>
      </c>
      <c r="Y192" s="56"/>
      <c r="Z192" s="56"/>
      <c r="AA192" s="57" t="s">
        <v>23</v>
      </c>
      <c r="AB192" s="56"/>
      <c r="AC192" s="56"/>
      <c r="AD192" s="57" t="s">
        <v>23</v>
      </c>
      <c r="AE192" s="56"/>
      <c r="AF192" s="56"/>
      <c r="AG192" s="57" t="s">
        <v>23</v>
      </c>
      <c r="AH192" s="56"/>
      <c r="AI192" s="56"/>
      <c r="AJ192" s="57" t="s">
        <v>23</v>
      </c>
      <c r="AK192" s="56"/>
      <c r="AL192" s="56"/>
      <c r="AM192" s="57" t="s">
        <v>23</v>
      </c>
      <c r="AN192" s="56"/>
      <c r="AO192" s="56"/>
      <c r="AP192" s="57" t="s">
        <v>23</v>
      </c>
      <c r="AQ192" s="56"/>
      <c r="AR192" s="56"/>
      <c r="AS192" s="57" t="s">
        <v>23</v>
      </c>
      <c r="AT192" s="56"/>
      <c r="AU192" s="56"/>
      <c r="AV192" s="57" t="s">
        <v>23</v>
      </c>
      <c r="AW192" s="56"/>
      <c r="AX192" s="56"/>
      <c r="AY192" s="57" t="s">
        <v>23</v>
      </c>
      <c r="AZ192" s="56"/>
      <c r="BA192" s="56"/>
      <c r="BB192" s="57" t="s">
        <v>23</v>
      </c>
      <c r="BC192" s="56"/>
      <c r="BD192" s="56"/>
      <c r="BE192" s="57" t="s">
        <v>23</v>
      </c>
      <c r="BF192" s="56"/>
      <c r="BG192" s="56"/>
      <c r="BH192" s="57" t="s">
        <v>23</v>
      </c>
      <c r="BI192" s="56"/>
      <c r="BJ192" s="56"/>
      <c r="BK192" s="57" t="s">
        <v>23</v>
      </c>
    </row>
    <row r="193" spans="1:63" s="27" customFormat="1" ht="15.2" customHeight="1">
      <c r="A193" s="64"/>
      <c r="B193" s="63"/>
      <c r="C193" s="62" t="s">
        <v>105</v>
      </c>
      <c r="D193" s="61"/>
      <c r="E193" s="61"/>
      <c r="F193" s="61"/>
      <c r="G193" s="61"/>
      <c r="H193" s="61"/>
      <c r="I193" s="60"/>
      <c r="J193" s="61"/>
      <c r="K193" s="60"/>
      <c r="L193" s="60"/>
      <c r="M193" s="61"/>
      <c r="N193" s="61"/>
      <c r="O193" s="61"/>
      <c r="P193" s="61"/>
      <c r="Q193" s="61"/>
      <c r="R193" s="60"/>
      <c r="S193" s="59" t="s">
        <v>104</v>
      </c>
      <c r="T193" s="58"/>
      <c r="U193" s="57" t="s">
        <v>23</v>
      </c>
      <c r="V193" s="56"/>
      <c r="W193" s="56"/>
      <c r="X193" s="57" t="s">
        <v>23</v>
      </c>
      <c r="Y193" s="56"/>
      <c r="Z193" s="56"/>
      <c r="AA193" s="57" t="s">
        <v>23</v>
      </c>
      <c r="AB193" s="56"/>
      <c r="AC193" s="56"/>
      <c r="AD193" s="57" t="s">
        <v>23</v>
      </c>
      <c r="AE193" s="56"/>
      <c r="AF193" s="56"/>
      <c r="AG193" s="57" t="s">
        <v>23</v>
      </c>
      <c r="AH193" s="56"/>
      <c r="AI193" s="56"/>
      <c r="AJ193" s="57" t="s">
        <v>23</v>
      </c>
      <c r="AK193" s="56"/>
      <c r="AL193" s="56"/>
      <c r="AM193" s="57" t="s">
        <v>23</v>
      </c>
      <c r="AN193" s="56"/>
      <c r="AO193" s="56"/>
      <c r="AP193" s="57" t="s">
        <v>23</v>
      </c>
      <c r="AQ193" s="56"/>
      <c r="AR193" s="56"/>
      <c r="AS193" s="57" t="s">
        <v>23</v>
      </c>
      <c r="AT193" s="56"/>
      <c r="AU193" s="56"/>
      <c r="AV193" s="57" t="s">
        <v>23</v>
      </c>
      <c r="AW193" s="56"/>
      <c r="AX193" s="56"/>
      <c r="AY193" s="57" t="s">
        <v>23</v>
      </c>
      <c r="AZ193" s="56"/>
      <c r="BA193" s="56"/>
      <c r="BB193" s="57" t="s">
        <v>23</v>
      </c>
      <c r="BC193" s="56"/>
      <c r="BD193" s="56"/>
      <c r="BE193" s="57" t="s">
        <v>23</v>
      </c>
      <c r="BF193" s="56"/>
      <c r="BG193" s="56"/>
      <c r="BH193" s="57" t="s">
        <v>23</v>
      </c>
      <c r="BI193" s="56"/>
      <c r="BJ193" s="56"/>
      <c r="BK193" s="57" t="s">
        <v>23</v>
      </c>
    </row>
    <row r="194" spans="1:63" s="27" customFormat="1" ht="15.2" customHeight="1">
      <c r="A194" s="64"/>
      <c r="B194" s="63"/>
      <c r="C194" s="62" t="s">
        <v>103</v>
      </c>
      <c r="D194" s="61"/>
      <c r="E194" s="61"/>
      <c r="F194" s="61"/>
      <c r="G194" s="61"/>
      <c r="H194" s="61"/>
      <c r="I194" s="60"/>
      <c r="J194" s="61"/>
      <c r="K194" s="60"/>
      <c r="L194" s="60"/>
      <c r="M194" s="61"/>
      <c r="N194" s="61"/>
      <c r="O194" s="61"/>
      <c r="P194" s="61"/>
      <c r="Q194" s="61"/>
      <c r="R194" s="60"/>
      <c r="S194" s="59" t="s">
        <v>100</v>
      </c>
      <c r="T194" s="58"/>
      <c r="U194" s="57" t="s">
        <v>23</v>
      </c>
      <c r="V194" s="56"/>
      <c r="W194" s="56"/>
      <c r="X194" s="57" t="s">
        <v>23</v>
      </c>
      <c r="Y194" s="56"/>
      <c r="Z194" s="56"/>
      <c r="AA194" s="57" t="s">
        <v>23</v>
      </c>
      <c r="AB194" s="56"/>
      <c r="AC194" s="56"/>
      <c r="AD194" s="57" t="s">
        <v>23</v>
      </c>
      <c r="AE194" s="56"/>
      <c r="AF194" s="56"/>
      <c r="AG194" s="57" t="s">
        <v>23</v>
      </c>
      <c r="AH194" s="56"/>
      <c r="AI194" s="56"/>
      <c r="AJ194" s="57" t="s">
        <v>23</v>
      </c>
      <c r="AK194" s="56"/>
      <c r="AL194" s="56"/>
      <c r="AM194" s="57" t="s">
        <v>23</v>
      </c>
      <c r="AN194" s="56"/>
      <c r="AO194" s="56"/>
      <c r="AP194" s="57" t="s">
        <v>23</v>
      </c>
      <c r="AQ194" s="56"/>
      <c r="AR194" s="56"/>
      <c r="AS194" s="57" t="s">
        <v>23</v>
      </c>
      <c r="AT194" s="56"/>
      <c r="AU194" s="56"/>
      <c r="AV194" s="57" t="s">
        <v>23</v>
      </c>
      <c r="AW194" s="56"/>
      <c r="AX194" s="56"/>
      <c r="AY194" s="57" t="s">
        <v>23</v>
      </c>
      <c r="AZ194" s="56"/>
      <c r="BA194" s="56"/>
      <c r="BB194" s="57" t="s">
        <v>23</v>
      </c>
      <c r="BC194" s="56"/>
      <c r="BD194" s="56"/>
      <c r="BE194" s="57" t="s">
        <v>23</v>
      </c>
      <c r="BF194" s="56"/>
      <c r="BG194" s="56"/>
      <c r="BH194" s="57" t="s">
        <v>23</v>
      </c>
      <c r="BI194" s="56"/>
      <c r="BJ194" s="56"/>
      <c r="BK194" s="57" t="s">
        <v>23</v>
      </c>
    </row>
    <row r="195" spans="1:63" s="27" customFormat="1" ht="15.2" customHeight="1">
      <c r="A195" s="64"/>
      <c r="B195" s="63"/>
      <c r="C195" s="62" t="s">
        <v>102</v>
      </c>
      <c r="D195" s="61"/>
      <c r="E195" s="61"/>
      <c r="F195" s="61"/>
      <c r="G195" s="61"/>
      <c r="H195" s="61"/>
      <c r="I195" s="60"/>
      <c r="J195" s="61"/>
      <c r="K195" s="60"/>
      <c r="L195" s="60"/>
      <c r="M195" s="61"/>
      <c r="N195" s="61"/>
      <c r="O195" s="61"/>
      <c r="P195" s="61"/>
      <c r="Q195" s="61"/>
      <c r="R195" s="60"/>
      <c r="S195" s="59" t="s">
        <v>98</v>
      </c>
      <c r="T195" s="58"/>
      <c r="U195" s="57" t="s">
        <v>23</v>
      </c>
      <c r="V195" s="56"/>
      <c r="W195" s="56"/>
      <c r="X195" s="57" t="s">
        <v>23</v>
      </c>
      <c r="Y195" s="56"/>
      <c r="Z195" s="56"/>
      <c r="AA195" s="57" t="s">
        <v>23</v>
      </c>
      <c r="AB195" s="56"/>
      <c r="AC195" s="56"/>
      <c r="AD195" s="57" t="s">
        <v>23</v>
      </c>
      <c r="AE195" s="56"/>
      <c r="AF195" s="56"/>
      <c r="AG195" s="57" t="s">
        <v>23</v>
      </c>
      <c r="AH195" s="56"/>
      <c r="AI195" s="56"/>
      <c r="AJ195" s="57" t="s">
        <v>23</v>
      </c>
      <c r="AK195" s="56"/>
      <c r="AL195" s="56"/>
      <c r="AM195" s="57" t="s">
        <v>23</v>
      </c>
      <c r="AN195" s="56"/>
      <c r="AO195" s="56"/>
      <c r="AP195" s="57" t="s">
        <v>23</v>
      </c>
      <c r="AQ195" s="56"/>
      <c r="AR195" s="56"/>
      <c r="AS195" s="57" t="s">
        <v>23</v>
      </c>
      <c r="AT195" s="56"/>
      <c r="AU195" s="56"/>
      <c r="AV195" s="57" t="s">
        <v>23</v>
      </c>
      <c r="AW195" s="56"/>
      <c r="AX195" s="56"/>
      <c r="AY195" s="57" t="s">
        <v>23</v>
      </c>
      <c r="AZ195" s="56"/>
      <c r="BA195" s="56"/>
      <c r="BB195" s="57" t="s">
        <v>23</v>
      </c>
      <c r="BC195" s="56"/>
      <c r="BD195" s="56"/>
      <c r="BE195" s="57" t="s">
        <v>23</v>
      </c>
      <c r="BF195" s="56"/>
      <c r="BG195" s="56"/>
      <c r="BH195" s="57" t="s">
        <v>23</v>
      </c>
      <c r="BI195" s="56"/>
      <c r="BJ195" s="56"/>
      <c r="BK195" s="57" t="s">
        <v>23</v>
      </c>
    </row>
    <row r="196" spans="1:63" s="27" customFormat="1" ht="15.2" customHeight="1">
      <c r="A196" s="64"/>
      <c r="B196" s="63"/>
      <c r="C196" s="62" t="s">
        <v>101</v>
      </c>
      <c r="D196" s="61"/>
      <c r="E196" s="61"/>
      <c r="F196" s="61"/>
      <c r="G196" s="61"/>
      <c r="H196" s="61"/>
      <c r="I196" s="60"/>
      <c r="J196" s="61"/>
      <c r="K196" s="60"/>
      <c r="L196" s="60"/>
      <c r="M196" s="61"/>
      <c r="N196" s="61"/>
      <c r="O196" s="61"/>
      <c r="P196" s="61"/>
      <c r="Q196" s="61"/>
      <c r="R196" s="60"/>
      <c r="S196" s="59" t="s">
        <v>100</v>
      </c>
      <c r="T196" s="58"/>
      <c r="U196" s="57" t="s">
        <v>23</v>
      </c>
      <c r="V196" s="56"/>
      <c r="W196" s="56"/>
      <c r="X196" s="57" t="s">
        <v>23</v>
      </c>
      <c r="Y196" s="56"/>
      <c r="Z196" s="56"/>
      <c r="AA196" s="57" t="s">
        <v>23</v>
      </c>
      <c r="AB196" s="56"/>
      <c r="AC196" s="56"/>
      <c r="AD196" s="57" t="s">
        <v>23</v>
      </c>
      <c r="AE196" s="56"/>
      <c r="AF196" s="56"/>
      <c r="AG196" s="57" t="s">
        <v>23</v>
      </c>
      <c r="AH196" s="56"/>
      <c r="AI196" s="56"/>
      <c r="AJ196" s="57" t="s">
        <v>23</v>
      </c>
      <c r="AK196" s="56"/>
      <c r="AL196" s="56"/>
      <c r="AM196" s="57" t="s">
        <v>23</v>
      </c>
      <c r="AN196" s="56"/>
      <c r="AO196" s="56"/>
      <c r="AP196" s="57" t="s">
        <v>23</v>
      </c>
      <c r="AQ196" s="56"/>
      <c r="AR196" s="56"/>
      <c r="AS196" s="57" t="s">
        <v>23</v>
      </c>
      <c r="AT196" s="56"/>
      <c r="AU196" s="56"/>
      <c r="AV196" s="57" t="s">
        <v>23</v>
      </c>
      <c r="AW196" s="56"/>
      <c r="AX196" s="56"/>
      <c r="AY196" s="57" t="s">
        <v>23</v>
      </c>
      <c r="AZ196" s="56"/>
      <c r="BA196" s="56"/>
      <c r="BB196" s="57" t="s">
        <v>23</v>
      </c>
      <c r="BC196" s="56"/>
      <c r="BD196" s="56"/>
      <c r="BE196" s="57" t="s">
        <v>23</v>
      </c>
      <c r="BF196" s="56"/>
      <c r="BG196" s="56"/>
      <c r="BH196" s="57" t="s">
        <v>23</v>
      </c>
      <c r="BI196" s="56"/>
      <c r="BJ196" s="56"/>
      <c r="BK196" s="57" t="s">
        <v>23</v>
      </c>
    </row>
    <row r="197" spans="1:63" s="27" customFormat="1" ht="15.2" customHeight="1">
      <c r="A197" s="64"/>
      <c r="B197" s="63"/>
      <c r="C197" s="62" t="s">
        <v>99</v>
      </c>
      <c r="D197" s="61"/>
      <c r="E197" s="61"/>
      <c r="F197" s="61"/>
      <c r="G197" s="61"/>
      <c r="H197" s="61"/>
      <c r="I197" s="60"/>
      <c r="J197" s="61"/>
      <c r="K197" s="60"/>
      <c r="L197" s="60"/>
      <c r="M197" s="61"/>
      <c r="N197" s="61"/>
      <c r="O197" s="61"/>
      <c r="P197" s="61"/>
      <c r="Q197" s="61"/>
      <c r="R197" s="60"/>
      <c r="S197" s="59" t="s">
        <v>98</v>
      </c>
      <c r="T197" s="58"/>
      <c r="U197" s="57" t="s">
        <v>23</v>
      </c>
      <c r="V197" s="56"/>
      <c r="W197" s="56"/>
      <c r="X197" s="57" t="s">
        <v>23</v>
      </c>
      <c r="Y197" s="56"/>
      <c r="Z197" s="56"/>
      <c r="AA197" s="57" t="s">
        <v>23</v>
      </c>
      <c r="AB197" s="56"/>
      <c r="AC197" s="56"/>
      <c r="AD197" s="57" t="s">
        <v>23</v>
      </c>
      <c r="AE197" s="56"/>
      <c r="AF197" s="56"/>
      <c r="AG197" s="57" t="s">
        <v>23</v>
      </c>
      <c r="AH197" s="56"/>
      <c r="AI197" s="56"/>
      <c r="AJ197" s="57" t="s">
        <v>23</v>
      </c>
      <c r="AK197" s="56"/>
      <c r="AL197" s="56"/>
      <c r="AM197" s="57" t="s">
        <v>23</v>
      </c>
      <c r="AN197" s="56"/>
      <c r="AO197" s="56"/>
      <c r="AP197" s="57" t="s">
        <v>23</v>
      </c>
      <c r="AQ197" s="56"/>
      <c r="AR197" s="56"/>
      <c r="AS197" s="57" t="s">
        <v>23</v>
      </c>
      <c r="AT197" s="56"/>
      <c r="AU197" s="56"/>
      <c r="AV197" s="57" t="s">
        <v>23</v>
      </c>
      <c r="AW197" s="56"/>
      <c r="AX197" s="56"/>
      <c r="AY197" s="57" t="s">
        <v>23</v>
      </c>
      <c r="AZ197" s="56"/>
      <c r="BA197" s="56"/>
      <c r="BB197" s="57" t="s">
        <v>23</v>
      </c>
      <c r="BC197" s="56"/>
      <c r="BD197" s="56"/>
      <c r="BE197" s="57" t="s">
        <v>23</v>
      </c>
      <c r="BF197" s="56"/>
      <c r="BG197" s="56"/>
      <c r="BH197" s="57" t="s">
        <v>23</v>
      </c>
      <c r="BI197" s="56"/>
      <c r="BJ197" s="56"/>
      <c r="BK197" s="57" t="s">
        <v>23</v>
      </c>
    </row>
    <row r="198" spans="1:63" s="27" customFormat="1" ht="15.2" customHeight="1">
      <c r="A198" s="55"/>
      <c r="B198" s="54"/>
      <c r="C198" s="53"/>
      <c r="D198" s="52"/>
      <c r="E198" s="52"/>
      <c r="F198" s="52"/>
      <c r="G198" s="52"/>
      <c r="H198" s="52"/>
      <c r="I198" s="52"/>
      <c r="J198" s="52"/>
      <c r="K198" s="52"/>
      <c r="L198" s="52"/>
      <c r="M198" s="52"/>
      <c r="N198" s="52"/>
      <c r="O198" s="52"/>
      <c r="P198" s="52"/>
      <c r="Q198" s="52"/>
      <c r="R198" s="52"/>
      <c r="S198" s="51"/>
      <c r="T198" s="50"/>
      <c r="U198" s="49"/>
      <c r="V198" s="49"/>
      <c r="W198" s="49"/>
      <c r="X198" s="49"/>
      <c r="Y198" s="49"/>
      <c r="Z198" s="49"/>
      <c r="AA198" s="49"/>
      <c r="AB198" s="49"/>
      <c r="AC198" s="49"/>
      <c r="AD198" s="49"/>
      <c r="AE198" s="49"/>
      <c r="AF198" s="49"/>
      <c r="AG198" s="49"/>
      <c r="AH198" s="49"/>
      <c r="AI198" s="49"/>
      <c r="AJ198" s="49"/>
      <c r="AK198" s="49"/>
      <c r="AL198" s="49"/>
      <c r="AM198" s="49"/>
      <c r="AN198" s="49"/>
      <c r="AO198" s="49"/>
      <c r="AP198" s="49"/>
      <c r="AQ198" s="49"/>
      <c r="AR198" s="49"/>
      <c r="AS198" s="49"/>
      <c r="AT198" s="49"/>
      <c r="AU198" s="49"/>
      <c r="AV198" s="49"/>
      <c r="AW198" s="49"/>
      <c r="AX198" s="49"/>
      <c r="AY198" s="49"/>
      <c r="AZ198" s="49"/>
      <c r="BA198" s="49"/>
      <c r="BB198" s="49"/>
      <c r="BC198" s="49"/>
      <c r="BD198" s="49"/>
      <c r="BE198" s="49"/>
      <c r="BF198" s="49"/>
      <c r="BG198" s="49"/>
      <c r="BH198" s="49"/>
      <c r="BI198" s="49"/>
      <c r="BJ198" s="49"/>
      <c r="BK198" s="49"/>
    </row>
    <row r="199" spans="1:63" ht="15.2" customHeight="1">
      <c r="A199" s="33"/>
      <c r="B199" s="32"/>
      <c r="C199" s="32"/>
      <c r="D199" s="32"/>
      <c r="E199" s="32"/>
      <c r="F199" s="32"/>
      <c r="G199" s="32"/>
      <c r="H199" s="32"/>
      <c r="I199" s="32"/>
      <c r="J199" s="32"/>
      <c r="K199" s="32"/>
      <c r="L199" s="32"/>
      <c r="M199" s="32"/>
      <c r="N199" s="32"/>
      <c r="O199" s="31"/>
      <c r="P199" s="32" t="s">
        <v>97</v>
      </c>
      <c r="Q199" s="32"/>
      <c r="R199" s="32"/>
      <c r="S199" s="32"/>
      <c r="T199" s="35"/>
      <c r="U199" s="382" t="s">
        <v>57</v>
      </c>
      <c r="V199" s="382" t="s">
        <v>57</v>
      </c>
      <c r="W199" s="382" t="s">
        <v>57</v>
      </c>
      <c r="X199" s="382"/>
      <c r="Y199" s="382"/>
      <c r="Z199" s="382"/>
      <c r="AA199" s="382"/>
      <c r="AB199" s="382"/>
      <c r="AC199" s="382"/>
      <c r="AD199" s="382"/>
      <c r="AE199" s="382"/>
      <c r="AF199" s="382"/>
      <c r="AG199" s="382"/>
      <c r="AH199" s="382"/>
      <c r="AI199" s="382"/>
      <c r="AJ199" s="382"/>
      <c r="AK199" s="382"/>
      <c r="AL199" s="382"/>
      <c r="AM199" s="382"/>
      <c r="AN199" s="382"/>
      <c r="AO199" s="382"/>
      <c r="AP199" s="382"/>
      <c r="AQ199" s="382"/>
      <c r="AR199" s="382"/>
      <c r="AS199" s="382"/>
      <c r="AT199" s="382"/>
      <c r="AU199" s="382"/>
      <c r="AV199" s="382"/>
      <c r="AW199" s="382"/>
      <c r="AX199" s="382"/>
      <c r="AY199" s="382"/>
      <c r="AZ199" s="382"/>
      <c r="BA199" s="382"/>
      <c r="BB199" s="382"/>
      <c r="BC199" s="382"/>
      <c r="BD199" s="382"/>
      <c r="BE199" s="382"/>
      <c r="BF199" s="382"/>
      <c r="BG199" s="382"/>
      <c r="BH199" s="382"/>
      <c r="BI199" s="382"/>
      <c r="BJ199" s="382"/>
      <c r="BK199" s="382"/>
    </row>
    <row r="200" spans="1:63" ht="15.2" customHeight="1">
      <c r="A200" s="33"/>
      <c r="B200" s="32"/>
      <c r="C200" s="32"/>
      <c r="D200" s="32"/>
      <c r="E200" s="32"/>
      <c r="F200" s="32"/>
      <c r="G200" s="32"/>
      <c r="H200" s="32"/>
      <c r="I200" s="32"/>
      <c r="J200" s="32"/>
      <c r="K200" s="32"/>
      <c r="L200" s="32"/>
      <c r="M200" s="32"/>
      <c r="N200" s="32"/>
      <c r="O200" s="31"/>
      <c r="P200" s="39"/>
      <c r="Q200" s="39"/>
      <c r="R200" s="39"/>
      <c r="S200" s="39"/>
      <c r="T200" s="44" t="s">
        <v>96</v>
      </c>
      <c r="U200" s="383"/>
      <c r="V200" s="383"/>
      <c r="W200" s="383"/>
      <c r="X200" s="48"/>
      <c r="Y200" s="48"/>
      <c r="Z200" s="48"/>
      <c r="AA200" s="48"/>
      <c r="AB200" s="48"/>
      <c r="AC200" s="48"/>
      <c r="AD200" s="48"/>
      <c r="AE200" s="48"/>
      <c r="AF200" s="48"/>
      <c r="AG200" s="48"/>
      <c r="AH200" s="48"/>
      <c r="AI200" s="48"/>
      <c r="AJ200" s="48"/>
      <c r="AK200" s="48"/>
      <c r="AL200" s="48"/>
      <c r="AM200" s="48"/>
      <c r="AN200" s="48"/>
      <c r="AO200" s="48"/>
      <c r="AP200" s="48"/>
      <c r="AQ200" s="48"/>
      <c r="AR200" s="48"/>
      <c r="AS200" s="48"/>
      <c r="AT200" s="48"/>
      <c r="AU200" s="48"/>
      <c r="AV200" s="48"/>
      <c r="AW200" s="48"/>
      <c r="AX200" s="48"/>
      <c r="AY200" s="48"/>
      <c r="AZ200" s="48"/>
      <c r="BA200" s="48"/>
      <c r="BB200" s="48"/>
      <c r="BC200" s="48"/>
      <c r="BD200" s="48"/>
      <c r="BE200" s="48"/>
      <c r="BF200" s="48"/>
      <c r="BG200" s="48"/>
      <c r="BH200" s="48"/>
      <c r="BI200" s="48"/>
      <c r="BJ200" s="48"/>
      <c r="BK200" s="48"/>
    </row>
    <row r="201" spans="1:63" ht="15.2" customHeight="1">
      <c r="A201" s="33"/>
      <c r="B201" s="32"/>
      <c r="C201" s="32"/>
      <c r="D201" s="32"/>
      <c r="E201" s="32"/>
      <c r="F201" s="32"/>
      <c r="G201" s="32"/>
      <c r="H201" s="32"/>
      <c r="I201" s="32"/>
      <c r="J201" s="32"/>
      <c r="K201" s="32"/>
      <c r="L201" s="32"/>
      <c r="M201" s="32"/>
      <c r="N201" s="32"/>
      <c r="O201" s="31"/>
      <c r="P201" s="32" t="s">
        <v>95</v>
      </c>
      <c r="Q201" s="32"/>
      <c r="R201" s="32"/>
      <c r="S201" s="32"/>
      <c r="T201" s="35" t="s">
        <v>94</v>
      </c>
      <c r="U201" s="384" t="s">
        <v>693</v>
      </c>
      <c r="V201" s="384" t="s">
        <v>693</v>
      </c>
      <c r="W201" s="384" t="s">
        <v>693</v>
      </c>
      <c r="X201" s="47"/>
      <c r="Y201" s="47"/>
      <c r="Z201" s="47"/>
      <c r="AA201" s="47"/>
      <c r="AB201" s="47"/>
      <c r="AC201" s="47"/>
      <c r="AD201" s="47"/>
      <c r="AE201" s="47"/>
      <c r="AF201" s="47"/>
      <c r="AG201" s="47"/>
      <c r="AH201" s="47"/>
      <c r="AI201" s="47"/>
      <c r="AJ201" s="47"/>
      <c r="AK201" s="47"/>
      <c r="AL201" s="47"/>
      <c r="AM201" s="47"/>
      <c r="AN201" s="47"/>
      <c r="AO201" s="47"/>
      <c r="AP201" s="47"/>
      <c r="AQ201" s="47"/>
      <c r="AR201" s="47"/>
      <c r="AS201" s="47"/>
      <c r="AT201" s="47"/>
      <c r="AU201" s="47"/>
      <c r="AV201" s="47"/>
      <c r="AW201" s="47"/>
      <c r="AX201" s="47"/>
      <c r="AY201" s="47"/>
      <c r="AZ201" s="47"/>
      <c r="BA201" s="47"/>
      <c r="BB201" s="47"/>
      <c r="BC201" s="47"/>
      <c r="BD201" s="47"/>
      <c r="BE201" s="47"/>
      <c r="BF201" s="47"/>
      <c r="BG201" s="47"/>
      <c r="BH201" s="47"/>
      <c r="BI201" s="47"/>
      <c r="BJ201" s="47"/>
      <c r="BK201" s="47"/>
    </row>
    <row r="202" spans="1:63" ht="15.2" customHeight="1">
      <c r="A202" s="33"/>
      <c r="B202" s="32"/>
      <c r="C202" s="32"/>
      <c r="D202" s="32"/>
      <c r="E202" s="32"/>
      <c r="F202" s="32"/>
      <c r="G202" s="32"/>
      <c r="H202" s="32"/>
      <c r="I202" s="32"/>
      <c r="J202" s="32"/>
      <c r="K202" s="32"/>
      <c r="L202" s="32"/>
      <c r="M202" s="32"/>
      <c r="N202" s="32"/>
      <c r="O202" s="31"/>
      <c r="P202" s="45"/>
      <c r="Q202" s="45"/>
      <c r="R202" s="45"/>
      <c r="S202" s="45"/>
      <c r="T202" s="44" t="s">
        <v>93</v>
      </c>
      <c r="U202" s="36" t="s">
        <v>694</v>
      </c>
      <c r="V202" s="36" t="s">
        <v>694</v>
      </c>
      <c r="W202" s="36" t="s">
        <v>694</v>
      </c>
      <c r="X202" s="43"/>
      <c r="Y202" s="43"/>
      <c r="Z202" s="43"/>
      <c r="AA202" s="43"/>
      <c r="AB202" s="43"/>
      <c r="AC202" s="43"/>
      <c r="AD202" s="43"/>
      <c r="AE202" s="43"/>
      <c r="AF202" s="43"/>
      <c r="AG202" s="43"/>
      <c r="AH202" s="43"/>
      <c r="AI202" s="43"/>
      <c r="AJ202" s="43"/>
      <c r="AK202" s="43"/>
      <c r="AL202" s="43"/>
      <c r="AM202" s="43"/>
      <c r="AN202" s="43"/>
      <c r="AO202" s="43"/>
      <c r="AP202" s="43"/>
      <c r="AQ202" s="43"/>
      <c r="AR202" s="43"/>
      <c r="AS202" s="43"/>
      <c r="AT202" s="43"/>
      <c r="AU202" s="43"/>
      <c r="AV202" s="43"/>
      <c r="AW202" s="43"/>
      <c r="AX202" s="43"/>
      <c r="AY202" s="43"/>
      <c r="AZ202" s="43"/>
      <c r="BA202" s="43"/>
      <c r="BB202" s="43"/>
      <c r="BC202" s="43"/>
      <c r="BD202" s="43"/>
      <c r="BE202" s="43"/>
      <c r="BF202" s="43"/>
      <c r="BG202" s="43"/>
      <c r="BH202" s="43"/>
      <c r="BI202" s="43"/>
      <c r="BJ202" s="43"/>
      <c r="BK202" s="43"/>
    </row>
    <row r="203" spans="1:63" ht="15.2" customHeight="1">
      <c r="A203" s="33"/>
      <c r="B203" s="32"/>
      <c r="C203" s="32"/>
      <c r="D203" s="32"/>
      <c r="E203" s="32"/>
      <c r="F203" s="32"/>
      <c r="G203" s="32"/>
      <c r="H203" s="32"/>
      <c r="I203" s="32"/>
      <c r="J203" s="32"/>
      <c r="K203" s="32"/>
      <c r="L203" s="32"/>
      <c r="M203" s="32"/>
      <c r="N203" s="32"/>
      <c r="O203" s="31"/>
      <c r="P203" s="32" t="s">
        <v>95</v>
      </c>
      <c r="Q203" s="32"/>
      <c r="R203" s="32"/>
      <c r="S203" s="32"/>
      <c r="T203" s="35" t="s">
        <v>94</v>
      </c>
      <c r="U203" s="385"/>
      <c r="V203" s="385"/>
      <c r="W203" s="385"/>
      <c r="X203" s="46"/>
      <c r="Y203" s="46"/>
      <c r="Z203" s="46"/>
      <c r="AA203" s="46"/>
      <c r="AB203" s="46"/>
      <c r="AC203" s="46"/>
      <c r="AD203" s="46"/>
      <c r="AE203" s="46"/>
      <c r="AF203" s="46"/>
      <c r="AG203" s="46"/>
      <c r="AH203" s="46"/>
      <c r="AI203" s="46"/>
      <c r="AJ203" s="46"/>
      <c r="AK203" s="46"/>
      <c r="AL203" s="46"/>
      <c r="AM203" s="46"/>
      <c r="AN203" s="46"/>
      <c r="AO203" s="46"/>
      <c r="AP203" s="46"/>
      <c r="AQ203" s="46"/>
      <c r="AR203" s="46"/>
      <c r="AS203" s="46"/>
      <c r="AT203" s="46"/>
      <c r="AU203" s="46"/>
      <c r="AV203" s="46"/>
      <c r="AW203" s="46"/>
      <c r="AX203" s="46"/>
      <c r="AY203" s="46"/>
      <c r="AZ203" s="46"/>
      <c r="BA203" s="46"/>
      <c r="BB203" s="46"/>
      <c r="BC203" s="46"/>
      <c r="BD203" s="46"/>
      <c r="BE203" s="46"/>
      <c r="BF203" s="46"/>
      <c r="BG203" s="46"/>
      <c r="BH203" s="46"/>
      <c r="BI203" s="46"/>
      <c r="BJ203" s="46"/>
      <c r="BK203" s="46"/>
    </row>
    <row r="204" spans="1:63" ht="15.2" customHeight="1">
      <c r="A204" s="33"/>
      <c r="B204" s="32"/>
      <c r="C204" s="32"/>
      <c r="D204" s="32"/>
      <c r="E204" s="32"/>
      <c r="F204" s="32"/>
      <c r="G204" s="32"/>
      <c r="H204" s="32"/>
      <c r="I204" s="32"/>
      <c r="J204" s="32"/>
      <c r="K204" s="32"/>
      <c r="L204" s="32"/>
      <c r="M204" s="32"/>
      <c r="N204" s="32"/>
      <c r="O204" s="31"/>
      <c r="P204" s="45"/>
      <c r="Q204" s="45"/>
      <c r="R204" s="45"/>
      <c r="S204" s="45"/>
      <c r="T204" s="44" t="s">
        <v>93</v>
      </c>
      <c r="U204" s="36"/>
      <c r="V204" s="36"/>
      <c r="W204" s="36"/>
      <c r="X204" s="43"/>
      <c r="Y204" s="43"/>
      <c r="Z204" s="43"/>
      <c r="AA204" s="43"/>
      <c r="AB204" s="43"/>
      <c r="AC204" s="43"/>
      <c r="AD204" s="43"/>
      <c r="AE204" s="43"/>
      <c r="AF204" s="43"/>
      <c r="AG204" s="43"/>
      <c r="AH204" s="43"/>
      <c r="AI204" s="43"/>
      <c r="AJ204" s="43"/>
      <c r="AK204" s="43"/>
      <c r="AL204" s="43"/>
      <c r="AM204" s="43"/>
      <c r="AN204" s="43"/>
      <c r="AO204" s="43"/>
      <c r="AP204" s="43"/>
      <c r="AQ204" s="43"/>
      <c r="AR204" s="43"/>
      <c r="AS204" s="43"/>
      <c r="AT204" s="43"/>
      <c r="AU204" s="43"/>
      <c r="AV204" s="43"/>
      <c r="AW204" s="43"/>
      <c r="AX204" s="43"/>
      <c r="AY204" s="43"/>
      <c r="AZ204" s="43"/>
      <c r="BA204" s="43"/>
      <c r="BB204" s="43"/>
      <c r="BC204" s="43"/>
      <c r="BD204" s="43"/>
      <c r="BE204" s="43"/>
      <c r="BF204" s="43"/>
      <c r="BG204" s="43"/>
      <c r="BH204" s="43"/>
      <c r="BI204" s="43"/>
      <c r="BJ204" s="43"/>
      <c r="BK204" s="43"/>
    </row>
    <row r="205" spans="1:63" ht="15.2" customHeight="1">
      <c r="A205" s="33"/>
      <c r="B205" s="32"/>
      <c r="C205" s="32"/>
      <c r="D205" s="32"/>
      <c r="E205" s="32"/>
      <c r="F205" s="32"/>
      <c r="G205" s="32"/>
      <c r="H205" s="32"/>
      <c r="I205" s="32"/>
      <c r="J205" s="32"/>
      <c r="K205" s="32"/>
      <c r="L205" s="32"/>
      <c r="M205" s="32"/>
      <c r="N205" s="32"/>
      <c r="O205" s="31"/>
      <c r="P205" s="32" t="s">
        <v>92</v>
      </c>
      <c r="Q205" s="32"/>
      <c r="R205" s="32"/>
      <c r="S205" s="42"/>
      <c r="T205" s="41" t="s">
        <v>91</v>
      </c>
      <c r="U205" s="40" t="s">
        <v>695</v>
      </c>
      <c r="V205" s="40" t="s">
        <v>695</v>
      </c>
      <c r="W205" s="40" t="s">
        <v>695</v>
      </c>
      <c r="X205" s="40"/>
      <c r="Y205" s="40"/>
      <c r="Z205" s="40"/>
      <c r="AA205" s="40"/>
      <c r="AB205" s="40"/>
      <c r="AC205" s="40"/>
      <c r="AD205" s="40"/>
      <c r="AE205" s="40"/>
      <c r="AF205" s="40"/>
      <c r="AG205" s="40"/>
      <c r="AH205" s="40"/>
      <c r="AI205" s="40"/>
      <c r="AJ205" s="40"/>
      <c r="AK205" s="40"/>
      <c r="AL205" s="40"/>
      <c r="AM205" s="40"/>
      <c r="AN205" s="40"/>
      <c r="AO205" s="40"/>
      <c r="AP205" s="40"/>
      <c r="AQ205" s="40"/>
      <c r="AR205" s="40"/>
      <c r="AS205" s="40"/>
      <c r="AT205" s="40"/>
      <c r="AU205" s="40"/>
      <c r="AV205" s="40"/>
      <c r="AW205" s="40"/>
      <c r="AX205" s="40"/>
      <c r="AY205" s="40"/>
      <c r="AZ205" s="40"/>
      <c r="BA205" s="40"/>
      <c r="BB205" s="40"/>
      <c r="BC205" s="40"/>
      <c r="BD205" s="40"/>
      <c r="BE205" s="40"/>
      <c r="BF205" s="40"/>
      <c r="BG205" s="40"/>
      <c r="BH205" s="40"/>
      <c r="BI205" s="40"/>
      <c r="BJ205" s="40"/>
      <c r="BK205" s="40"/>
    </row>
    <row r="206" spans="1:63" ht="15.2" customHeight="1">
      <c r="A206" s="33"/>
      <c r="B206" s="32"/>
      <c r="C206" s="32"/>
      <c r="D206" s="32"/>
      <c r="E206" s="32"/>
      <c r="F206" s="32"/>
      <c r="G206" s="32"/>
      <c r="H206" s="32"/>
      <c r="I206" s="32"/>
      <c r="J206" s="32"/>
      <c r="K206" s="32"/>
      <c r="L206" s="32"/>
      <c r="M206" s="32"/>
      <c r="N206" s="32"/>
      <c r="O206" s="31"/>
      <c r="P206" s="39"/>
      <c r="Q206" s="39"/>
      <c r="R206" s="39"/>
      <c r="S206" s="38"/>
      <c r="T206" s="37" t="s">
        <v>90</v>
      </c>
      <c r="U206" s="36"/>
      <c r="V206" s="36"/>
      <c r="W206" s="36"/>
      <c r="X206" s="36"/>
      <c r="Y206" s="36"/>
      <c r="Z206" s="36"/>
      <c r="AA206" s="36"/>
      <c r="AB206" s="36"/>
      <c r="AC206" s="36"/>
      <c r="AD206" s="36"/>
      <c r="AE206" s="3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row>
    <row r="207" spans="1:63" ht="32.25" customHeight="1">
      <c r="A207" s="33"/>
      <c r="B207" s="32"/>
      <c r="C207" s="32"/>
      <c r="D207" s="32"/>
      <c r="E207" s="32"/>
      <c r="F207" s="32"/>
      <c r="G207" s="32"/>
      <c r="H207" s="32"/>
      <c r="I207" s="32"/>
      <c r="J207" s="32"/>
      <c r="K207" s="32"/>
      <c r="L207" s="32"/>
      <c r="M207" s="32"/>
      <c r="N207" s="32"/>
      <c r="O207" s="31"/>
      <c r="P207" s="32" t="s">
        <v>89</v>
      </c>
      <c r="Q207" s="32"/>
      <c r="R207" s="32"/>
      <c r="S207" s="32"/>
      <c r="T207" s="35"/>
      <c r="U207" s="34" t="s">
        <v>696</v>
      </c>
      <c r="V207" s="34" t="s">
        <v>696</v>
      </c>
      <c r="W207" s="34" t="s">
        <v>696</v>
      </c>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row>
    <row r="208" spans="1:63" ht="15.2" customHeight="1" thickBot="1">
      <c r="A208" s="33"/>
      <c r="B208" s="32"/>
      <c r="C208" s="32"/>
      <c r="D208" s="32"/>
      <c r="E208" s="32"/>
      <c r="F208" s="32"/>
      <c r="G208" s="32"/>
      <c r="H208" s="32"/>
      <c r="I208" s="32"/>
      <c r="J208" s="32"/>
      <c r="K208" s="32"/>
      <c r="L208" s="32"/>
      <c r="M208" s="32"/>
      <c r="N208" s="32"/>
      <c r="O208" s="31"/>
      <c r="P208" s="30"/>
      <c r="Q208" s="30"/>
      <c r="R208" s="30"/>
      <c r="S208" s="30"/>
      <c r="T208" s="29"/>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row>
  </sheetData>
  <mergeCells count="4">
    <mergeCell ref="E2:O2"/>
    <mergeCell ref="E3:O3"/>
    <mergeCell ref="E4:O4"/>
    <mergeCell ref="O126:T126"/>
  </mergeCells>
  <phoneticPr fontId="3"/>
  <dataValidations disablePrompts="1" count="2">
    <dataValidation type="list" allowBlank="1" showInputMessage="1" showErrorMessage="1" sqref="E3:O3" xr:uid="{00000000-0002-0000-0100-000000000000}">
      <formula1>"単体試験,結合試験"</formula1>
    </dataValidation>
    <dataValidation type="list" allowBlank="1" showInputMessage="1" showErrorMessage="1" sqref="E4:O4" xr:uid="{00000000-0002-0000-0100-000001000000}">
      <formula1>"審査,申し込み,確定依頼,その他バッチ,ロボット端末,ハウスキープ,レプリカ,リカバリ,テンプレート"</formula1>
    </dataValidation>
  </dataValidations>
  <printOptions horizontalCentered="1" verticalCentered="1"/>
  <pageMargins left="3.937007874015748E-2" right="3.937007874015748E-2" top="0.19685039370078741" bottom="0.19685039370078741" header="0.27559055118110237" footer="0.31496062992125984"/>
  <pageSetup paperSize="9" scale="40" fitToWidth="0" fitToHeight="0" orientation="portrait" r:id="rId1"/>
  <headerFooter alignWithMargins="0">
    <oddHeader>&amp;R&amp;9SMC-GATE
ver.1.1</oddHeader>
    <oddFooter>&amp;P / &amp;N ページ</oddFooter>
  </headerFooter>
  <rowBreaks count="1" manualBreakCount="1">
    <brk id="125"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160"/>
  <sheetViews>
    <sheetView topLeftCell="A142" workbookViewId="0">
      <selection activeCell="F169" sqref="F169"/>
    </sheetView>
  </sheetViews>
  <sheetFormatPr defaultColWidth="9" defaultRowHeight="12.75"/>
  <cols>
    <col min="1" max="16384" width="9" style="380"/>
  </cols>
  <sheetData>
    <row r="1" spans="1:1">
      <c r="A1" s="380" t="s">
        <v>674</v>
      </c>
    </row>
    <row r="3" spans="1:1">
      <c r="A3" s="380" t="s">
        <v>673</v>
      </c>
    </row>
    <row r="4" spans="1:1">
      <c r="A4" s="380" t="s">
        <v>765</v>
      </c>
    </row>
    <row r="6" spans="1:1">
      <c r="A6" s="380" t="s">
        <v>675</v>
      </c>
    </row>
    <row r="8" spans="1:1">
      <c r="A8" s="380" t="s">
        <v>766</v>
      </c>
    </row>
    <row r="9" spans="1:1">
      <c r="A9" s="380" t="s">
        <v>767</v>
      </c>
    </row>
    <row r="10" spans="1:1">
      <c r="A10" s="380" t="s">
        <v>768</v>
      </c>
    </row>
    <row r="11" spans="1:1">
      <c r="A11" s="380" t="s">
        <v>769</v>
      </c>
    </row>
    <row r="12" spans="1:1">
      <c r="A12" s="380" t="s">
        <v>770</v>
      </c>
    </row>
    <row r="13" spans="1:1">
      <c r="A13" s="380" t="s">
        <v>771</v>
      </c>
    </row>
    <row r="14" spans="1:1">
      <c r="A14" s="380" t="s">
        <v>772</v>
      </c>
    </row>
    <row r="15" spans="1:1">
      <c r="A15" s="380" t="s">
        <v>773</v>
      </c>
    </row>
    <row r="16" spans="1:1">
      <c r="A16" s="380" t="s">
        <v>774</v>
      </c>
    </row>
    <row r="17" spans="1:2">
      <c r="A17" s="380" t="s">
        <v>775</v>
      </c>
    </row>
    <row r="18" spans="1:2">
      <c r="A18" s="380" t="s">
        <v>776</v>
      </c>
      <c r="B18" s="380" t="s">
        <v>677</v>
      </c>
    </row>
    <row r="19" spans="1:2">
      <c r="A19" s="380" t="s">
        <v>777</v>
      </c>
      <c r="B19" s="380" t="s">
        <v>678</v>
      </c>
    </row>
    <row r="20" spans="1:2">
      <c r="A20" s="380" t="s">
        <v>778</v>
      </c>
      <c r="B20" s="380" t="s">
        <v>679</v>
      </c>
    </row>
    <row r="21" spans="1:2">
      <c r="A21" s="380" t="s">
        <v>779</v>
      </c>
      <c r="B21" s="380" t="s">
        <v>680</v>
      </c>
    </row>
    <row r="22" spans="1:2">
      <c r="A22" s="380" t="s">
        <v>780</v>
      </c>
      <c r="B22" s="380" t="s">
        <v>681</v>
      </c>
    </row>
    <row r="23" spans="1:2">
      <c r="A23" s="380" t="s">
        <v>781</v>
      </c>
      <c r="B23" s="380" t="s">
        <v>682</v>
      </c>
    </row>
    <row r="24" spans="1:2">
      <c r="A24" s="380" t="s">
        <v>782</v>
      </c>
      <c r="B24" s="380" t="s">
        <v>683</v>
      </c>
    </row>
    <row r="25" spans="1:2">
      <c r="A25" s="380" t="s">
        <v>783</v>
      </c>
      <c r="B25" s="380" t="s">
        <v>684</v>
      </c>
    </row>
    <row r="26" spans="1:2">
      <c r="A26" s="380" t="s">
        <v>784</v>
      </c>
      <c r="B26" s="380" t="s">
        <v>685</v>
      </c>
    </row>
    <row r="27" spans="1:2">
      <c r="A27" s="380" t="s">
        <v>785</v>
      </c>
      <c r="B27" s="380" t="s">
        <v>686</v>
      </c>
    </row>
    <row r="28" spans="1:2">
      <c r="A28" s="380" t="s">
        <v>786</v>
      </c>
      <c r="B28" s="380" t="s">
        <v>687</v>
      </c>
    </row>
    <row r="29" spans="1:2">
      <c r="A29" s="380" t="s">
        <v>787</v>
      </c>
      <c r="B29" s="380" t="s">
        <v>688</v>
      </c>
    </row>
    <row r="30" spans="1:2">
      <c r="A30" s="380" t="s">
        <v>788</v>
      </c>
      <c r="B30" s="380" t="s">
        <v>689</v>
      </c>
    </row>
    <row r="31" spans="1:2">
      <c r="A31" s="380" t="s">
        <v>789</v>
      </c>
      <c r="B31" s="380" t="s">
        <v>690</v>
      </c>
    </row>
    <row r="32" spans="1:2">
      <c r="A32" s="380" t="s">
        <v>790</v>
      </c>
      <c r="B32" s="380" t="s">
        <v>691</v>
      </c>
    </row>
    <row r="33" spans="1:2">
      <c r="A33" s="380" t="s">
        <v>791</v>
      </c>
      <c r="B33" s="380" t="s">
        <v>692</v>
      </c>
    </row>
    <row r="34" spans="1:2">
      <c r="A34" s="380" t="s">
        <v>792</v>
      </c>
    </row>
    <row r="35" spans="1:2">
      <c r="A35" s="380" t="s">
        <v>793</v>
      </c>
    </row>
    <row r="36" spans="1:2">
      <c r="A36" s="380" t="s">
        <v>794</v>
      </c>
    </row>
    <row r="37" spans="1:2">
      <c r="A37" s="380" t="s">
        <v>795</v>
      </c>
    </row>
    <row r="38" spans="1:2">
      <c r="A38" s="380" t="s">
        <v>796</v>
      </c>
    </row>
    <row r="39" spans="1:2">
      <c r="A39" s="380" t="s">
        <v>797</v>
      </c>
    </row>
    <row r="40" spans="1:2">
      <c r="A40" s="380" t="s">
        <v>798</v>
      </c>
    </row>
    <row r="41" spans="1:2">
      <c r="A41" s="380" t="s">
        <v>799</v>
      </c>
    </row>
    <row r="42" spans="1:2">
      <c r="A42" s="380" t="s">
        <v>800</v>
      </c>
    </row>
    <row r="43" spans="1:2">
      <c r="A43" s="380" t="s">
        <v>801</v>
      </c>
    </row>
    <row r="44" spans="1:2">
      <c r="A44" s="380" t="s">
        <v>802</v>
      </c>
    </row>
    <row r="45" spans="1:2">
      <c r="A45" s="380" t="s">
        <v>803</v>
      </c>
    </row>
    <row r="46" spans="1:2">
      <c r="A46" s="380" t="s">
        <v>804</v>
      </c>
    </row>
    <row r="47" spans="1:2">
      <c r="A47" s="380" t="s">
        <v>805</v>
      </c>
    </row>
    <row r="48" spans="1:2">
      <c r="A48" s="380" t="s">
        <v>806</v>
      </c>
    </row>
    <row r="49" spans="1:1">
      <c r="A49" s="380" t="s">
        <v>807</v>
      </c>
    </row>
    <row r="50" spans="1:1">
      <c r="A50" s="380" t="s">
        <v>808</v>
      </c>
    </row>
    <row r="51" spans="1:1" s="381" customFormat="1">
      <c r="A51" s="381" t="s">
        <v>809</v>
      </c>
    </row>
    <row r="52" spans="1:1">
      <c r="A52" s="380" t="s">
        <v>810</v>
      </c>
    </row>
    <row r="53" spans="1:1">
      <c r="A53" s="380" t="s">
        <v>811</v>
      </c>
    </row>
    <row r="54" spans="1:1">
      <c r="A54" s="380" t="s">
        <v>812</v>
      </c>
    </row>
    <row r="55" spans="1:1">
      <c r="A55" s="380" t="s">
        <v>813</v>
      </c>
    </row>
    <row r="56" spans="1:1">
      <c r="A56" s="380" t="s">
        <v>814</v>
      </c>
    </row>
    <row r="57" spans="1:1">
      <c r="A57" s="380" t="s">
        <v>815</v>
      </c>
    </row>
    <row r="58" spans="1:1">
      <c r="A58" s="380" t="s">
        <v>816</v>
      </c>
    </row>
    <row r="59" spans="1:1">
      <c r="A59" s="380" t="s">
        <v>817</v>
      </c>
    </row>
    <row r="60" spans="1:1">
      <c r="A60" s="380" t="s">
        <v>818</v>
      </c>
    </row>
    <row r="61" spans="1:1">
      <c r="A61" s="380" t="s">
        <v>819</v>
      </c>
    </row>
    <row r="62" spans="1:1">
      <c r="A62" s="380" t="s">
        <v>820</v>
      </c>
    </row>
    <row r="63" spans="1:1">
      <c r="A63" s="380" t="s">
        <v>821</v>
      </c>
    </row>
    <row r="64" spans="1:1">
      <c r="A64" s="380" t="s">
        <v>822</v>
      </c>
    </row>
    <row r="65" spans="1:1">
      <c r="A65" s="380" t="s">
        <v>823</v>
      </c>
    </row>
    <row r="66" spans="1:1">
      <c r="A66" s="380" t="s">
        <v>824</v>
      </c>
    </row>
    <row r="67" spans="1:1">
      <c r="A67" s="380" t="s">
        <v>825</v>
      </c>
    </row>
    <row r="68" spans="1:1">
      <c r="A68" s="380" t="s">
        <v>826</v>
      </c>
    </row>
    <row r="69" spans="1:1">
      <c r="A69" s="380" t="s">
        <v>827</v>
      </c>
    </row>
    <row r="70" spans="1:1">
      <c r="A70" s="380" t="s">
        <v>828</v>
      </c>
    </row>
    <row r="71" spans="1:1">
      <c r="A71" s="380" t="s">
        <v>829</v>
      </c>
    </row>
    <row r="72" spans="1:1">
      <c r="A72" s="380" t="s">
        <v>830</v>
      </c>
    </row>
    <row r="73" spans="1:1">
      <c r="A73" s="380" t="s">
        <v>831</v>
      </c>
    </row>
    <row r="74" spans="1:1">
      <c r="A74" s="380" t="s">
        <v>832</v>
      </c>
    </row>
    <row r="75" spans="1:1">
      <c r="A75" s="380" t="s">
        <v>833</v>
      </c>
    </row>
    <row r="76" spans="1:1">
      <c r="A76" s="380" t="s">
        <v>834</v>
      </c>
    </row>
    <row r="77" spans="1:1">
      <c r="A77" s="380" t="s">
        <v>835</v>
      </c>
    </row>
    <row r="78" spans="1:1">
      <c r="A78" s="380" t="s">
        <v>836</v>
      </c>
    </row>
    <row r="79" spans="1:1">
      <c r="A79" s="380" t="s">
        <v>837</v>
      </c>
    </row>
    <row r="80" spans="1:1">
      <c r="A80" s="380" t="s">
        <v>838</v>
      </c>
    </row>
    <row r="81" spans="1:1">
      <c r="A81" s="380" t="s">
        <v>839</v>
      </c>
    </row>
    <row r="82" spans="1:1">
      <c r="A82" s="380" t="s">
        <v>840</v>
      </c>
    </row>
    <row r="83" spans="1:1">
      <c r="A83" s="380" t="s">
        <v>841</v>
      </c>
    </row>
    <row r="84" spans="1:1">
      <c r="A84" s="380" t="s">
        <v>842</v>
      </c>
    </row>
    <row r="85" spans="1:1">
      <c r="A85" s="380" t="s">
        <v>843</v>
      </c>
    </row>
    <row r="86" spans="1:1">
      <c r="A86" s="380" t="s">
        <v>844</v>
      </c>
    </row>
    <row r="87" spans="1:1">
      <c r="A87" s="380" t="s">
        <v>845</v>
      </c>
    </row>
    <row r="88" spans="1:1">
      <c r="A88" s="380" t="s">
        <v>846</v>
      </c>
    </row>
    <row r="89" spans="1:1">
      <c r="A89" s="380" t="s">
        <v>847</v>
      </c>
    </row>
    <row r="90" spans="1:1">
      <c r="A90" s="380" t="s">
        <v>848</v>
      </c>
    </row>
    <row r="91" spans="1:1">
      <c r="A91" s="380" t="s">
        <v>849</v>
      </c>
    </row>
    <row r="92" spans="1:1">
      <c r="A92" s="380" t="s">
        <v>850</v>
      </c>
    </row>
    <row r="93" spans="1:1">
      <c r="A93" s="380" t="s">
        <v>851</v>
      </c>
    </row>
    <row r="94" spans="1:1">
      <c r="A94" s="380" t="s">
        <v>852</v>
      </c>
    </row>
    <row r="95" spans="1:1">
      <c r="A95" s="380" t="s">
        <v>853</v>
      </c>
    </row>
    <row r="96" spans="1:1">
      <c r="A96" s="380" t="s">
        <v>854</v>
      </c>
    </row>
    <row r="97" spans="1:1">
      <c r="A97" s="380" t="s">
        <v>855</v>
      </c>
    </row>
    <row r="98" spans="1:1">
      <c r="A98" s="380" t="s">
        <v>856</v>
      </c>
    </row>
    <row r="99" spans="1:1">
      <c r="A99" s="380" t="s">
        <v>857</v>
      </c>
    </row>
    <row r="100" spans="1:1">
      <c r="A100" s="380" t="s">
        <v>858</v>
      </c>
    </row>
    <row r="101" spans="1:1">
      <c r="A101" s="380" t="s">
        <v>859</v>
      </c>
    </row>
    <row r="103" spans="1:1">
      <c r="A103" s="380" t="s">
        <v>861</v>
      </c>
    </row>
    <row r="105" spans="1:1">
      <c r="A105" s="380" t="s">
        <v>862</v>
      </c>
    </row>
    <row r="106" spans="1:1">
      <c r="A106" s="380" t="s">
        <v>863</v>
      </c>
    </row>
    <row r="107" spans="1:1">
      <c r="A107" s="380" t="s">
        <v>864</v>
      </c>
    </row>
    <row r="108" spans="1:1">
      <c r="A108" s="380" t="s">
        <v>865</v>
      </c>
    </row>
    <row r="109" spans="1:1">
      <c r="A109" s="380" t="s">
        <v>866</v>
      </c>
    </row>
    <row r="110" spans="1:1">
      <c r="A110" s="380" t="s">
        <v>867</v>
      </c>
    </row>
    <row r="111" spans="1:1">
      <c r="A111" s="380" t="s">
        <v>868</v>
      </c>
    </row>
    <row r="112" spans="1:1">
      <c r="A112" s="380" t="s">
        <v>869</v>
      </c>
    </row>
    <row r="113" spans="1:1">
      <c r="A113" s="380" t="s">
        <v>870</v>
      </c>
    </row>
    <row r="114" spans="1:1">
      <c r="A114" s="380" t="s">
        <v>871</v>
      </c>
    </row>
    <row r="115" spans="1:1">
      <c r="A115" s="380" t="s">
        <v>872</v>
      </c>
    </row>
    <row r="116" spans="1:1">
      <c r="A116" s="380" t="s">
        <v>873</v>
      </c>
    </row>
    <row r="117" spans="1:1">
      <c r="A117" s="380" t="s">
        <v>874</v>
      </c>
    </row>
    <row r="118" spans="1:1">
      <c r="A118" s="380" t="s">
        <v>875</v>
      </c>
    </row>
    <row r="119" spans="1:1">
      <c r="A119" s="380" t="s">
        <v>876</v>
      </c>
    </row>
    <row r="120" spans="1:1">
      <c r="A120" s="380" t="s">
        <v>877</v>
      </c>
    </row>
    <row r="121" spans="1:1">
      <c r="A121" s="380" t="s">
        <v>878</v>
      </c>
    </row>
    <row r="122" spans="1:1">
      <c r="A122" s="380" t="s">
        <v>879</v>
      </c>
    </row>
    <row r="123" spans="1:1">
      <c r="A123" s="380" t="s">
        <v>880</v>
      </c>
    </row>
    <row r="124" spans="1:1">
      <c r="A124" s="380" t="s">
        <v>881</v>
      </c>
    </row>
    <row r="125" spans="1:1">
      <c r="A125" s="380" t="s">
        <v>882</v>
      </c>
    </row>
    <row r="126" spans="1:1">
      <c r="A126" s="380" t="s">
        <v>883</v>
      </c>
    </row>
    <row r="127" spans="1:1">
      <c r="A127" s="380" t="s">
        <v>884</v>
      </c>
    </row>
    <row r="128" spans="1:1">
      <c r="A128" s="380" t="s">
        <v>885</v>
      </c>
    </row>
    <row r="129" spans="1:1">
      <c r="A129" s="380" t="s">
        <v>886</v>
      </c>
    </row>
    <row r="130" spans="1:1">
      <c r="A130" s="380" t="s">
        <v>887</v>
      </c>
    </row>
    <row r="131" spans="1:1">
      <c r="A131" s="380" t="s">
        <v>888</v>
      </c>
    </row>
    <row r="132" spans="1:1">
      <c r="A132" s="380" t="s">
        <v>889</v>
      </c>
    </row>
    <row r="133" spans="1:1">
      <c r="A133" s="380" t="s">
        <v>890</v>
      </c>
    </row>
    <row r="134" spans="1:1">
      <c r="A134" s="380" t="s">
        <v>891</v>
      </c>
    </row>
    <row r="135" spans="1:1">
      <c r="A135" s="380" t="s">
        <v>892</v>
      </c>
    </row>
    <row r="136" spans="1:1">
      <c r="A136" s="380" t="s">
        <v>893</v>
      </c>
    </row>
    <row r="137" spans="1:1">
      <c r="A137" s="380" t="s">
        <v>894</v>
      </c>
    </row>
    <row r="138" spans="1:1">
      <c r="A138" s="380" t="s">
        <v>895</v>
      </c>
    </row>
    <row r="139" spans="1:1">
      <c r="A139" s="380" t="s">
        <v>896</v>
      </c>
    </row>
    <row r="140" spans="1:1">
      <c r="A140" s="380" t="s">
        <v>897</v>
      </c>
    </row>
    <row r="141" spans="1:1">
      <c r="A141" s="380" t="s">
        <v>898</v>
      </c>
    </row>
    <row r="142" spans="1:1">
      <c r="A142" s="380" t="s">
        <v>899</v>
      </c>
    </row>
    <row r="143" spans="1:1">
      <c r="A143" s="380" t="s">
        <v>900</v>
      </c>
    </row>
    <row r="144" spans="1:1">
      <c r="A144" s="380" t="s">
        <v>901</v>
      </c>
    </row>
    <row r="145" spans="1:1">
      <c r="A145" s="380" t="s">
        <v>902</v>
      </c>
    </row>
    <row r="146" spans="1:1">
      <c r="A146" s="380" t="s">
        <v>903</v>
      </c>
    </row>
    <row r="147" spans="1:1" s="381" customFormat="1">
      <c r="A147" s="381" t="s">
        <v>904</v>
      </c>
    </row>
    <row r="148" spans="1:1">
      <c r="A148" s="380" t="s">
        <v>905</v>
      </c>
    </row>
    <row r="149" spans="1:1">
      <c r="A149" s="380" t="s">
        <v>906</v>
      </c>
    </row>
    <row r="150" spans="1:1">
      <c r="A150" s="380" t="s">
        <v>907</v>
      </c>
    </row>
    <row r="151" spans="1:1">
      <c r="A151" s="380" t="s">
        <v>908</v>
      </c>
    </row>
    <row r="152" spans="1:1">
      <c r="A152" s="380" t="s">
        <v>909</v>
      </c>
    </row>
    <row r="153" spans="1:1">
      <c r="A153" s="380" t="s">
        <v>910</v>
      </c>
    </row>
    <row r="154" spans="1:1">
      <c r="A154" s="380" t="s">
        <v>911</v>
      </c>
    </row>
    <row r="155" spans="1:1">
      <c r="A155" s="380" t="s">
        <v>912</v>
      </c>
    </row>
    <row r="156" spans="1:1">
      <c r="A156" s="380" t="s">
        <v>913</v>
      </c>
    </row>
    <row r="157" spans="1:1">
      <c r="A157" s="380" t="s">
        <v>914</v>
      </c>
    </row>
    <row r="158" spans="1:1">
      <c r="A158" s="380" t="s">
        <v>915</v>
      </c>
    </row>
    <row r="159" spans="1:1">
      <c r="A159" s="380" t="s">
        <v>916</v>
      </c>
    </row>
    <row r="160" spans="1:1">
      <c r="A160" s="380" t="s">
        <v>917</v>
      </c>
    </row>
  </sheetData>
  <phoneticPr fontId="3"/>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B36"/>
  <sheetViews>
    <sheetView tabSelected="1"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927</v>
      </c>
    </row>
    <row r="9" spans="1:1">
      <c r="A9" s="380" t="s">
        <v>928</v>
      </c>
    </row>
    <row r="10" spans="1:1">
      <c r="A10" s="380" t="s">
        <v>929</v>
      </c>
    </row>
    <row r="11" spans="1:1">
      <c r="A11" s="380" t="s">
        <v>930</v>
      </c>
    </row>
    <row r="12" spans="1:1">
      <c r="A12" s="380" t="s">
        <v>931</v>
      </c>
    </row>
    <row r="13" spans="1:1">
      <c r="A13" s="380" t="s">
        <v>932</v>
      </c>
    </row>
    <row r="14" spans="1:1" s="381" customFormat="1">
      <c r="A14" s="381" t="s">
        <v>933</v>
      </c>
    </row>
    <row r="15" spans="1:1" s="381" customFormat="1">
      <c r="A15" s="381" t="s">
        <v>934</v>
      </c>
    </row>
    <row r="16" spans="1:1" s="381" customFormat="1">
      <c r="A16" s="381" t="s">
        <v>676</v>
      </c>
    </row>
    <row r="17" spans="1:2" s="381" customFormat="1">
      <c r="A17" s="381" t="s">
        <v>700</v>
      </c>
    </row>
    <row r="18" spans="1:2">
      <c r="A18" s="380" t="s">
        <v>701</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935</v>
      </c>
    </row>
    <row r="36" spans="1:2">
      <c r="A36" s="380" t="s">
        <v>936</v>
      </c>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158"/>
  <sheetViews>
    <sheetView tabSelected="1" topLeftCell="A112"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937</v>
      </c>
    </row>
    <row r="6" spans="1:1">
      <c r="A6" s="380" t="s">
        <v>675</v>
      </c>
    </row>
    <row r="8" spans="1:1">
      <c r="A8" s="380" t="s">
        <v>936</v>
      </c>
    </row>
    <row r="9" spans="1:1">
      <c r="A9" s="380" t="s">
        <v>938</v>
      </c>
    </row>
    <row r="10" spans="1:1">
      <c r="A10" s="380" t="s">
        <v>939</v>
      </c>
    </row>
    <row r="11" spans="1:1">
      <c r="A11" s="380" t="s">
        <v>940</v>
      </c>
    </row>
    <row r="12" spans="1:1">
      <c r="A12" s="380" t="s">
        <v>941</v>
      </c>
    </row>
    <row r="13" spans="1:1">
      <c r="A13" s="380" t="s">
        <v>942</v>
      </c>
    </row>
    <row r="14" spans="1:1">
      <c r="A14" s="380" t="s">
        <v>943</v>
      </c>
    </row>
    <row r="15" spans="1:1">
      <c r="A15" s="380" t="s">
        <v>944</v>
      </c>
    </row>
    <row r="16" spans="1:1">
      <c r="A16" s="380" t="s">
        <v>945</v>
      </c>
    </row>
    <row r="17" spans="1:1">
      <c r="A17" s="380" t="s">
        <v>946</v>
      </c>
    </row>
    <row r="18" spans="1:1">
      <c r="A18" s="380" t="s">
        <v>947</v>
      </c>
    </row>
    <row r="19" spans="1:1">
      <c r="A19" s="380" t="s">
        <v>948</v>
      </c>
    </row>
    <row r="20" spans="1:1">
      <c r="A20" s="380" t="s">
        <v>949</v>
      </c>
    </row>
    <row r="21" spans="1:1">
      <c r="A21" s="380" t="s">
        <v>950</v>
      </c>
    </row>
    <row r="22" spans="1:1">
      <c r="A22" s="380" t="s">
        <v>951</v>
      </c>
    </row>
    <row r="23" spans="1:1">
      <c r="A23" s="380" t="s">
        <v>952</v>
      </c>
    </row>
    <row r="24" spans="1:1">
      <c r="A24" s="380" t="s">
        <v>953</v>
      </c>
    </row>
    <row r="25" spans="1:1">
      <c r="A25" s="380" t="s">
        <v>954</v>
      </c>
    </row>
    <row r="26" spans="1:1">
      <c r="A26" s="380" t="s">
        <v>955</v>
      </c>
    </row>
    <row r="27" spans="1:1">
      <c r="A27" s="380" t="s">
        <v>956</v>
      </c>
    </row>
    <row r="28" spans="1:1">
      <c r="A28" s="380" t="s">
        <v>957</v>
      </c>
    </row>
    <row r="29" spans="1:1">
      <c r="A29" s="380" t="s">
        <v>958</v>
      </c>
    </row>
    <row r="30" spans="1:1">
      <c r="A30" s="380" t="s">
        <v>959</v>
      </c>
    </row>
    <row r="31" spans="1:1">
      <c r="A31" s="380" t="s">
        <v>960</v>
      </c>
    </row>
    <row r="32" spans="1:1">
      <c r="A32" s="380" t="s">
        <v>961</v>
      </c>
    </row>
    <row r="33" spans="1:1">
      <c r="A33" s="380" t="s">
        <v>962</v>
      </c>
    </row>
    <row r="34" spans="1:1">
      <c r="A34" s="380" t="s">
        <v>963</v>
      </c>
    </row>
    <row r="35" spans="1:1">
      <c r="A35" s="380" t="s">
        <v>964</v>
      </c>
    </row>
    <row r="36" spans="1:1">
      <c r="A36" s="380" t="s">
        <v>965</v>
      </c>
    </row>
    <row r="37" spans="1:1">
      <c r="A37" s="380" t="s">
        <v>966</v>
      </c>
    </row>
    <row r="38" spans="1:1">
      <c r="A38" s="380" t="s">
        <v>967</v>
      </c>
    </row>
    <row r="39" spans="1:1">
      <c r="A39" s="380" t="s">
        <v>968</v>
      </c>
    </row>
    <row r="40" spans="1:1">
      <c r="A40" s="380" t="s">
        <v>969</v>
      </c>
    </row>
    <row r="41" spans="1:1">
      <c r="A41" s="380" t="s">
        <v>970</v>
      </c>
    </row>
    <row r="42" spans="1:1">
      <c r="A42" s="380" t="s">
        <v>971</v>
      </c>
    </row>
    <row r="43" spans="1:1">
      <c r="A43" s="380" t="s">
        <v>972</v>
      </c>
    </row>
    <row r="44" spans="1:1">
      <c r="A44" s="380" t="s">
        <v>973</v>
      </c>
    </row>
    <row r="45" spans="1:1">
      <c r="A45" s="380" t="s">
        <v>974</v>
      </c>
    </row>
    <row r="46" spans="1:1">
      <c r="A46" s="380" t="s">
        <v>975</v>
      </c>
    </row>
    <row r="47" spans="1:1">
      <c r="A47" s="380" t="s">
        <v>976</v>
      </c>
    </row>
    <row r="48" spans="1:1">
      <c r="A48" s="380" t="s">
        <v>977</v>
      </c>
    </row>
    <row r="49" spans="1:1">
      <c r="A49" s="380" t="s">
        <v>978</v>
      </c>
    </row>
    <row r="50" spans="1:1">
      <c r="A50" s="380" t="s">
        <v>979</v>
      </c>
    </row>
    <row r="51" spans="1:1">
      <c r="A51" s="380" t="s">
        <v>980</v>
      </c>
    </row>
    <row r="52" spans="1:1" s="381" customFormat="1">
      <c r="A52" s="381" t="s">
        <v>981</v>
      </c>
    </row>
    <row r="53" spans="1:1">
      <c r="A53" s="380" t="s">
        <v>982</v>
      </c>
    </row>
    <row r="54" spans="1:1">
      <c r="A54" s="380" t="s">
        <v>983</v>
      </c>
    </row>
    <row r="55" spans="1:1">
      <c r="A55" s="380" t="s">
        <v>984</v>
      </c>
    </row>
    <row r="56" spans="1:1">
      <c r="A56" s="380" t="s">
        <v>985</v>
      </c>
    </row>
    <row r="57" spans="1:1">
      <c r="A57" s="380" t="s">
        <v>986</v>
      </c>
    </row>
    <row r="58" spans="1:1">
      <c r="A58" s="380" t="s">
        <v>987</v>
      </c>
    </row>
    <row r="59" spans="1:1">
      <c r="A59" s="380" t="s">
        <v>988</v>
      </c>
    </row>
    <row r="60" spans="1:1">
      <c r="A60" s="380" t="s">
        <v>989</v>
      </c>
    </row>
    <row r="61" spans="1:1">
      <c r="A61" s="380" t="s">
        <v>990</v>
      </c>
    </row>
    <row r="62" spans="1:1">
      <c r="A62" s="380" t="s">
        <v>991</v>
      </c>
    </row>
    <row r="63" spans="1:1">
      <c r="A63" s="380" t="s">
        <v>992</v>
      </c>
    </row>
    <row r="64" spans="1:1">
      <c r="A64" s="380" t="s">
        <v>993</v>
      </c>
    </row>
    <row r="65" spans="1:1">
      <c r="A65" s="380" t="s">
        <v>994</v>
      </c>
    </row>
    <row r="66" spans="1:1">
      <c r="A66" s="380" t="s">
        <v>995</v>
      </c>
    </row>
    <row r="67" spans="1:1">
      <c r="A67" s="380" t="s">
        <v>996</v>
      </c>
    </row>
    <row r="68" spans="1:1">
      <c r="A68" s="380" t="s">
        <v>997</v>
      </c>
    </row>
    <row r="69" spans="1:1">
      <c r="A69" s="380" t="s">
        <v>998</v>
      </c>
    </row>
    <row r="70" spans="1:1">
      <c r="A70" s="380" t="s">
        <v>999</v>
      </c>
    </row>
    <row r="71" spans="1:1">
      <c r="A71" s="380" t="s">
        <v>1000</v>
      </c>
    </row>
    <row r="72" spans="1:1">
      <c r="A72" s="380" t="s">
        <v>1001</v>
      </c>
    </row>
    <row r="73" spans="1:1">
      <c r="A73" s="380" t="s">
        <v>1002</v>
      </c>
    </row>
    <row r="74" spans="1:1">
      <c r="A74" s="380" t="s">
        <v>1003</v>
      </c>
    </row>
    <row r="75" spans="1:1">
      <c r="A75" s="380" t="s">
        <v>1004</v>
      </c>
    </row>
    <row r="76" spans="1:1">
      <c r="A76" s="380" t="s">
        <v>1005</v>
      </c>
    </row>
    <row r="77" spans="1:1">
      <c r="A77" s="380" t="s">
        <v>1006</v>
      </c>
    </row>
    <row r="78" spans="1:1">
      <c r="A78" s="380" t="s">
        <v>1007</v>
      </c>
    </row>
    <row r="79" spans="1:1">
      <c r="A79" s="380" t="s">
        <v>1008</v>
      </c>
    </row>
    <row r="80" spans="1:1">
      <c r="A80" s="380" t="s">
        <v>1009</v>
      </c>
    </row>
    <row r="81" spans="1:1">
      <c r="A81" s="380" t="s">
        <v>1010</v>
      </c>
    </row>
    <row r="82" spans="1:1">
      <c r="A82" s="380" t="s">
        <v>1011</v>
      </c>
    </row>
    <row r="83" spans="1:1">
      <c r="A83" s="380" t="s">
        <v>1012</v>
      </c>
    </row>
    <row r="84" spans="1:1">
      <c r="A84" s="380" t="s">
        <v>1013</v>
      </c>
    </row>
    <row r="85" spans="1:1">
      <c r="A85" s="380" t="s">
        <v>1014</v>
      </c>
    </row>
    <row r="86" spans="1:1">
      <c r="A86" s="380" t="s">
        <v>1015</v>
      </c>
    </row>
    <row r="87" spans="1:1">
      <c r="A87" s="380" t="s">
        <v>1016</v>
      </c>
    </row>
    <row r="88" spans="1:1">
      <c r="A88" s="380" t="s">
        <v>1017</v>
      </c>
    </row>
    <row r="89" spans="1:1">
      <c r="A89" s="380" t="s">
        <v>1018</v>
      </c>
    </row>
    <row r="90" spans="1:1">
      <c r="A90" s="380" t="s">
        <v>1019</v>
      </c>
    </row>
    <row r="91" spans="1:1">
      <c r="A91" s="380" t="s">
        <v>1020</v>
      </c>
    </row>
    <row r="92" spans="1:1">
      <c r="A92" s="380" t="s">
        <v>1021</v>
      </c>
    </row>
    <row r="93" spans="1:1">
      <c r="A93" s="380" t="s">
        <v>1022</v>
      </c>
    </row>
    <row r="94" spans="1:1">
      <c r="A94" s="380" t="s">
        <v>1023</v>
      </c>
    </row>
    <row r="95" spans="1:1">
      <c r="A95" s="380" t="s">
        <v>1024</v>
      </c>
    </row>
    <row r="96" spans="1:1">
      <c r="A96" s="380" t="s">
        <v>1025</v>
      </c>
    </row>
    <row r="97" spans="1:1">
      <c r="A97" s="380" t="s">
        <v>1026</v>
      </c>
    </row>
    <row r="98" spans="1:1">
      <c r="A98" s="380" t="s">
        <v>1027</v>
      </c>
    </row>
    <row r="99" spans="1:1">
      <c r="A99" s="380" t="s">
        <v>1028</v>
      </c>
    </row>
    <row r="100" spans="1:1">
      <c r="A100" s="380" t="s">
        <v>1029</v>
      </c>
    </row>
    <row r="101" spans="1:1">
      <c r="A101" s="380" t="s">
        <v>1030</v>
      </c>
    </row>
    <row r="103" spans="1:1">
      <c r="A103" s="380" t="s">
        <v>1031</v>
      </c>
    </row>
    <row r="104" spans="1:1">
      <c r="A104" s="380" t="s">
        <v>1032</v>
      </c>
    </row>
    <row r="105" spans="1:1">
      <c r="A105" s="380" t="s">
        <v>1033</v>
      </c>
    </row>
    <row r="106" spans="1:1">
      <c r="A106" s="380" t="s">
        <v>865</v>
      </c>
    </row>
    <row r="107" spans="1:1">
      <c r="A107" s="380" t="s">
        <v>1034</v>
      </c>
    </row>
    <row r="108" spans="1:1">
      <c r="A108" s="380" t="s">
        <v>867</v>
      </c>
    </row>
    <row r="109" spans="1:1">
      <c r="A109" s="380" t="s">
        <v>1035</v>
      </c>
    </row>
    <row r="110" spans="1:1">
      <c r="A110" s="380" t="s">
        <v>869</v>
      </c>
    </row>
    <row r="111" spans="1:1">
      <c r="A111" s="380" t="s">
        <v>870</v>
      </c>
    </row>
    <row r="112" spans="1:1">
      <c r="A112" s="380" t="s">
        <v>871</v>
      </c>
    </row>
    <row r="113" spans="1:1">
      <c r="A113" s="380" t="s">
        <v>872</v>
      </c>
    </row>
    <row r="114" spans="1:1">
      <c r="A114" s="380" t="s">
        <v>873</v>
      </c>
    </row>
    <row r="115" spans="1:1">
      <c r="A115" s="380" t="s">
        <v>874</v>
      </c>
    </row>
    <row r="116" spans="1:1">
      <c r="A116" s="380" t="s">
        <v>875</v>
      </c>
    </row>
    <row r="117" spans="1:1">
      <c r="A117" s="380" t="s">
        <v>876</v>
      </c>
    </row>
    <row r="118" spans="1:1">
      <c r="A118" s="380" t="s">
        <v>877</v>
      </c>
    </row>
    <row r="119" spans="1:1">
      <c r="A119" s="380" t="s">
        <v>878</v>
      </c>
    </row>
    <row r="120" spans="1:1" s="381" customFormat="1">
      <c r="A120" s="381" t="s">
        <v>879</v>
      </c>
    </row>
    <row r="121" spans="1:1">
      <c r="A121" s="380" t="s">
        <v>880</v>
      </c>
    </row>
    <row r="122" spans="1:1">
      <c r="A122" s="380" t="s">
        <v>881</v>
      </c>
    </row>
    <row r="123" spans="1:1">
      <c r="A123" s="380" t="s">
        <v>882</v>
      </c>
    </row>
    <row r="124" spans="1:1">
      <c r="A124" s="380" t="s">
        <v>883</v>
      </c>
    </row>
    <row r="125" spans="1:1">
      <c r="A125" s="380" t="s">
        <v>884</v>
      </c>
    </row>
    <row r="126" spans="1:1">
      <c r="A126" s="380" t="s">
        <v>885</v>
      </c>
    </row>
    <row r="127" spans="1:1">
      <c r="A127" s="380" t="s">
        <v>886</v>
      </c>
    </row>
    <row r="128" spans="1:1">
      <c r="A128" s="380" t="s">
        <v>887</v>
      </c>
    </row>
    <row r="129" spans="1:1">
      <c r="A129" s="380" t="s">
        <v>888</v>
      </c>
    </row>
    <row r="130" spans="1:1">
      <c r="A130" s="380" t="s">
        <v>889</v>
      </c>
    </row>
    <row r="131" spans="1:1">
      <c r="A131" s="380" t="s">
        <v>890</v>
      </c>
    </row>
    <row r="132" spans="1:1">
      <c r="A132" s="380" t="s">
        <v>891</v>
      </c>
    </row>
    <row r="133" spans="1:1">
      <c r="A133" s="380" t="s">
        <v>892</v>
      </c>
    </row>
    <row r="134" spans="1:1">
      <c r="A134" s="380" t="s">
        <v>893</v>
      </c>
    </row>
    <row r="135" spans="1:1">
      <c r="A135" s="380" t="s">
        <v>894</v>
      </c>
    </row>
    <row r="136" spans="1:1">
      <c r="A136" s="380" t="s">
        <v>895</v>
      </c>
    </row>
    <row r="137" spans="1:1">
      <c r="A137" s="380" t="s">
        <v>896</v>
      </c>
    </row>
    <row r="138" spans="1:1">
      <c r="A138" s="380" t="s">
        <v>897</v>
      </c>
    </row>
    <row r="139" spans="1:1">
      <c r="A139" s="380" t="s">
        <v>898</v>
      </c>
    </row>
    <row r="140" spans="1:1">
      <c r="A140" s="380" t="s">
        <v>899</v>
      </c>
    </row>
    <row r="141" spans="1:1">
      <c r="A141" s="380" t="s">
        <v>1036</v>
      </c>
    </row>
    <row r="142" spans="1:1">
      <c r="A142" s="380" t="s">
        <v>901</v>
      </c>
    </row>
    <row r="143" spans="1:1">
      <c r="A143" s="380" t="s">
        <v>1037</v>
      </c>
    </row>
    <row r="144" spans="1:1">
      <c r="A144" s="380" t="s">
        <v>903</v>
      </c>
    </row>
    <row r="145" spans="1:1">
      <c r="A145" s="380" t="s">
        <v>1038</v>
      </c>
    </row>
    <row r="146" spans="1:1">
      <c r="A146" s="380" t="s">
        <v>1039</v>
      </c>
    </row>
    <row r="147" spans="1:1">
      <c r="A147" s="380" t="s">
        <v>906</v>
      </c>
    </row>
    <row r="148" spans="1:1">
      <c r="A148" s="380" t="s">
        <v>907</v>
      </c>
    </row>
    <row r="149" spans="1:1">
      <c r="A149" s="380" t="s">
        <v>908</v>
      </c>
    </row>
    <row r="150" spans="1:1">
      <c r="A150" s="380" t="s">
        <v>909</v>
      </c>
    </row>
    <row r="151" spans="1:1">
      <c r="A151" s="380" t="s">
        <v>910</v>
      </c>
    </row>
    <row r="152" spans="1:1">
      <c r="A152" s="380" t="s">
        <v>911</v>
      </c>
    </row>
    <row r="153" spans="1:1">
      <c r="A153" s="380" t="s">
        <v>912</v>
      </c>
    </row>
    <row r="154" spans="1:1">
      <c r="A154" s="380" t="s">
        <v>913</v>
      </c>
    </row>
    <row r="155" spans="1:1">
      <c r="A155" s="380" t="s">
        <v>914</v>
      </c>
    </row>
    <row r="156" spans="1:1">
      <c r="A156" s="380" t="s">
        <v>915</v>
      </c>
    </row>
    <row r="157" spans="1:1">
      <c r="A157" s="380" t="s">
        <v>916</v>
      </c>
    </row>
    <row r="158" spans="1:1">
      <c r="A158" s="380" t="s">
        <v>917</v>
      </c>
    </row>
  </sheetData>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B36"/>
  <sheetViews>
    <sheetView tabSelected="1"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1030</v>
      </c>
    </row>
    <row r="9" spans="1:1">
      <c r="A9" s="380" t="s">
        <v>1040</v>
      </c>
    </row>
    <row r="10" spans="1:1">
      <c r="A10" s="380" t="s">
        <v>1041</v>
      </c>
    </row>
    <row r="11" spans="1:1">
      <c r="A11" s="380" t="s">
        <v>1042</v>
      </c>
    </row>
    <row r="12" spans="1:1">
      <c r="A12" s="380" t="s">
        <v>1043</v>
      </c>
    </row>
    <row r="13" spans="1:1">
      <c r="A13" s="380" t="s">
        <v>1044</v>
      </c>
    </row>
    <row r="14" spans="1:1" s="381" customFormat="1">
      <c r="A14" s="381" t="s">
        <v>1045</v>
      </c>
    </row>
    <row r="15" spans="1:1" s="381" customFormat="1">
      <c r="A15" s="381" t="s">
        <v>1046</v>
      </c>
    </row>
    <row r="16" spans="1:1" s="381" customFormat="1">
      <c r="A16" s="381" t="s">
        <v>676</v>
      </c>
    </row>
    <row r="17" spans="1:2" s="381" customFormat="1">
      <c r="A17" s="381" t="s">
        <v>702</v>
      </c>
    </row>
    <row r="18" spans="1:2" s="381" customFormat="1">
      <c r="A18" s="381"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1047</v>
      </c>
    </row>
    <row r="36" spans="1:2">
      <c r="A36" s="380" t="s">
        <v>1048</v>
      </c>
    </row>
  </sheetData>
  <phoneticPr fontId="3"/>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36"/>
  <sheetViews>
    <sheetView tabSelected="1"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1048</v>
      </c>
    </row>
    <row r="9" spans="1:1">
      <c r="A9" s="380" t="s">
        <v>1049</v>
      </c>
    </row>
    <row r="10" spans="1:1">
      <c r="A10" s="380" t="s">
        <v>1050</v>
      </c>
    </row>
    <row r="11" spans="1:1">
      <c r="A11" s="380" t="s">
        <v>1051</v>
      </c>
    </row>
    <row r="12" spans="1:1">
      <c r="A12" s="380" t="s">
        <v>1052</v>
      </c>
    </row>
    <row r="13" spans="1:1">
      <c r="A13" s="380" t="s">
        <v>1053</v>
      </c>
    </row>
    <row r="14" spans="1:1" s="381" customFormat="1">
      <c r="A14" s="381" t="s">
        <v>1054</v>
      </c>
    </row>
    <row r="15" spans="1:1" s="381" customFormat="1">
      <c r="A15" s="381" t="s">
        <v>1055</v>
      </c>
    </row>
    <row r="16" spans="1:1" s="381" customFormat="1">
      <c r="A16" s="381" t="s">
        <v>676</v>
      </c>
    </row>
    <row r="17" spans="1:2" s="381" customFormat="1">
      <c r="A17" s="381" t="s">
        <v>703</v>
      </c>
    </row>
    <row r="18" spans="1:2" s="381" customFormat="1">
      <c r="A18" s="381" t="s">
        <v>701</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1056</v>
      </c>
    </row>
    <row r="36" spans="1:2">
      <c r="A36" s="380" t="s">
        <v>1057</v>
      </c>
    </row>
  </sheetData>
  <phoneticPr fontId="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158"/>
  <sheetViews>
    <sheetView tabSelected="1" topLeftCell="A46"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1058</v>
      </c>
    </row>
    <row r="6" spans="1:1">
      <c r="A6" s="380" t="s">
        <v>675</v>
      </c>
    </row>
    <row r="8" spans="1:1">
      <c r="A8" s="380" t="s">
        <v>1057</v>
      </c>
    </row>
    <row r="9" spans="1:1">
      <c r="A9" s="380" t="s">
        <v>1059</v>
      </c>
    </row>
    <row r="10" spans="1:1">
      <c r="A10" s="380" t="s">
        <v>1060</v>
      </c>
    </row>
    <row r="11" spans="1:1">
      <c r="A11" s="380" t="s">
        <v>1061</v>
      </c>
    </row>
    <row r="12" spans="1:1">
      <c r="A12" s="380" t="s">
        <v>1062</v>
      </c>
    </row>
    <row r="13" spans="1:1">
      <c r="A13" s="380" t="s">
        <v>1063</v>
      </c>
    </row>
    <row r="14" spans="1:1">
      <c r="A14" s="380" t="s">
        <v>1064</v>
      </c>
    </row>
    <row r="15" spans="1:1">
      <c r="A15" s="380" t="s">
        <v>1065</v>
      </c>
    </row>
    <row r="16" spans="1:1">
      <c r="A16" s="380" t="s">
        <v>1066</v>
      </c>
    </row>
    <row r="17" spans="1:1">
      <c r="A17" s="380" t="s">
        <v>1067</v>
      </c>
    </row>
    <row r="18" spans="1:1">
      <c r="A18" s="380" t="s">
        <v>1068</v>
      </c>
    </row>
    <row r="19" spans="1:1">
      <c r="A19" s="380" t="s">
        <v>1069</v>
      </c>
    </row>
    <row r="20" spans="1:1">
      <c r="A20" s="380" t="s">
        <v>1070</v>
      </c>
    </row>
    <row r="21" spans="1:1">
      <c r="A21" s="380" t="s">
        <v>1071</v>
      </c>
    </row>
    <row r="22" spans="1:1">
      <c r="A22" s="380" t="s">
        <v>1072</v>
      </c>
    </row>
    <row r="23" spans="1:1">
      <c r="A23" s="380" t="s">
        <v>1073</v>
      </c>
    </row>
    <row r="24" spans="1:1">
      <c r="A24" s="380" t="s">
        <v>1074</v>
      </c>
    </row>
    <row r="25" spans="1:1">
      <c r="A25" s="380" t="s">
        <v>1075</v>
      </c>
    </row>
    <row r="26" spans="1:1">
      <c r="A26" s="380" t="s">
        <v>1076</v>
      </c>
    </row>
    <row r="27" spans="1:1">
      <c r="A27" s="380" t="s">
        <v>1077</v>
      </c>
    </row>
    <row r="28" spans="1:1">
      <c r="A28" s="380" t="s">
        <v>1078</v>
      </c>
    </row>
    <row r="29" spans="1:1">
      <c r="A29" s="380" t="s">
        <v>1079</v>
      </c>
    </row>
    <row r="30" spans="1:1">
      <c r="A30" s="380" t="s">
        <v>1080</v>
      </c>
    </row>
    <row r="31" spans="1:1">
      <c r="A31" s="380" t="s">
        <v>1081</v>
      </c>
    </row>
    <row r="32" spans="1:1">
      <c r="A32" s="380" t="s">
        <v>1082</v>
      </c>
    </row>
    <row r="33" spans="1:1">
      <c r="A33" s="380" t="s">
        <v>1083</v>
      </c>
    </row>
    <row r="34" spans="1:1">
      <c r="A34" s="380" t="s">
        <v>1084</v>
      </c>
    </row>
    <row r="35" spans="1:1">
      <c r="A35" s="380" t="s">
        <v>1085</v>
      </c>
    </row>
    <row r="36" spans="1:1">
      <c r="A36" s="380" t="s">
        <v>1086</v>
      </c>
    </row>
    <row r="37" spans="1:1">
      <c r="A37" s="380" t="s">
        <v>1087</v>
      </c>
    </row>
    <row r="38" spans="1:1">
      <c r="A38" s="380" t="s">
        <v>1088</v>
      </c>
    </row>
    <row r="39" spans="1:1">
      <c r="A39" s="380" t="s">
        <v>1089</v>
      </c>
    </row>
    <row r="40" spans="1:1">
      <c r="A40" s="380" t="s">
        <v>1090</v>
      </c>
    </row>
    <row r="41" spans="1:1">
      <c r="A41" s="380" t="s">
        <v>1091</v>
      </c>
    </row>
    <row r="42" spans="1:1">
      <c r="A42" s="380" t="s">
        <v>1092</v>
      </c>
    </row>
    <row r="43" spans="1:1">
      <c r="A43" s="380" t="s">
        <v>1093</v>
      </c>
    </row>
    <row r="44" spans="1:1">
      <c r="A44" s="380" t="s">
        <v>1094</v>
      </c>
    </row>
    <row r="45" spans="1:1">
      <c r="A45" s="380" t="s">
        <v>1095</v>
      </c>
    </row>
    <row r="46" spans="1:1">
      <c r="A46" s="380" t="s">
        <v>1096</v>
      </c>
    </row>
    <row r="47" spans="1:1">
      <c r="A47" s="380" t="s">
        <v>1097</v>
      </c>
    </row>
    <row r="48" spans="1:1">
      <c r="A48" s="380" t="s">
        <v>1098</v>
      </c>
    </row>
    <row r="49" spans="1:1">
      <c r="A49" s="380" t="s">
        <v>1099</v>
      </c>
    </row>
    <row r="50" spans="1:1">
      <c r="A50" s="380" t="s">
        <v>1100</v>
      </c>
    </row>
    <row r="51" spans="1:1">
      <c r="A51" s="380" t="s">
        <v>1101</v>
      </c>
    </row>
    <row r="52" spans="1:1">
      <c r="A52" s="380" t="s">
        <v>1102</v>
      </c>
    </row>
    <row r="53" spans="1:1" s="381" customFormat="1">
      <c r="A53" s="381" t="s">
        <v>1103</v>
      </c>
    </row>
    <row r="54" spans="1:1">
      <c r="A54" s="380" t="s">
        <v>1104</v>
      </c>
    </row>
    <row r="55" spans="1:1">
      <c r="A55" s="380" t="s">
        <v>1105</v>
      </c>
    </row>
    <row r="56" spans="1:1">
      <c r="A56" s="380" t="s">
        <v>1106</v>
      </c>
    </row>
    <row r="57" spans="1:1">
      <c r="A57" s="380" t="s">
        <v>1107</v>
      </c>
    </row>
    <row r="58" spans="1:1">
      <c r="A58" s="380" t="s">
        <v>1108</v>
      </c>
    </row>
    <row r="59" spans="1:1">
      <c r="A59" s="380" t="s">
        <v>1109</v>
      </c>
    </row>
    <row r="60" spans="1:1">
      <c r="A60" s="380" t="s">
        <v>1110</v>
      </c>
    </row>
    <row r="61" spans="1:1">
      <c r="A61" s="380" t="s">
        <v>1111</v>
      </c>
    </row>
    <row r="62" spans="1:1">
      <c r="A62" s="380" t="s">
        <v>1112</v>
      </c>
    </row>
    <row r="63" spans="1:1">
      <c r="A63" s="380" t="s">
        <v>1113</v>
      </c>
    </row>
    <row r="64" spans="1:1">
      <c r="A64" s="380" t="s">
        <v>1114</v>
      </c>
    </row>
    <row r="65" spans="1:1">
      <c r="A65" s="380" t="s">
        <v>1115</v>
      </c>
    </row>
    <row r="66" spans="1:1">
      <c r="A66" s="380" t="s">
        <v>1116</v>
      </c>
    </row>
    <row r="67" spans="1:1">
      <c r="A67" s="380" t="s">
        <v>1117</v>
      </c>
    </row>
    <row r="68" spans="1:1">
      <c r="A68" s="380" t="s">
        <v>1118</v>
      </c>
    </row>
    <row r="69" spans="1:1">
      <c r="A69" s="380" t="s">
        <v>1119</v>
      </c>
    </row>
    <row r="70" spans="1:1">
      <c r="A70" s="380" t="s">
        <v>1120</v>
      </c>
    </row>
    <row r="71" spans="1:1">
      <c r="A71" s="380" t="s">
        <v>1121</v>
      </c>
    </row>
    <row r="72" spans="1:1">
      <c r="A72" s="380" t="s">
        <v>1122</v>
      </c>
    </row>
    <row r="73" spans="1:1">
      <c r="A73" s="380" t="s">
        <v>1123</v>
      </c>
    </row>
    <row r="74" spans="1:1">
      <c r="A74" s="380" t="s">
        <v>1124</v>
      </c>
    </row>
    <row r="75" spans="1:1">
      <c r="A75" s="380" t="s">
        <v>1125</v>
      </c>
    </row>
    <row r="76" spans="1:1">
      <c r="A76" s="380" t="s">
        <v>1126</v>
      </c>
    </row>
    <row r="77" spans="1:1">
      <c r="A77" s="380" t="s">
        <v>1127</v>
      </c>
    </row>
    <row r="78" spans="1:1">
      <c r="A78" s="380" t="s">
        <v>1128</v>
      </c>
    </row>
    <row r="79" spans="1:1">
      <c r="A79" s="380" t="s">
        <v>1129</v>
      </c>
    </row>
    <row r="80" spans="1:1">
      <c r="A80" s="380" t="s">
        <v>1130</v>
      </c>
    </row>
    <row r="81" spans="1:1">
      <c r="A81" s="380" t="s">
        <v>1131</v>
      </c>
    </row>
    <row r="82" spans="1:1">
      <c r="A82" s="380" t="s">
        <v>1132</v>
      </c>
    </row>
    <row r="83" spans="1:1">
      <c r="A83" s="380" t="s">
        <v>1133</v>
      </c>
    </row>
    <row r="84" spans="1:1">
      <c r="A84" s="380" t="s">
        <v>1134</v>
      </c>
    </row>
    <row r="85" spans="1:1">
      <c r="A85" s="380" t="s">
        <v>1135</v>
      </c>
    </row>
    <row r="86" spans="1:1">
      <c r="A86" s="380" t="s">
        <v>1136</v>
      </c>
    </row>
    <row r="87" spans="1:1">
      <c r="A87" s="380" t="s">
        <v>1137</v>
      </c>
    </row>
    <row r="88" spans="1:1">
      <c r="A88" s="380" t="s">
        <v>1138</v>
      </c>
    </row>
    <row r="89" spans="1:1">
      <c r="A89" s="380" t="s">
        <v>1139</v>
      </c>
    </row>
    <row r="90" spans="1:1">
      <c r="A90" s="380" t="s">
        <v>1140</v>
      </c>
    </row>
    <row r="91" spans="1:1">
      <c r="A91" s="380" t="s">
        <v>1141</v>
      </c>
    </row>
    <row r="92" spans="1:1">
      <c r="A92" s="380" t="s">
        <v>1142</v>
      </c>
    </row>
    <row r="93" spans="1:1">
      <c r="A93" s="380" t="s">
        <v>1143</v>
      </c>
    </row>
    <row r="94" spans="1:1">
      <c r="A94" s="380" t="s">
        <v>1144</v>
      </c>
    </row>
    <row r="95" spans="1:1">
      <c r="A95" s="380" t="s">
        <v>1145</v>
      </c>
    </row>
    <row r="96" spans="1:1">
      <c r="A96" s="380" t="s">
        <v>1146</v>
      </c>
    </row>
    <row r="97" spans="1:1">
      <c r="A97" s="380" t="s">
        <v>1147</v>
      </c>
    </row>
    <row r="98" spans="1:1">
      <c r="A98" s="380" t="s">
        <v>1148</v>
      </c>
    </row>
    <row r="99" spans="1:1">
      <c r="A99" s="380" t="s">
        <v>1149</v>
      </c>
    </row>
    <row r="100" spans="1:1">
      <c r="A100" s="380" t="s">
        <v>1150</v>
      </c>
    </row>
    <row r="101" spans="1:1">
      <c r="A101" s="380" t="s">
        <v>1151</v>
      </c>
    </row>
    <row r="103" spans="1:1">
      <c r="A103" s="380" t="s">
        <v>1152</v>
      </c>
    </row>
    <row r="104" spans="1:1">
      <c r="A104" s="380" t="s">
        <v>1032</v>
      </c>
    </row>
    <row r="105" spans="1:1">
      <c r="A105" s="380" t="s">
        <v>1153</v>
      </c>
    </row>
    <row r="106" spans="1:1">
      <c r="A106" s="380" t="s">
        <v>865</v>
      </c>
    </row>
    <row r="107" spans="1:1">
      <c r="A107" s="380" t="s">
        <v>1154</v>
      </c>
    </row>
    <row r="108" spans="1:1">
      <c r="A108" s="380" t="s">
        <v>867</v>
      </c>
    </row>
    <row r="109" spans="1:1">
      <c r="A109" s="380" t="s">
        <v>1155</v>
      </c>
    </row>
    <row r="110" spans="1:1">
      <c r="A110" s="380" t="s">
        <v>869</v>
      </c>
    </row>
    <row r="111" spans="1:1">
      <c r="A111" s="380" t="s">
        <v>870</v>
      </c>
    </row>
    <row r="112" spans="1:1">
      <c r="A112" s="380" t="s">
        <v>871</v>
      </c>
    </row>
    <row r="113" spans="1:1">
      <c r="A113" s="380" t="s">
        <v>872</v>
      </c>
    </row>
    <row r="114" spans="1:1">
      <c r="A114" s="380" t="s">
        <v>873</v>
      </c>
    </row>
    <row r="115" spans="1:1">
      <c r="A115" s="380" t="s">
        <v>874</v>
      </c>
    </row>
    <row r="116" spans="1:1">
      <c r="A116" s="380" t="s">
        <v>875</v>
      </c>
    </row>
    <row r="117" spans="1:1">
      <c r="A117" s="380" t="s">
        <v>876</v>
      </c>
    </row>
    <row r="118" spans="1:1">
      <c r="A118" s="380" t="s">
        <v>877</v>
      </c>
    </row>
    <row r="119" spans="1:1">
      <c r="A119" s="380" t="s">
        <v>878</v>
      </c>
    </row>
    <row r="120" spans="1:1">
      <c r="A120" s="380" t="s">
        <v>879</v>
      </c>
    </row>
    <row r="121" spans="1:1">
      <c r="A121" s="380" t="s">
        <v>880</v>
      </c>
    </row>
    <row r="122" spans="1:1">
      <c r="A122" s="380" t="s">
        <v>881</v>
      </c>
    </row>
    <row r="123" spans="1:1">
      <c r="A123" s="380" t="s">
        <v>882</v>
      </c>
    </row>
    <row r="124" spans="1:1">
      <c r="A124" s="380" t="s">
        <v>883</v>
      </c>
    </row>
    <row r="125" spans="1:1">
      <c r="A125" s="380" t="s">
        <v>884</v>
      </c>
    </row>
    <row r="126" spans="1:1">
      <c r="A126" s="380" t="s">
        <v>885</v>
      </c>
    </row>
    <row r="127" spans="1:1">
      <c r="A127" s="380" t="s">
        <v>886</v>
      </c>
    </row>
    <row r="128" spans="1:1">
      <c r="A128" s="380" t="s">
        <v>887</v>
      </c>
    </row>
    <row r="129" spans="1:1">
      <c r="A129" s="380" t="s">
        <v>888</v>
      </c>
    </row>
    <row r="130" spans="1:1">
      <c r="A130" s="380" t="s">
        <v>889</v>
      </c>
    </row>
    <row r="131" spans="1:1">
      <c r="A131" s="380" t="s">
        <v>890</v>
      </c>
    </row>
    <row r="132" spans="1:1">
      <c r="A132" s="380" t="s">
        <v>891</v>
      </c>
    </row>
    <row r="133" spans="1:1">
      <c r="A133" s="380" t="s">
        <v>892</v>
      </c>
    </row>
    <row r="134" spans="1:1">
      <c r="A134" s="380" t="s">
        <v>893</v>
      </c>
    </row>
    <row r="135" spans="1:1">
      <c r="A135" s="380" t="s">
        <v>894</v>
      </c>
    </row>
    <row r="136" spans="1:1">
      <c r="A136" s="380" t="s">
        <v>895</v>
      </c>
    </row>
    <row r="137" spans="1:1">
      <c r="A137" s="380" t="s">
        <v>896</v>
      </c>
    </row>
    <row r="138" spans="1:1">
      <c r="A138" s="380" t="s">
        <v>897</v>
      </c>
    </row>
    <row r="139" spans="1:1">
      <c r="A139" s="380" t="s">
        <v>898</v>
      </c>
    </row>
    <row r="140" spans="1:1">
      <c r="A140" s="380" t="s">
        <v>899</v>
      </c>
    </row>
    <row r="141" spans="1:1">
      <c r="A141" s="380" t="s">
        <v>1156</v>
      </c>
    </row>
    <row r="142" spans="1:1">
      <c r="A142" s="380" t="s">
        <v>901</v>
      </c>
    </row>
    <row r="143" spans="1:1">
      <c r="A143" s="380" t="s">
        <v>1157</v>
      </c>
    </row>
    <row r="144" spans="1:1">
      <c r="A144" s="380" t="s">
        <v>903</v>
      </c>
    </row>
    <row r="145" spans="1:1">
      <c r="A145" s="380" t="s">
        <v>1038</v>
      </c>
    </row>
    <row r="146" spans="1:1">
      <c r="A146" s="380" t="s">
        <v>905</v>
      </c>
    </row>
    <row r="147" spans="1:1" s="381" customFormat="1">
      <c r="A147" s="381" t="s">
        <v>1158</v>
      </c>
    </row>
    <row r="148" spans="1:1">
      <c r="A148" s="380" t="s">
        <v>907</v>
      </c>
    </row>
    <row r="149" spans="1:1">
      <c r="A149" s="380" t="s">
        <v>908</v>
      </c>
    </row>
    <row r="150" spans="1:1">
      <c r="A150" s="380" t="s">
        <v>909</v>
      </c>
    </row>
    <row r="151" spans="1:1">
      <c r="A151" s="380" t="s">
        <v>910</v>
      </c>
    </row>
    <row r="152" spans="1:1">
      <c r="A152" s="380" t="s">
        <v>911</v>
      </c>
    </row>
    <row r="153" spans="1:1">
      <c r="A153" s="380" t="s">
        <v>912</v>
      </c>
    </row>
    <row r="154" spans="1:1">
      <c r="A154" s="380" t="s">
        <v>913</v>
      </c>
    </row>
    <row r="155" spans="1:1">
      <c r="A155" s="380" t="s">
        <v>914</v>
      </c>
    </row>
    <row r="156" spans="1:1">
      <c r="A156" s="380" t="s">
        <v>915</v>
      </c>
    </row>
    <row r="157" spans="1:1">
      <c r="A157" s="380" t="s">
        <v>916</v>
      </c>
    </row>
    <row r="158" spans="1:1">
      <c r="A158" s="380" t="s">
        <v>917</v>
      </c>
    </row>
  </sheetData>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B36"/>
  <sheetViews>
    <sheetView tabSelected="1" topLeftCell="A10"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1151</v>
      </c>
    </row>
    <row r="9" spans="1:1">
      <c r="A9" s="380" t="s">
        <v>1159</v>
      </c>
    </row>
    <row r="10" spans="1:1">
      <c r="A10" s="380" t="s">
        <v>1160</v>
      </c>
    </row>
    <row r="11" spans="1:1">
      <c r="A11" s="380" t="s">
        <v>1161</v>
      </c>
    </row>
    <row r="12" spans="1:1">
      <c r="A12" s="380" t="s">
        <v>1162</v>
      </c>
    </row>
    <row r="13" spans="1:1">
      <c r="A13" s="380" t="s">
        <v>1163</v>
      </c>
    </row>
    <row r="14" spans="1:1" s="381" customFormat="1">
      <c r="A14" s="381" t="s">
        <v>1164</v>
      </c>
    </row>
    <row r="15" spans="1:1" s="381" customFormat="1">
      <c r="A15" s="381" t="s">
        <v>1165</v>
      </c>
    </row>
    <row r="16" spans="1:1" s="381" customFormat="1">
      <c r="A16" s="381" t="s">
        <v>676</v>
      </c>
    </row>
    <row r="17" spans="1:2" s="381" customFormat="1">
      <c r="A17" s="381" t="s">
        <v>704</v>
      </c>
    </row>
    <row r="18" spans="1:2" s="381" customFormat="1">
      <c r="A18" s="381"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1166</v>
      </c>
    </row>
    <row r="36" spans="1:2">
      <c r="A36" s="380" t="s">
        <v>1167</v>
      </c>
    </row>
  </sheetData>
  <phoneticPr fontId="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B36"/>
  <sheetViews>
    <sheetView tabSelected="1"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1167</v>
      </c>
    </row>
    <row r="9" spans="1:1">
      <c r="A9" s="380" t="s">
        <v>1168</v>
      </c>
    </row>
    <row r="10" spans="1:1">
      <c r="A10" s="380" t="s">
        <v>1169</v>
      </c>
    </row>
    <row r="11" spans="1:1">
      <c r="A11" s="380" t="s">
        <v>1170</v>
      </c>
    </row>
    <row r="12" spans="1:1">
      <c r="A12" s="380" t="s">
        <v>1171</v>
      </c>
    </row>
    <row r="13" spans="1:1">
      <c r="A13" s="380" t="s">
        <v>1172</v>
      </c>
    </row>
    <row r="14" spans="1:1">
      <c r="A14" s="380" t="s">
        <v>1173</v>
      </c>
    </row>
    <row r="15" spans="1:1">
      <c r="A15" s="380" t="s">
        <v>1174</v>
      </c>
    </row>
    <row r="16" spans="1:1">
      <c r="A16" s="380" t="s">
        <v>676</v>
      </c>
    </row>
    <row r="17" spans="1:2">
      <c r="A17" s="380" t="s">
        <v>705</v>
      </c>
    </row>
    <row r="18" spans="1:2">
      <c r="A18" s="380" t="s">
        <v>701</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1175</v>
      </c>
    </row>
    <row r="36" spans="1:2">
      <c r="A36" s="380" t="s">
        <v>1176</v>
      </c>
    </row>
  </sheetData>
  <phoneticPr fontId="3"/>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A158"/>
  <sheetViews>
    <sheetView tabSelected="1" topLeftCell="A139"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1177</v>
      </c>
    </row>
    <row r="6" spans="1:1">
      <c r="A6" s="380" t="s">
        <v>675</v>
      </c>
    </row>
    <row r="8" spans="1:1">
      <c r="A8" s="380" t="s">
        <v>1176</v>
      </c>
    </row>
    <row r="9" spans="1:1">
      <c r="A9" s="380" t="s">
        <v>1178</v>
      </c>
    </row>
    <row r="10" spans="1:1">
      <c r="A10" s="380" t="s">
        <v>1179</v>
      </c>
    </row>
    <row r="11" spans="1:1">
      <c r="A11" s="380" t="s">
        <v>1180</v>
      </c>
    </row>
    <row r="12" spans="1:1">
      <c r="A12" s="380" t="s">
        <v>1181</v>
      </c>
    </row>
    <row r="13" spans="1:1">
      <c r="A13" s="380" t="s">
        <v>1182</v>
      </c>
    </row>
    <row r="14" spans="1:1">
      <c r="A14" s="380" t="s">
        <v>1183</v>
      </c>
    </row>
    <row r="15" spans="1:1">
      <c r="A15" s="380" t="s">
        <v>1184</v>
      </c>
    </row>
    <row r="16" spans="1:1">
      <c r="A16" s="380" t="s">
        <v>1185</v>
      </c>
    </row>
    <row r="17" spans="1:1">
      <c r="A17" s="380" t="s">
        <v>1186</v>
      </c>
    </row>
    <row r="18" spans="1:1">
      <c r="A18" s="380" t="s">
        <v>1187</v>
      </c>
    </row>
    <row r="19" spans="1:1">
      <c r="A19" s="380" t="s">
        <v>1188</v>
      </c>
    </row>
    <row r="20" spans="1:1">
      <c r="A20" s="380" t="s">
        <v>1189</v>
      </c>
    </row>
    <row r="21" spans="1:1">
      <c r="A21" s="380" t="s">
        <v>1190</v>
      </c>
    </row>
    <row r="22" spans="1:1">
      <c r="A22" s="380" t="s">
        <v>1191</v>
      </c>
    </row>
    <row r="23" spans="1:1">
      <c r="A23" s="380" t="s">
        <v>1192</v>
      </c>
    </row>
    <row r="24" spans="1:1">
      <c r="A24" s="380" t="s">
        <v>1193</v>
      </c>
    </row>
    <row r="25" spans="1:1">
      <c r="A25" s="380" t="s">
        <v>1194</v>
      </c>
    </row>
    <row r="26" spans="1:1">
      <c r="A26" s="380" t="s">
        <v>1195</v>
      </c>
    </row>
    <row r="27" spans="1:1">
      <c r="A27" s="380" t="s">
        <v>1196</v>
      </c>
    </row>
    <row r="28" spans="1:1">
      <c r="A28" s="380" t="s">
        <v>1197</v>
      </c>
    </row>
    <row r="29" spans="1:1">
      <c r="A29" s="380" t="s">
        <v>1198</v>
      </c>
    </row>
    <row r="30" spans="1:1">
      <c r="A30" s="380" t="s">
        <v>1199</v>
      </c>
    </row>
    <row r="31" spans="1:1">
      <c r="A31" s="380" t="s">
        <v>1200</v>
      </c>
    </row>
    <row r="32" spans="1:1">
      <c r="A32" s="380" t="s">
        <v>1201</v>
      </c>
    </row>
    <row r="33" spans="1:1">
      <c r="A33" s="380" t="s">
        <v>1202</v>
      </c>
    </row>
    <row r="34" spans="1:1">
      <c r="A34" s="380" t="s">
        <v>1203</v>
      </c>
    </row>
    <row r="35" spans="1:1">
      <c r="A35" s="380" t="s">
        <v>1204</v>
      </c>
    </row>
    <row r="36" spans="1:1">
      <c r="A36" s="380" t="s">
        <v>1205</v>
      </c>
    </row>
    <row r="37" spans="1:1">
      <c r="A37" s="380" t="s">
        <v>1206</v>
      </c>
    </row>
    <row r="38" spans="1:1">
      <c r="A38" s="380" t="s">
        <v>1207</v>
      </c>
    </row>
    <row r="39" spans="1:1">
      <c r="A39" s="380" t="s">
        <v>1208</v>
      </c>
    </row>
    <row r="40" spans="1:1">
      <c r="A40" s="380" t="s">
        <v>1209</v>
      </c>
    </row>
    <row r="41" spans="1:1">
      <c r="A41" s="380" t="s">
        <v>1210</v>
      </c>
    </row>
    <row r="42" spans="1:1">
      <c r="A42" s="380" t="s">
        <v>1211</v>
      </c>
    </row>
    <row r="43" spans="1:1">
      <c r="A43" s="380" t="s">
        <v>1212</v>
      </c>
    </row>
    <row r="44" spans="1:1">
      <c r="A44" s="380" t="s">
        <v>1213</v>
      </c>
    </row>
    <row r="45" spans="1:1">
      <c r="A45" s="380" t="s">
        <v>1214</v>
      </c>
    </row>
    <row r="46" spans="1:1">
      <c r="A46" s="380" t="s">
        <v>1215</v>
      </c>
    </row>
    <row r="47" spans="1:1">
      <c r="A47" s="380" t="s">
        <v>1216</v>
      </c>
    </row>
    <row r="48" spans="1:1">
      <c r="A48" s="380" t="s">
        <v>1217</v>
      </c>
    </row>
    <row r="49" spans="1:1">
      <c r="A49" s="380" t="s">
        <v>1218</v>
      </c>
    </row>
    <row r="50" spans="1:1">
      <c r="A50" s="380" t="s">
        <v>1219</v>
      </c>
    </row>
    <row r="51" spans="1:1">
      <c r="A51" s="380" t="s">
        <v>1220</v>
      </c>
    </row>
    <row r="52" spans="1:1">
      <c r="A52" s="380" t="s">
        <v>1221</v>
      </c>
    </row>
    <row r="53" spans="1:1">
      <c r="A53" s="380" t="s">
        <v>1222</v>
      </c>
    </row>
    <row r="54" spans="1:1" s="381" customFormat="1">
      <c r="A54" s="381" t="s">
        <v>1223</v>
      </c>
    </row>
    <row r="55" spans="1:1">
      <c r="A55" s="380" t="s">
        <v>1224</v>
      </c>
    </row>
    <row r="56" spans="1:1">
      <c r="A56" s="380" t="s">
        <v>1225</v>
      </c>
    </row>
    <row r="57" spans="1:1">
      <c r="A57" s="380" t="s">
        <v>1226</v>
      </c>
    </row>
    <row r="58" spans="1:1">
      <c r="A58" s="380" t="s">
        <v>1227</v>
      </c>
    </row>
    <row r="59" spans="1:1">
      <c r="A59" s="380" t="s">
        <v>1228</v>
      </c>
    </row>
    <row r="60" spans="1:1">
      <c r="A60" s="380" t="s">
        <v>1229</v>
      </c>
    </row>
    <row r="61" spans="1:1">
      <c r="A61" s="380" t="s">
        <v>1230</v>
      </c>
    </row>
    <row r="62" spans="1:1">
      <c r="A62" s="380" t="s">
        <v>1231</v>
      </c>
    </row>
    <row r="63" spans="1:1">
      <c r="A63" s="380" t="s">
        <v>1232</v>
      </c>
    </row>
    <row r="64" spans="1:1">
      <c r="A64" s="380" t="s">
        <v>1233</v>
      </c>
    </row>
    <row r="65" spans="1:1">
      <c r="A65" s="380" t="s">
        <v>1234</v>
      </c>
    </row>
    <row r="66" spans="1:1">
      <c r="A66" s="380" t="s">
        <v>1235</v>
      </c>
    </row>
    <row r="67" spans="1:1">
      <c r="A67" s="380" t="s">
        <v>1236</v>
      </c>
    </row>
    <row r="68" spans="1:1">
      <c r="A68" s="380" t="s">
        <v>1237</v>
      </c>
    </row>
    <row r="69" spans="1:1">
      <c r="A69" s="380" t="s">
        <v>1238</v>
      </c>
    </row>
    <row r="70" spans="1:1">
      <c r="A70" s="380" t="s">
        <v>1239</v>
      </c>
    </row>
    <row r="71" spans="1:1">
      <c r="A71" s="380" t="s">
        <v>1240</v>
      </c>
    </row>
    <row r="72" spans="1:1">
      <c r="A72" s="380" t="s">
        <v>1241</v>
      </c>
    </row>
    <row r="73" spans="1:1">
      <c r="A73" s="380" t="s">
        <v>1242</v>
      </c>
    </row>
    <row r="74" spans="1:1">
      <c r="A74" s="380" t="s">
        <v>1243</v>
      </c>
    </row>
    <row r="75" spans="1:1">
      <c r="A75" s="380" t="s">
        <v>1244</v>
      </c>
    </row>
    <row r="76" spans="1:1">
      <c r="A76" s="380" t="s">
        <v>1245</v>
      </c>
    </row>
    <row r="77" spans="1:1">
      <c r="A77" s="380" t="s">
        <v>1246</v>
      </c>
    </row>
    <row r="78" spans="1:1">
      <c r="A78" s="380" t="s">
        <v>1247</v>
      </c>
    </row>
    <row r="79" spans="1:1">
      <c r="A79" s="380" t="s">
        <v>1248</v>
      </c>
    </row>
    <row r="80" spans="1:1">
      <c r="A80" s="380" t="s">
        <v>1249</v>
      </c>
    </row>
    <row r="81" spans="1:1">
      <c r="A81" s="380" t="s">
        <v>1250</v>
      </c>
    </row>
    <row r="82" spans="1:1">
      <c r="A82" s="380" t="s">
        <v>1251</v>
      </c>
    </row>
    <row r="83" spans="1:1">
      <c r="A83" s="380" t="s">
        <v>1252</v>
      </c>
    </row>
    <row r="84" spans="1:1">
      <c r="A84" s="380" t="s">
        <v>1253</v>
      </c>
    </row>
    <row r="85" spans="1:1">
      <c r="A85" s="380" t="s">
        <v>1254</v>
      </c>
    </row>
    <row r="86" spans="1:1">
      <c r="A86" s="380" t="s">
        <v>1255</v>
      </c>
    </row>
    <row r="87" spans="1:1">
      <c r="A87" s="380" t="s">
        <v>1256</v>
      </c>
    </row>
    <row r="88" spans="1:1">
      <c r="A88" s="380" t="s">
        <v>1257</v>
      </c>
    </row>
    <row r="89" spans="1:1">
      <c r="A89" s="380" t="s">
        <v>1258</v>
      </c>
    </row>
    <row r="90" spans="1:1">
      <c r="A90" s="380" t="s">
        <v>1259</v>
      </c>
    </row>
    <row r="91" spans="1:1">
      <c r="A91" s="380" t="s">
        <v>1260</v>
      </c>
    </row>
    <row r="92" spans="1:1">
      <c r="A92" s="380" t="s">
        <v>1261</v>
      </c>
    </row>
    <row r="93" spans="1:1">
      <c r="A93" s="380" t="s">
        <v>1262</v>
      </c>
    </row>
    <row r="94" spans="1:1">
      <c r="A94" s="380" t="s">
        <v>1263</v>
      </c>
    </row>
    <row r="95" spans="1:1">
      <c r="A95" s="380" t="s">
        <v>1264</v>
      </c>
    </row>
    <row r="96" spans="1:1">
      <c r="A96" s="380" t="s">
        <v>1265</v>
      </c>
    </row>
    <row r="97" spans="1:1">
      <c r="A97" s="380" t="s">
        <v>1266</v>
      </c>
    </row>
    <row r="98" spans="1:1">
      <c r="A98" s="380" t="s">
        <v>1267</v>
      </c>
    </row>
    <row r="99" spans="1:1">
      <c r="A99" s="380" t="s">
        <v>1268</v>
      </c>
    </row>
    <row r="100" spans="1:1">
      <c r="A100" s="380" t="s">
        <v>1269</v>
      </c>
    </row>
    <row r="101" spans="1:1">
      <c r="A101" s="380" t="s">
        <v>1270</v>
      </c>
    </row>
    <row r="103" spans="1:1">
      <c r="A103" s="380" t="s">
        <v>1271</v>
      </c>
    </row>
    <row r="104" spans="1:1">
      <c r="A104" s="380" t="s">
        <v>863</v>
      </c>
    </row>
    <row r="105" spans="1:1">
      <c r="A105" s="380" t="s">
        <v>1272</v>
      </c>
    </row>
    <row r="106" spans="1:1">
      <c r="A106" s="380" t="s">
        <v>865</v>
      </c>
    </row>
    <row r="107" spans="1:1">
      <c r="A107" s="380" t="s">
        <v>1273</v>
      </c>
    </row>
    <row r="108" spans="1:1">
      <c r="A108" s="380" t="s">
        <v>867</v>
      </c>
    </row>
    <row r="109" spans="1:1">
      <c r="A109" s="380" t="s">
        <v>1274</v>
      </c>
    </row>
    <row r="110" spans="1:1">
      <c r="A110" s="380" t="s">
        <v>869</v>
      </c>
    </row>
    <row r="111" spans="1:1">
      <c r="A111" s="380" t="s">
        <v>870</v>
      </c>
    </row>
    <row r="112" spans="1:1">
      <c r="A112" s="380" t="s">
        <v>871</v>
      </c>
    </row>
    <row r="113" spans="1:1">
      <c r="A113" s="380" t="s">
        <v>872</v>
      </c>
    </row>
    <row r="114" spans="1:1">
      <c r="A114" s="380" t="s">
        <v>873</v>
      </c>
    </row>
    <row r="115" spans="1:1">
      <c r="A115" s="380" t="s">
        <v>874</v>
      </c>
    </row>
    <row r="116" spans="1:1">
      <c r="A116" s="380" t="s">
        <v>875</v>
      </c>
    </row>
    <row r="117" spans="1:1">
      <c r="A117" s="380" t="s">
        <v>876</v>
      </c>
    </row>
    <row r="118" spans="1:1">
      <c r="A118" s="380" t="s">
        <v>877</v>
      </c>
    </row>
    <row r="119" spans="1:1">
      <c r="A119" s="380" t="s">
        <v>878</v>
      </c>
    </row>
    <row r="120" spans="1:1">
      <c r="A120" s="380" t="s">
        <v>879</v>
      </c>
    </row>
    <row r="121" spans="1:1">
      <c r="A121" s="380" t="s">
        <v>880</v>
      </c>
    </row>
    <row r="122" spans="1:1">
      <c r="A122" s="380" t="s">
        <v>881</v>
      </c>
    </row>
    <row r="123" spans="1:1">
      <c r="A123" s="380" t="s">
        <v>882</v>
      </c>
    </row>
    <row r="124" spans="1:1">
      <c r="A124" s="380" t="s">
        <v>883</v>
      </c>
    </row>
    <row r="125" spans="1:1">
      <c r="A125" s="380" t="s">
        <v>884</v>
      </c>
    </row>
    <row r="126" spans="1:1">
      <c r="A126" s="380" t="s">
        <v>885</v>
      </c>
    </row>
    <row r="127" spans="1:1">
      <c r="A127" s="380" t="s">
        <v>886</v>
      </c>
    </row>
    <row r="128" spans="1:1">
      <c r="A128" s="380" t="s">
        <v>887</v>
      </c>
    </row>
    <row r="129" spans="1:1">
      <c r="A129" s="380" t="s">
        <v>888</v>
      </c>
    </row>
    <row r="130" spans="1:1">
      <c r="A130" s="380" t="s">
        <v>889</v>
      </c>
    </row>
    <row r="131" spans="1:1">
      <c r="A131" s="380" t="s">
        <v>890</v>
      </c>
    </row>
    <row r="132" spans="1:1">
      <c r="A132" s="380" t="s">
        <v>891</v>
      </c>
    </row>
    <row r="133" spans="1:1">
      <c r="A133" s="380" t="s">
        <v>892</v>
      </c>
    </row>
    <row r="134" spans="1:1">
      <c r="A134" s="380" t="s">
        <v>893</v>
      </c>
    </row>
    <row r="135" spans="1:1">
      <c r="A135" s="380" t="s">
        <v>894</v>
      </c>
    </row>
    <row r="136" spans="1:1">
      <c r="A136" s="380" t="s">
        <v>895</v>
      </c>
    </row>
    <row r="137" spans="1:1">
      <c r="A137" s="380" t="s">
        <v>896</v>
      </c>
    </row>
    <row r="138" spans="1:1">
      <c r="A138" s="380" t="s">
        <v>897</v>
      </c>
    </row>
    <row r="139" spans="1:1">
      <c r="A139" s="380" t="s">
        <v>898</v>
      </c>
    </row>
    <row r="140" spans="1:1">
      <c r="A140" s="380" t="s">
        <v>899</v>
      </c>
    </row>
    <row r="141" spans="1:1">
      <c r="A141" s="380" t="s">
        <v>1275</v>
      </c>
    </row>
    <row r="142" spans="1:1">
      <c r="A142" s="380" t="s">
        <v>901</v>
      </c>
    </row>
    <row r="143" spans="1:1">
      <c r="A143" s="380" t="s">
        <v>1276</v>
      </c>
    </row>
    <row r="144" spans="1:1">
      <c r="A144" s="380" t="s">
        <v>903</v>
      </c>
    </row>
    <row r="145" spans="1:1">
      <c r="A145" s="380" t="s">
        <v>1038</v>
      </c>
    </row>
    <row r="146" spans="1:1">
      <c r="A146" s="380" t="s">
        <v>905</v>
      </c>
    </row>
    <row r="147" spans="1:1">
      <c r="A147" s="380" t="s">
        <v>906</v>
      </c>
    </row>
    <row r="148" spans="1:1" s="381" customFormat="1">
      <c r="A148" s="381" t="s">
        <v>1277</v>
      </c>
    </row>
    <row r="149" spans="1:1">
      <c r="A149" s="380" t="s">
        <v>908</v>
      </c>
    </row>
    <row r="150" spans="1:1">
      <c r="A150" s="380" t="s">
        <v>909</v>
      </c>
    </row>
    <row r="151" spans="1:1">
      <c r="A151" s="380" t="s">
        <v>910</v>
      </c>
    </row>
    <row r="152" spans="1:1">
      <c r="A152" s="380" t="s">
        <v>911</v>
      </c>
    </row>
    <row r="153" spans="1:1">
      <c r="A153" s="380" t="s">
        <v>912</v>
      </c>
    </row>
    <row r="154" spans="1:1">
      <c r="A154" s="380" t="s">
        <v>913</v>
      </c>
    </row>
    <row r="155" spans="1:1">
      <c r="A155" s="380" t="s">
        <v>914</v>
      </c>
    </row>
    <row r="156" spans="1:1">
      <c r="A156" s="380" t="s">
        <v>915</v>
      </c>
    </row>
    <row r="157" spans="1:1">
      <c r="A157" s="380" t="s">
        <v>916</v>
      </c>
    </row>
    <row r="158" spans="1:1">
      <c r="A158" s="380" t="s">
        <v>917</v>
      </c>
    </row>
  </sheetData>
  <phoneticPr fontId="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B36"/>
  <sheetViews>
    <sheetView tabSelected="1"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1270</v>
      </c>
    </row>
    <row r="9" spans="1:1">
      <c r="A9" s="380" t="s">
        <v>1278</v>
      </c>
    </row>
    <row r="10" spans="1:1">
      <c r="A10" s="380" t="s">
        <v>1279</v>
      </c>
    </row>
    <row r="11" spans="1:1">
      <c r="A11" s="380" t="s">
        <v>1280</v>
      </c>
    </row>
    <row r="12" spans="1:1">
      <c r="A12" s="380" t="s">
        <v>1281</v>
      </c>
    </row>
    <row r="13" spans="1:1">
      <c r="A13" s="380" t="s">
        <v>1282</v>
      </c>
    </row>
    <row r="14" spans="1:1" s="381" customFormat="1">
      <c r="A14" s="381" t="s">
        <v>1283</v>
      </c>
    </row>
    <row r="15" spans="1:1" s="381" customFormat="1">
      <c r="A15" s="381" t="s">
        <v>1284</v>
      </c>
    </row>
    <row r="16" spans="1:1" s="381" customFormat="1">
      <c r="A16" s="381" t="s">
        <v>676</v>
      </c>
    </row>
    <row r="17" spans="1:2" s="381" customFormat="1">
      <c r="A17" s="381" t="s">
        <v>706</v>
      </c>
    </row>
    <row r="18" spans="1:2" s="381" customFormat="1">
      <c r="A18" s="381"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1285</v>
      </c>
    </row>
    <row r="36" spans="1:2">
      <c r="A36" s="380" t="s">
        <v>1286</v>
      </c>
    </row>
  </sheetData>
  <phoneticPr fontId="3"/>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B36"/>
  <sheetViews>
    <sheetView tabSelected="1" topLeftCell="A7"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1286</v>
      </c>
    </row>
    <row r="9" spans="1:1">
      <c r="A9" s="380" t="s">
        <v>1287</v>
      </c>
    </row>
    <row r="10" spans="1:1">
      <c r="A10" s="380" t="s">
        <v>1288</v>
      </c>
    </row>
    <row r="11" spans="1:1">
      <c r="A11" s="380" t="s">
        <v>1289</v>
      </c>
    </row>
    <row r="12" spans="1:1">
      <c r="A12" s="380" t="s">
        <v>1290</v>
      </c>
    </row>
    <row r="13" spans="1:1">
      <c r="A13" s="380" t="s">
        <v>1291</v>
      </c>
    </row>
    <row r="14" spans="1:1" s="381" customFormat="1">
      <c r="A14" s="381" t="s">
        <v>1292</v>
      </c>
    </row>
    <row r="15" spans="1:1" s="381" customFormat="1">
      <c r="A15" s="381" t="s">
        <v>1293</v>
      </c>
    </row>
    <row r="16" spans="1:1" s="381" customFormat="1">
      <c r="A16" s="381" t="s">
        <v>676</v>
      </c>
    </row>
    <row r="17" spans="1:2" s="381" customFormat="1">
      <c r="A17" s="381" t="s">
        <v>707</v>
      </c>
    </row>
    <row r="18" spans="1:2" s="381" customFormat="1">
      <c r="A18" s="381" t="s">
        <v>701</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1294</v>
      </c>
    </row>
    <row r="36" spans="1:2">
      <c r="A36" s="380" t="s">
        <v>1295</v>
      </c>
    </row>
  </sheetData>
  <phoneticPr fontId="3"/>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A158"/>
  <sheetViews>
    <sheetView tabSelected="1" topLeftCell="A136"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1296</v>
      </c>
    </row>
    <row r="6" spans="1:1">
      <c r="A6" s="380" t="s">
        <v>675</v>
      </c>
    </row>
    <row r="8" spans="1:1">
      <c r="A8" s="380" t="s">
        <v>1295</v>
      </c>
    </row>
    <row r="9" spans="1:1">
      <c r="A9" s="380" t="s">
        <v>1297</v>
      </c>
    </row>
    <row r="10" spans="1:1">
      <c r="A10" s="380" t="s">
        <v>1298</v>
      </c>
    </row>
    <row r="11" spans="1:1">
      <c r="A11" s="380" t="s">
        <v>1299</v>
      </c>
    </row>
    <row r="12" spans="1:1">
      <c r="A12" s="380" t="s">
        <v>1300</v>
      </c>
    </row>
    <row r="13" spans="1:1">
      <c r="A13" s="380" t="s">
        <v>1301</v>
      </c>
    </row>
    <row r="14" spans="1:1">
      <c r="A14" s="380" t="s">
        <v>1302</v>
      </c>
    </row>
    <row r="15" spans="1:1">
      <c r="A15" s="380" t="s">
        <v>1303</v>
      </c>
    </row>
    <row r="16" spans="1:1">
      <c r="A16" s="380" t="s">
        <v>1304</v>
      </c>
    </row>
    <row r="17" spans="1:1">
      <c r="A17" s="380" t="s">
        <v>1305</v>
      </c>
    </row>
    <row r="18" spans="1:1">
      <c r="A18" s="380" t="s">
        <v>1306</v>
      </c>
    </row>
    <row r="19" spans="1:1">
      <c r="A19" s="380" t="s">
        <v>1307</v>
      </c>
    </row>
    <row r="20" spans="1:1">
      <c r="A20" s="380" t="s">
        <v>1308</v>
      </c>
    </row>
    <row r="21" spans="1:1">
      <c r="A21" s="380" t="s">
        <v>1309</v>
      </c>
    </row>
    <row r="22" spans="1:1">
      <c r="A22" s="380" t="s">
        <v>1310</v>
      </c>
    </row>
    <row r="23" spans="1:1">
      <c r="A23" s="380" t="s">
        <v>1311</v>
      </c>
    </row>
    <row r="24" spans="1:1">
      <c r="A24" s="380" t="s">
        <v>1312</v>
      </c>
    </row>
    <row r="25" spans="1:1">
      <c r="A25" s="380" t="s">
        <v>1313</v>
      </c>
    </row>
    <row r="26" spans="1:1">
      <c r="A26" s="380" t="s">
        <v>1314</v>
      </c>
    </row>
    <row r="27" spans="1:1">
      <c r="A27" s="380" t="s">
        <v>1315</v>
      </c>
    </row>
    <row r="28" spans="1:1">
      <c r="A28" s="380" t="s">
        <v>1316</v>
      </c>
    </row>
    <row r="29" spans="1:1">
      <c r="A29" s="380" t="s">
        <v>1317</v>
      </c>
    </row>
    <row r="30" spans="1:1">
      <c r="A30" s="380" t="s">
        <v>1318</v>
      </c>
    </row>
    <row r="31" spans="1:1">
      <c r="A31" s="380" t="s">
        <v>1319</v>
      </c>
    </row>
    <row r="32" spans="1:1">
      <c r="A32" s="380" t="s">
        <v>1320</v>
      </c>
    </row>
    <row r="33" spans="1:1">
      <c r="A33" s="380" t="s">
        <v>1321</v>
      </c>
    </row>
    <row r="34" spans="1:1">
      <c r="A34" s="380" t="s">
        <v>1322</v>
      </c>
    </row>
    <row r="35" spans="1:1">
      <c r="A35" s="380" t="s">
        <v>1323</v>
      </c>
    </row>
    <row r="36" spans="1:1">
      <c r="A36" s="380" t="s">
        <v>1324</v>
      </c>
    </row>
    <row r="37" spans="1:1">
      <c r="A37" s="380" t="s">
        <v>1325</v>
      </c>
    </row>
    <row r="38" spans="1:1">
      <c r="A38" s="380" t="s">
        <v>1326</v>
      </c>
    </row>
    <row r="39" spans="1:1">
      <c r="A39" s="380" t="s">
        <v>1327</v>
      </c>
    </row>
    <row r="40" spans="1:1">
      <c r="A40" s="380" t="s">
        <v>1328</v>
      </c>
    </row>
    <row r="41" spans="1:1">
      <c r="A41" s="380" t="s">
        <v>1329</v>
      </c>
    </row>
    <row r="42" spans="1:1">
      <c r="A42" s="380" t="s">
        <v>1330</v>
      </c>
    </row>
    <row r="43" spans="1:1">
      <c r="A43" s="380" t="s">
        <v>1331</v>
      </c>
    </row>
    <row r="44" spans="1:1">
      <c r="A44" s="380" t="s">
        <v>1332</v>
      </c>
    </row>
    <row r="45" spans="1:1">
      <c r="A45" s="380" t="s">
        <v>1333</v>
      </c>
    </row>
    <row r="46" spans="1:1">
      <c r="A46" s="380" t="s">
        <v>1334</v>
      </c>
    </row>
    <row r="47" spans="1:1">
      <c r="A47" s="380" t="s">
        <v>1335</v>
      </c>
    </row>
    <row r="48" spans="1:1">
      <c r="A48" s="380" t="s">
        <v>1336</v>
      </c>
    </row>
    <row r="49" spans="1:1">
      <c r="A49" s="380" t="s">
        <v>1337</v>
      </c>
    </row>
    <row r="50" spans="1:1">
      <c r="A50" s="380" t="s">
        <v>1338</v>
      </c>
    </row>
    <row r="51" spans="1:1">
      <c r="A51" s="380" t="s">
        <v>1339</v>
      </c>
    </row>
    <row r="52" spans="1:1">
      <c r="A52" s="380" t="s">
        <v>1340</v>
      </c>
    </row>
    <row r="53" spans="1:1">
      <c r="A53" s="380" t="s">
        <v>1341</v>
      </c>
    </row>
    <row r="54" spans="1:1">
      <c r="A54" s="380" t="s">
        <v>1342</v>
      </c>
    </row>
    <row r="55" spans="1:1" s="381" customFormat="1">
      <c r="A55" s="381" t="s">
        <v>1343</v>
      </c>
    </row>
    <row r="56" spans="1:1">
      <c r="A56" s="380" t="s">
        <v>1344</v>
      </c>
    </row>
    <row r="57" spans="1:1">
      <c r="A57" s="380" t="s">
        <v>1345</v>
      </c>
    </row>
    <row r="58" spans="1:1">
      <c r="A58" s="380" t="s">
        <v>1346</v>
      </c>
    </row>
    <row r="59" spans="1:1">
      <c r="A59" s="380" t="s">
        <v>1347</v>
      </c>
    </row>
    <row r="60" spans="1:1">
      <c r="A60" s="380" t="s">
        <v>1348</v>
      </c>
    </row>
    <row r="61" spans="1:1">
      <c r="A61" s="380" t="s">
        <v>1349</v>
      </c>
    </row>
    <row r="62" spans="1:1">
      <c r="A62" s="380" t="s">
        <v>1350</v>
      </c>
    </row>
    <row r="63" spans="1:1">
      <c r="A63" s="380" t="s">
        <v>1351</v>
      </c>
    </row>
    <row r="64" spans="1:1">
      <c r="A64" s="380" t="s">
        <v>1352</v>
      </c>
    </row>
    <row r="65" spans="1:1">
      <c r="A65" s="380" t="s">
        <v>1353</v>
      </c>
    </row>
    <row r="66" spans="1:1">
      <c r="A66" s="380" t="s">
        <v>1354</v>
      </c>
    </row>
    <row r="67" spans="1:1">
      <c r="A67" s="380" t="s">
        <v>1355</v>
      </c>
    </row>
    <row r="68" spans="1:1">
      <c r="A68" s="380" t="s">
        <v>1356</v>
      </c>
    </row>
    <row r="69" spans="1:1">
      <c r="A69" s="380" t="s">
        <v>1357</v>
      </c>
    </row>
    <row r="70" spans="1:1">
      <c r="A70" s="380" t="s">
        <v>1358</v>
      </c>
    </row>
    <row r="71" spans="1:1">
      <c r="A71" s="380" t="s">
        <v>1359</v>
      </c>
    </row>
    <row r="72" spans="1:1">
      <c r="A72" s="380" t="s">
        <v>1360</v>
      </c>
    </row>
    <row r="73" spans="1:1">
      <c r="A73" s="380" t="s">
        <v>1361</v>
      </c>
    </row>
    <row r="74" spans="1:1">
      <c r="A74" s="380" t="s">
        <v>1362</v>
      </c>
    </row>
    <row r="75" spans="1:1">
      <c r="A75" s="380" t="s">
        <v>1363</v>
      </c>
    </row>
    <row r="76" spans="1:1">
      <c r="A76" s="380" t="s">
        <v>1364</v>
      </c>
    </row>
    <row r="77" spans="1:1">
      <c r="A77" s="380" t="s">
        <v>1365</v>
      </c>
    </row>
    <row r="78" spans="1:1">
      <c r="A78" s="380" t="s">
        <v>1366</v>
      </c>
    </row>
    <row r="79" spans="1:1">
      <c r="A79" s="380" t="s">
        <v>1367</v>
      </c>
    </row>
    <row r="80" spans="1:1">
      <c r="A80" s="380" t="s">
        <v>1368</v>
      </c>
    </row>
    <row r="81" spans="1:1">
      <c r="A81" s="380" t="s">
        <v>1369</v>
      </c>
    </row>
    <row r="82" spans="1:1">
      <c r="A82" s="380" t="s">
        <v>1370</v>
      </c>
    </row>
    <row r="83" spans="1:1">
      <c r="A83" s="380" t="s">
        <v>1371</v>
      </c>
    </row>
    <row r="84" spans="1:1">
      <c r="A84" s="380" t="s">
        <v>1372</v>
      </c>
    </row>
    <row r="85" spans="1:1">
      <c r="A85" s="380" t="s">
        <v>1373</v>
      </c>
    </row>
    <row r="86" spans="1:1">
      <c r="A86" s="380" t="s">
        <v>1374</v>
      </c>
    </row>
    <row r="87" spans="1:1">
      <c r="A87" s="380" t="s">
        <v>1375</v>
      </c>
    </row>
    <row r="88" spans="1:1">
      <c r="A88" s="380" t="s">
        <v>1376</v>
      </c>
    </row>
    <row r="89" spans="1:1">
      <c r="A89" s="380" t="s">
        <v>1377</v>
      </c>
    </row>
    <row r="90" spans="1:1">
      <c r="A90" s="380" t="s">
        <v>1378</v>
      </c>
    </row>
    <row r="91" spans="1:1">
      <c r="A91" s="380" t="s">
        <v>1379</v>
      </c>
    </row>
    <row r="92" spans="1:1">
      <c r="A92" s="380" t="s">
        <v>1380</v>
      </c>
    </row>
    <row r="93" spans="1:1">
      <c r="A93" s="380" t="s">
        <v>1381</v>
      </c>
    </row>
    <row r="94" spans="1:1">
      <c r="A94" s="380" t="s">
        <v>1382</v>
      </c>
    </row>
    <row r="95" spans="1:1">
      <c r="A95" s="380" t="s">
        <v>1383</v>
      </c>
    </row>
    <row r="96" spans="1:1">
      <c r="A96" s="380" t="s">
        <v>1384</v>
      </c>
    </row>
    <row r="97" spans="1:1">
      <c r="A97" s="380" t="s">
        <v>1385</v>
      </c>
    </row>
    <row r="98" spans="1:1">
      <c r="A98" s="380" t="s">
        <v>1386</v>
      </c>
    </row>
    <row r="99" spans="1:1">
      <c r="A99" s="380" t="s">
        <v>1387</v>
      </c>
    </row>
    <row r="100" spans="1:1">
      <c r="A100" s="380" t="s">
        <v>1388</v>
      </c>
    </row>
    <row r="101" spans="1:1">
      <c r="A101" s="380" t="s">
        <v>1389</v>
      </c>
    </row>
    <row r="103" spans="1:1">
      <c r="A103" s="380" t="s">
        <v>1390</v>
      </c>
    </row>
    <row r="104" spans="1:1">
      <c r="A104" s="380" t="s">
        <v>1032</v>
      </c>
    </row>
    <row r="105" spans="1:1">
      <c r="A105" s="380" t="s">
        <v>1391</v>
      </c>
    </row>
    <row r="106" spans="1:1">
      <c r="A106" s="380" t="s">
        <v>865</v>
      </c>
    </row>
    <row r="107" spans="1:1">
      <c r="A107" s="380" t="s">
        <v>1392</v>
      </c>
    </row>
    <row r="108" spans="1:1">
      <c r="A108" s="380" t="s">
        <v>867</v>
      </c>
    </row>
    <row r="109" spans="1:1">
      <c r="A109" s="380" t="s">
        <v>1393</v>
      </c>
    </row>
    <row r="110" spans="1:1">
      <c r="A110" s="380" t="s">
        <v>869</v>
      </c>
    </row>
    <row r="111" spans="1:1">
      <c r="A111" s="380" t="s">
        <v>870</v>
      </c>
    </row>
    <row r="112" spans="1:1">
      <c r="A112" s="380" t="s">
        <v>871</v>
      </c>
    </row>
    <row r="113" spans="1:1">
      <c r="A113" s="380" t="s">
        <v>872</v>
      </c>
    </row>
    <row r="114" spans="1:1">
      <c r="A114" s="380" t="s">
        <v>873</v>
      </c>
    </row>
    <row r="115" spans="1:1">
      <c r="A115" s="380" t="s">
        <v>874</v>
      </c>
    </row>
    <row r="116" spans="1:1">
      <c r="A116" s="380" t="s">
        <v>875</v>
      </c>
    </row>
    <row r="117" spans="1:1">
      <c r="A117" s="380" t="s">
        <v>876</v>
      </c>
    </row>
    <row r="118" spans="1:1">
      <c r="A118" s="380" t="s">
        <v>877</v>
      </c>
    </row>
    <row r="119" spans="1:1">
      <c r="A119" s="380" t="s">
        <v>878</v>
      </c>
    </row>
    <row r="120" spans="1:1">
      <c r="A120" s="380" t="s">
        <v>879</v>
      </c>
    </row>
    <row r="121" spans="1:1">
      <c r="A121" s="380" t="s">
        <v>880</v>
      </c>
    </row>
    <row r="122" spans="1:1">
      <c r="A122" s="380" t="s">
        <v>881</v>
      </c>
    </row>
    <row r="123" spans="1:1">
      <c r="A123" s="380" t="s">
        <v>882</v>
      </c>
    </row>
    <row r="124" spans="1:1">
      <c r="A124" s="380" t="s">
        <v>883</v>
      </c>
    </row>
    <row r="125" spans="1:1">
      <c r="A125" s="380" t="s">
        <v>884</v>
      </c>
    </row>
    <row r="126" spans="1:1">
      <c r="A126" s="380" t="s">
        <v>885</v>
      </c>
    </row>
    <row r="127" spans="1:1">
      <c r="A127" s="380" t="s">
        <v>886</v>
      </c>
    </row>
    <row r="128" spans="1:1">
      <c r="A128" s="380" t="s">
        <v>887</v>
      </c>
    </row>
    <row r="129" spans="1:1">
      <c r="A129" s="380" t="s">
        <v>888</v>
      </c>
    </row>
    <row r="130" spans="1:1">
      <c r="A130" s="380" t="s">
        <v>889</v>
      </c>
    </row>
    <row r="131" spans="1:1">
      <c r="A131" s="380" t="s">
        <v>890</v>
      </c>
    </row>
    <row r="132" spans="1:1">
      <c r="A132" s="380" t="s">
        <v>891</v>
      </c>
    </row>
    <row r="133" spans="1:1">
      <c r="A133" s="380" t="s">
        <v>892</v>
      </c>
    </row>
    <row r="134" spans="1:1">
      <c r="A134" s="380" t="s">
        <v>893</v>
      </c>
    </row>
    <row r="135" spans="1:1">
      <c r="A135" s="380" t="s">
        <v>894</v>
      </c>
    </row>
    <row r="136" spans="1:1">
      <c r="A136" s="380" t="s">
        <v>895</v>
      </c>
    </row>
    <row r="137" spans="1:1">
      <c r="A137" s="380" t="s">
        <v>896</v>
      </c>
    </row>
    <row r="138" spans="1:1">
      <c r="A138" s="380" t="s">
        <v>897</v>
      </c>
    </row>
    <row r="139" spans="1:1">
      <c r="A139" s="380" t="s">
        <v>898</v>
      </c>
    </row>
    <row r="140" spans="1:1">
      <c r="A140" s="380" t="s">
        <v>899</v>
      </c>
    </row>
    <row r="141" spans="1:1">
      <c r="A141" s="380" t="s">
        <v>1394</v>
      </c>
    </row>
    <row r="142" spans="1:1">
      <c r="A142" s="380" t="s">
        <v>901</v>
      </c>
    </row>
    <row r="143" spans="1:1">
      <c r="A143" s="380" t="s">
        <v>1395</v>
      </c>
    </row>
    <row r="144" spans="1:1">
      <c r="A144" s="380" t="s">
        <v>903</v>
      </c>
    </row>
    <row r="145" spans="1:1">
      <c r="A145" s="380" t="s">
        <v>1038</v>
      </c>
    </row>
    <row r="146" spans="1:1">
      <c r="A146" s="380" t="s">
        <v>905</v>
      </c>
    </row>
    <row r="147" spans="1:1">
      <c r="A147" s="380" t="s">
        <v>906</v>
      </c>
    </row>
    <row r="148" spans="1:1">
      <c r="A148" s="380" t="s">
        <v>907</v>
      </c>
    </row>
    <row r="149" spans="1:1" s="381" customFormat="1">
      <c r="A149" s="381" t="s">
        <v>1396</v>
      </c>
    </row>
    <row r="150" spans="1:1">
      <c r="A150" s="380" t="s">
        <v>909</v>
      </c>
    </row>
    <row r="151" spans="1:1">
      <c r="A151" s="380" t="s">
        <v>910</v>
      </c>
    </row>
    <row r="152" spans="1:1">
      <c r="A152" s="380" t="s">
        <v>911</v>
      </c>
    </row>
    <row r="153" spans="1:1">
      <c r="A153" s="380" t="s">
        <v>912</v>
      </c>
    </row>
    <row r="154" spans="1:1">
      <c r="A154" s="380" t="s">
        <v>913</v>
      </c>
    </row>
    <row r="155" spans="1:1">
      <c r="A155" s="380" t="s">
        <v>914</v>
      </c>
    </row>
    <row r="156" spans="1:1">
      <c r="A156" s="380" t="s">
        <v>915</v>
      </c>
    </row>
    <row r="157" spans="1:1">
      <c r="A157" s="380" t="s">
        <v>916</v>
      </c>
    </row>
    <row r="158" spans="1:1">
      <c r="A158" s="380" t="s">
        <v>917</v>
      </c>
    </row>
  </sheetData>
  <phoneticPr fontId="3"/>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B36"/>
  <sheetViews>
    <sheetView tabSelected="1"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1389</v>
      </c>
    </row>
    <row r="9" spans="1:1">
      <c r="A9" s="380" t="s">
        <v>1397</v>
      </c>
    </row>
    <row r="10" spans="1:1">
      <c r="A10" s="380" t="s">
        <v>1398</v>
      </c>
    </row>
    <row r="11" spans="1:1">
      <c r="A11" s="380" t="s">
        <v>1399</v>
      </c>
    </row>
    <row r="12" spans="1:1">
      <c r="A12" s="380" t="s">
        <v>1400</v>
      </c>
    </row>
    <row r="13" spans="1:1">
      <c r="A13" s="380" t="s">
        <v>1401</v>
      </c>
    </row>
    <row r="14" spans="1:1" s="381" customFormat="1">
      <c r="A14" s="381" t="s">
        <v>1402</v>
      </c>
    </row>
    <row r="15" spans="1:1" s="381" customFormat="1">
      <c r="A15" s="381" t="s">
        <v>1403</v>
      </c>
    </row>
    <row r="16" spans="1:1" s="381" customFormat="1">
      <c r="A16" s="381" t="s">
        <v>676</v>
      </c>
    </row>
    <row r="17" spans="1:2" s="381" customFormat="1">
      <c r="A17" s="381" t="s">
        <v>708</v>
      </c>
    </row>
    <row r="18" spans="1:2" s="381" customFormat="1">
      <c r="A18" s="381"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1404</v>
      </c>
    </row>
    <row r="36" spans="1:2">
      <c r="A36" s="380" t="s">
        <v>1405</v>
      </c>
    </row>
  </sheetData>
  <phoneticPr fontId="3"/>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B36"/>
  <sheetViews>
    <sheetView tabSelected="1" topLeftCell="A4"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1405</v>
      </c>
    </row>
    <row r="9" spans="1:1">
      <c r="A9" s="380" t="s">
        <v>1406</v>
      </c>
    </row>
    <row r="10" spans="1:1">
      <c r="A10" s="380" t="s">
        <v>1407</v>
      </c>
    </row>
    <row r="11" spans="1:1">
      <c r="A11" s="380" t="s">
        <v>1408</v>
      </c>
    </row>
    <row r="12" spans="1:1">
      <c r="A12" s="380" t="s">
        <v>1409</v>
      </c>
    </row>
    <row r="13" spans="1:1">
      <c r="A13" s="380" t="s">
        <v>1410</v>
      </c>
    </row>
    <row r="14" spans="1:1" s="381" customFormat="1">
      <c r="A14" s="381" t="s">
        <v>1411</v>
      </c>
    </row>
    <row r="15" spans="1:1" s="381" customFormat="1">
      <c r="A15" s="381" t="s">
        <v>1412</v>
      </c>
    </row>
    <row r="16" spans="1:1" s="381" customFormat="1">
      <c r="A16" s="381" t="s">
        <v>676</v>
      </c>
    </row>
    <row r="17" spans="1:2" s="381" customFormat="1">
      <c r="A17" s="381" t="s">
        <v>709</v>
      </c>
    </row>
    <row r="18" spans="1:2" s="381" customFormat="1">
      <c r="A18" s="381" t="s">
        <v>701</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1413</v>
      </c>
    </row>
    <row r="36" spans="1:2">
      <c r="A36" s="380" t="s">
        <v>1414</v>
      </c>
    </row>
  </sheetData>
  <phoneticPr fontId="3"/>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
  <dimension ref="A1:B37"/>
  <sheetViews>
    <sheetView tabSelected="1"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859</v>
      </c>
    </row>
    <row r="9" spans="1:1">
      <c r="A9" s="380" t="s">
        <v>919</v>
      </c>
    </row>
    <row r="10" spans="1:1">
      <c r="A10" s="380" t="s">
        <v>920</v>
      </c>
    </row>
    <row r="11" spans="1:1">
      <c r="A11" s="380" t="s">
        <v>921</v>
      </c>
    </row>
    <row r="12" spans="1:1">
      <c r="A12" s="380" t="s">
        <v>922</v>
      </c>
    </row>
    <row r="13" spans="1:1">
      <c r="A13" s="380" t="s">
        <v>923</v>
      </c>
    </row>
    <row r="14" spans="1:1">
      <c r="A14" s="380" t="s">
        <v>924</v>
      </c>
    </row>
    <row r="15" spans="1:1">
      <c r="A15" s="380" t="s">
        <v>925</v>
      </c>
    </row>
    <row r="16" spans="1:1">
      <c r="A16" s="380" t="s">
        <v>676</v>
      </c>
    </row>
    <row r="17" spans="1:2" s="381" customFormat="1">
      <c r="A17" s="381" t="s">
        <v>697</v>
      </c>
    </row>
    <row r="18" spans="1:2">
      <c r="A18" s="380"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926</v>
      </c>
    </row>
    <row r="36" spans="1:2">
      <c r="A36" s="380" t="s">
        <v>927</v>
      </c>
    </row>
    <row r="37" spans="1:2">
      <c r="A37" s="380" t="s">
        <v>699</v>
      </c>
    </row>
  </sheetData>
  <phoneticPr fontId="3"/>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A158"/>
  <sheetViews>
    <sheetView tabSelected="1" topLeftCell="A142"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1415</v>
      </c>
    </row>
    <row r="6" spans="1:1">
      <c r="A6" s="380" t="s">
        <v>675</v>
      </c>
    </row>
    <row r="8" spans="1:1">
      <c r="A8" s="380" t="s">
        <v>1414</v>
      </c>
    </row>
    <row r="9" spans="1:1">
      <c r="A9" s="380" t="s">
        <v>1416</v>
      </c>
    </row>
    <row r="10" spans="1:1">
      <c r="A10" s="380" t="s">
        <v>1417</v>
      </c>
    </row>
    <row r="11" spans="1:1">
      <c r="A11" s="380" t="s">
        <v>1418</v>
      </c>
    </row>
    <row r="12" spans="1:1">
      <c r="A12" s="380" t="s">
        <v>1419</v>
      </c>
    </row>
    <row r="13" spans="1:1">
      <c r="A13" s="380" t="s">
        <v>1420</v>
      </c>
    </row>
    <row r="14" spans="1:1">
      <c r="A14" s="380" t="s">
        <v>1421</v>
      </c>
    </row>
    <row r="15" spans="1:1">
      <c r="A15" s="380" t="s">
        <v>1422</v>
      </c>
    </row>
    <row r="16" spans="1:1">
      <c r="A16" s="380" t="s">
        <v>1423</v>
      </c>
    </row>
    <row r="17" spans="1:1">
      <c r="A17" s="380" t="s">
        <v>1424</v>
      </c>
    </row>
    <row r="18" spans="1:1">
      <c r="A18" s="380" t="s">
        <v>1425</v>
      </c>
    </row>
    <row r="19" spans="1:1">
      <c r="A19" s="380" t="s">
        <v>1426</v>
      </c>
    </row>
    <row r="20" spans="1:1">
      <c r="A20" s="380" t="s">
        <v>1427</v>
      </c>
    </row>
    <row r="21" spans="1:1">
      <c r="A21" s="380" t="s">
        <v>1428</v>
      </c>
    </row>
    <row r="22" spans="1:1">
      <c r="A22" s="380" t="s">
        <v>1429</v>
      </c>
    </row>
    <row r="23" spans="1:1">
      <c r="A23" s="380" t="s">
        <v>1430</v>
      </c>
    </row>
    <row r="24" spans="1:1">
      <c r="A24" s="380" t="s">
        <v>1431</v>
      </c>
    </row>
    <row r="25" spans="1:1">
      <c r="A25" s="380" t="s">
        <v>1432</v>
      </c>
    </row>
    <row r="26" spans="1:1">
      <c r="A26" s="380" t="s">
        <v>1433</v>
      </c>
    </row>
    <row r="27" spans="1:1">
      <c r="A27" s="380" t="s">
        <v>1434</v>
      </c>
    </row>
    <row r="28" spans="1:1">
      <c r="A28" s="380" t="s">
        <v>1435</v>
      </c>
    </row>
    <row r="29" spans="1:1">
      <c r="A29" s="380" t="s">
        <v>1436</v>
      </c>
    </row>
    <row r="30" spans="1:1">
      <c r="A30" s="380" t="s">
        <v>1437</v>
      </c>
    </row>
    <row r="31" spans="1:1">
      <c r="A31" s="380" t="s">
        <v>1438</v>
      </c>
    </row>
    <row r="32" spans="1:1">
      <c r="A32" s="380" t="s">
        <v>1439</v>
      </c>
    </row>
    <row r="33" spans="1:1">
      <c r="A33" s="380" t="s">
        <v>1440</v>
      </c>
    </row>
    <row r="34" spans="1:1">
      <c r="A34" s="380" t="s">
        <v>1441</v>
      </c>
    </row>
    <row r="35" spans="1:1">
      <c r="A35" s="380" t="s">
        <v>1442</v>
      </c>
    </row>
    <row r="36" spans="1:1">
      <c r="A36" s="380" t="s">
        <v>1443</v>
      </c>
    </row>
    <row r="37" spans="1:1">
      <c r="A37" s="380" t="s">
        <v>1444</v>
      </c>
    </row>
    <row r="38" spans="1:1">
      <c r="A38" s="380" t="s">
        <v>1445</v>
      </c>
    </row>
    <row r="39" spans="1:1">
      <c r="A39" s="380" t="s">
        <v>1446</v>
      </c>
    </row>
    <row r="40" spans="1:1">
      <c r="A40" s="380" t="s">
        <v>1447</v>
      </c>
    </row>
    <row r="41" spans="1:1">
      <c r="A41" s="380" t="s">
        <v>1448</v>
      </c>
    </row>
    <row r="42" spans="1:1">
      <c r="A42" s="380" t="s">
        <v>1449</v>
      </c>
    </row>
    <row r="43" spans="1:1">
      <c r="A43" s="380" t="s">
        <v>1450</v>
      </c>
    </row>
    <row r="44" spans="1:1">
      <c r="A44" s="380" t="s">
        <v>1451</v>
      </c>
    </row>
    <row r="45" spans="1:1">
      <c r="A45" s="380" t="s">
        <v>1452</v>
      </c>
    </row>
    <row r="46" spans="1:1">
      <c r="A46" s="380" t="s">
        <v>1453</v>
      </c>
    </row>
    <row r="47" spans="1:1">
      <c r="A47" s="380" t="s">
        <v>1454</v>
      </c>
    </row>
    <row r="48" spans="1:1">
      <c r="A48" s="380" t="s">
        <v>1455</v>
      </c>
    </row>
    <row r="49" spans="1:1">
      <c r="A49" s="380" t="s">
        <v>1456</v>
      </c>
    </row>
    <row r="50" spans="1:1">
      <c r="A50" s="380" t="s">
        <v>1457</v>
      </c>
    </row>
    <row r="51" spans="1:1">
      <c r="A51" s="380" t="s">
        <v>1458</v>
      </c>
    </row>
    <row r="52" spans="1:1">
      <c r="A52" s="380" t="s">
        <v>1459</v>
      </c>
    </row>
    <row r="53" spans="1:1">
      <c r="A53" s="380" t="s">
        <v>1460</v>
      </c>
    </row>
    <row r="54" spans="1:1">
      <c r="A54" s="380" t="s">
        <v>1461</v>
      </c>
    </row>
    <row r="55" spans="1:1">
      <c r="A55" s="380" t="s">
        <v>1462</v>
      </c>
    </row>
    <row r="56" spans="1:1" s="381" customFormat="1">
      <c r="A56" s="381" t="s">
        <v>1463</v>
      </c>
    </row>
    <row r="57" spans="1:1">
      <c r="A57" s="380" t="s">
        <v>1464</v>
      </c>
    </row>
    <row r="58" spans="1:1">
      <c r="A58" s="380" t="s">
        <v>1465</v>
      </c>
    </row>
    <row r="59" spans="1:1">
      <c r="A59" s="380" t="s">
        <v>1466</v>
      </c>
    </row>
    <row r="60" spans="1:1">
      <c r="A60" s="380" t="s">
        <v>1467</v>
      </c>
    </row>
    <row r="61" spans="1:1">
      <c r="A61" s="380" t="s">
        <v>1468</v>
      </c>
    </row>
    <row r="62" spans="1:1">
      <c r="A62" s="380" t="s">
        <v>1469</v>
      </c>
    </row>
    <row r="63" spans="1:1">
      <c r="A63" s="380" t="s">
        <v>1470</v>
      </c>
    </row>
    <row r="64" spans="1:1">
      <c r="A64" s="380" t="s">
        <v>1471</v>
      </c>
    </row>
    <row r="65" spans="1:1">
      <c r="A65" s="380" t="s">
        <v>1472</v>
      </c>
    </row>
    <row r="66" spans="1:1">
      <c r="A66" s="380" t="s">
        <v>1473</v>
      </c>
    </row>
    <row r="67" spans="1:1">
      <c r="A67" s="380" t="s">
        <v>1474</v>
      </c>
    </row>
    <row r="68" spans="1:1">
      <c r="A68" s="380" t="s">
        <v>1475</v>
      </c>
    </row>
    <row r="69" spans="1:1">
      <c r="A69" s="380" t="s">
        <v>1476</v>
      </c>
    </row>
    <row r="70" spans="1:1">
      <c r="A70" s="380" t="s">
        <v>1477</v>
      </c>
    </row>
    <row r="71" spans="1:1">
      <c r="A71" s="380" t="s">
        <v>1478</v>
      </c>
    </row>
    <row r="72" spans="1:1">
      <c r="A72" s="380" t="s">
        <v>1479</v>
      </c>
    </row>
    <row r="73" spans="1:1">
      <c r="A73" s="380" t="s">
        <v>1480</v>
      </c>
    </row>
    <row r="74" spans="1:1">
      <c r="A74" s="380" t="s">
        <v>1481</v>
      </c>
    </row>
    <row r="75" spans="1:1">
      <c r="A75" s="380" t="s">
        <v>1482</v>
      </c>
    </row>
    <row r="76" spans="1:1">
      <c r="A76" s="380" t="s">
        <v>1483</v>
      </c>
    </row>
    <row r="77" spans="1:1">
      <c r="A77" s="380" t="s">
        <v>1484</v>
      </c>
    </row>
    <row r="78" spans="1:1">
      <c r="A78" s="380" t="s">
        <v>1485</v>
      </c>
    </row>
    <row r="79" spans="1:1">
      <c r="A79" s="380" t="s">
        <v>1486</v>
      </c>
    </row>
    <row r="80" spans="1:1">
      <c r="A80" s="380" t="s">
        <v>1487</v>
      </c>
    </row>
    <row r="81" spans="1:1">
      <c r="A81" s="380" t="s">
        <v>1488</v>
      </c>
    </row>
    <row r="82" spans="1:1">
      <c r="A82" s="380" t="s">
        <v>1489</v>
      </c>
    </row>
    <row r="83" spans="1:1">
      <c r="A83" s="380" t="s">
        <v>1490</v>
      </c>
    </row>
    <row r="84" spans="1:1">
      <c r="A84" s="380" t="s">
        <v>1491</v>
      </c>
    </row>
    <row r="85" spans="1:1">
      <c r="A85" s="380" t="s">
        <v>1492</v>
      </c>
    </row>
    <row r="86" spans="1:1">
      <c r="A86" s="380" t="s">
        <v>1493</v>
      </c>
    </row>
    <row r="87" spans="1:1">
      <c r="A87" s="380" t="s">
        <v>1494</v>
      </c>
    </row>
    <row r="88" spans="1:1">
      <c r="A88" s="380" t="s">
        <v>1495</v>
      </c>
    </row>
    <row r="89" spans="1:1">
      <c r="A89" s="380" t="s">
        <v>1496</v>
      </c>
    </row>
    <row r="90" spans="1:1">
      <c r="A90" s="380" t="s">
        <v>1497</v>
      </c>
    </row>
    <row r="91" spans="1:1">
      <c r="A91" s="380" t="s">
        <v>1498</v>
      </c>
    </row>
    <row r="92" spans="1:1">
      <c r="A92" s="380" t="s">
        <v>1499</v>
      </c>
    </row>
    <row r="93" spans="1:1">
      <c r="A93" s="380" t="s">
        <v>1500</v>
      </c>
    </row>
    <row r="94" spans="1:1">
      <c r="A94" s="380" t="s">
        <v>1501</v>
      </c>
    </row>
    <row r="95" spans="1:1">
      <c r="A95" s="380" t="s">
        <v>1502</v>
      </c>
    </row>
    <row r="96" spans="1:1">
      <c r="A96" s="380" t="s">
        <v>1503</v>
      </c>
    </row>
    <row r="97" spans="1:1">
      <c r="A97" s="380" t="s">
        <v>1504</v>
      </c>
    </row>
    <row r="98" spans="1:1">
      <c r="A98" s="380" t="s">
        <v>1505</v>
      </c>
    </row>
    <row r="99" spans="1:1">
      <c r="A99" s="380" t="s">
        <v>1506</v>
      </c>
    </row>
    <row r="100" spans="1:1">
      <c r="A100" s="380" t="s">
        <v>1507</v>
      </c>
    </row>
    <row r="101" spans="1:1">
      <c r="A101" s="380" t="s">
        <v>1508</v>
      </c>
    </row>
    <row r="103" spans="1:1">
      <c r="A103" s="380" t="s">
        <v>1509</v>
      </c>
    </row>
    <row r="104" spans="1:1">
      <c r="A104" s="380" t="s">
        <v>1032</v>
      </c>
    </row>
    <row r="105" spans="1:1">
      <c r="A105" s="380" t="s">
        <v>1510</v>
      </c>
    </row>
    <row r="106" spans="1:1">
      <c r="A106" s="380" t="s">
        <v>865</v>
      </c>
    </row>
    <row r="107" spans="1:1">
      <c r="A107" s="380" t="s">
        <v>1511</v>
      </c>
    </row>
    <row r="108" spans="1:1">
      <c r="A108" s="380" t="s">
        <v>867</v>
      </c>
    </row>
    <row r="109" spans="1:1">
      <c r="A109" s="380" t="s">
        <v>1512</v>
      </c>
    </row>
    <row r="110" spans="1:1">
      <c r="A110" s="380" t="s">
        <v>869</v>
      </c>
    </row>
    <row r="111" spans="1:1">
      <c r="A111" s="380" t="s">
        <v>870</v>
      </c>
    </row>
    <row r="112" spans="1:1">
      <c r="A112" s="380" t="s">
        <v>871</v>
      </c>
    </row>
    <row r="113" spans="1:1">
      <c r="A113" s="380" t="s">
        <v>872</v>
      </c>
    </row>
    <row r="114" spans="1:1">
      <c r="A114" s="380" t="s">
        <v>873</v>
      </c>
    </row>
    <row r="115" spans="1:1">
      <c r="A115" s="380" t="s">
        <v>874</v>
      </c>
    </row>
    <row r="116" spans="1:1">
      <c r="A116" s="380" t="s">
        <v>875</v>
      </c>
    </row>
    <row r="117" spans="1:1">
      <c r="A117" s="380" t="s">
        <v>876</v>
      </c>
    </row>
    <row r="118" spans="1:1">
      <c r="A118" s="380" t="s">
        <v>877</v>
      </c>
    </row>
    <row r="119" spans="1:1">
      <c r="A119" s="380" t="s">
        <v>878</v>
      </c>
    </row>
    <row r="120" spans="1:1">
      <c r="A120" s="380" t="s">
        <v>879</v>
      </c>
    </row>
    <row r="121" spans="1:1">
      <c r="A121" s="380" t="s">
        <v>880</v>
      </c>
    </row>
    <row r="122" spans="1:1">
      <c r="A122" s="380" t="s">
        <v>881</v>
      </c>
    </row>
    <row r="123" spans="1:1">
      <c r="A123" s="380" t="s">
        <v>882</v>
      </c>
    </row>
    <row r="124" spans="1:1">
      <c r="A124" s="380" t="s">
        <v>883</v>
      </c>
    </row>
    <row r="125" spans="1:1">
      <c r="A125" s="380" t="s">
        <v>884</v>
      </c>
    </row>
    <row r="126" spans="1:1">
      <c r="A126" s="380" t="s">
        <v>885</v>
      </c>
    </row>
    <row r="127" spans="1:1">
      <c r="A127" s="380" t="s">
        <v>886</v>
      </c>
    </row>
    <row r="128" spans="1:1">
      <c r="A128" s="380" t="s">
        <v>887</v>
      </c>
    </row>
    <row r="129" spans="1:1">
      <c r="A129" s="380" t="s">
        <v>888</v>
      </c>
    </row>
    <row r="130" spans="1:1">
      <c r="A130" s="380" t="s">
        <v>889</v>
      </c>
    </row>
    <row r="131" spans="1:1">
      <c r="A131" s="380" t="s">
        <v>890</v>
      </c>
    </row>
    <row r="132" spans="1:1">
      <c r="A132" s="380" t="s">
        <v>891</v>
      </c>
    </row>
    <row r="133" spans="1:1">
      <c r="A133" s="380" t="s">
        <v>892</v>
      </c>
    </row>
    <row r="134" spans="1:1">
      <c r="A134" s="380" t="s">
        <v>893</v>
      </c>
    </row>
    <row r="135" spans="1:1">
      <c r="A135" s="380" t="s">
        <v>894</v>
      </c>
    </row>
    <row r="136" spans="1:1">
      <c r="A136" s="380" t="s">
        <v>895</v>
      </c>
    </row>
    <row r="137" spans="1:1">
      <c r="A137" s="380" t="s">
        <v>896</v>
      </c>
    </row>
    <row r="138" spans="1:1">
      <c r="A138" s="380" t="s">
        <v>897</v>
      </c>
    </row>
    <row r="139" spans="1:1">
      <c r="A139" s="380" t="s">
        <v>898</v>
      </c>
    </row>
    <row r="140" spans="1:1">
      <c r="A140" s="380" t="s">
        <v>899</v>
      </c>
    </row>
    <row r="141" spans="1:1">
      <c r="A141" s="380" t="s">
        <v>1513</v>
      </c>
    </row>
    <row r="142" spans="1:1">
      <c r="A142" s="380" t="s">
        <v>901</v>
      </c>
    </row>
    <row r="143" spans="1:1">
      <c r="A143" s="380" t="s">
        <v>1514</v>
      </c>
    </row>
    <row r="144" spans="1:1">
      <c r="A144" s="380" t="s">
        <v>903</v>
      </c>
    </row>
    <row r="145" spans="1:1">
      <c r="A145" s="380" t="s">
        <v>1038</v>
      </c>
    </row>
    <row r="146" spans="1:1">
      <c r="A146" s="380" t="s">
        <v>905</v>
      </c>
    </row>
    <row r="147" spans="1:1">
      <c r="A147" s="380" t="s">
        <v>906</v>
      </c>
    </row>
    <row r="148" spans="1:1">
      <c r="A148" s="380" t="s">
        <v>907</v>
      </c>
    </row>
    <row r="149" spans="1:1">
      <c r="A149" s="380" t="s">
        <v>908</v>
      </c>
    </row>
    <row r="150" spans="1:1" s="381" customFormat="1">
      <c r="A150" s="381" t="s">
        <v>1515</v>
      </c>
    </row>
    <row r="151" spans="1:1">
      <c r="A151" s="380" t="s">
        <v>910</v>
      </c>
    </row>
    <row r="152" spans="1:1">
      <c r="A152" s="380" t="s">
        <v>911</v>
      </c>
    </row>
    <row r="153" spans="1:1">
      <c r="A153" s="380" t="s">
        <v>912</v>
      </c>
    </row>
    <row r="154" spans="1:1">
      <c r="A154" s="380" t="s">
        <v>913</v>
      </c>
    </row>
    <row r="155" spans="1:1">
      <c r="A155" s="380" t="s">
        <v>914</v>
      </c>
    </row>
    <row r="156" spans="1:1">
      <c r="A156" s="380" t="s">
        <v>915</v>
      </c>
    </row>
    <row r="157" spans="1:1">
      <c r="A157" s="380" t="s">
        <v>916</v>
      </c>
    </row>
    <row r="158" spans="1:1">
      <c r="A158" s="380" t="s">
        <v>917</v>
      </c>
    </row>
  </sheetData>
  <phoneticPr fontId="3"/>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B36"/>
  <sheetViews>
    <sheetView tabSelected="1" topLeftCell="A7"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1508</v>
      </c>
    </row>
    <row r="9" spans="1:1">
      <c r="A9" s="380" t="s">
        <v>1516</v>
      </c>
    </row>
    <row r="10" spans="1:1">
      <c r="A10" s="380" t="s">
        <v>1517</v>
      </c>
    </row>
    <row r="11" spans="1:1">
      <c r="A11" s="380" t="s">
        <v>1518</v>
      </c>
    </row>
    <row r="12" spans="1:1">
      <c r="A12" s="380" t="s">
        <v>1519</v>
      </c>
    </row>
    <row r="13" spans="1:1">
      <c r="A13" s="380" t="s">
        <v>1520</v>
      </c>
    </row>
    <row r="14" spans="1:1" s="381" customFormat="1">
      <c r="A14" s="381" t="s">
        <v>1521</v>
      </c>
    </row>
    <row r="15" spans="1:1" s="381" customFormat="1">
      <c r="A15" s="381" t="s">
        <v>1522</v>
      </c>
    </row>
    <row r="16" spans="1:1" s="381" customFormat="1">
      <c r="A16" s="381" t="s">
        <v>676</v>
      </c>
    </row>
    <row r="17" spans="1:2" s="381" customFormat="1">
      <c r="A17" s="381" t="s">
        <v>710</v>
      </c>
    </row>
    <row r="18" spans="1:2" s="381" customFormat="1">
      <c r="A18" s="381"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1523</v>
      </c>
    </row>
    <row r="36" spans="1:2">
      <c r="A36" s="380" t="s">
        <v>1524</v>
      </c>
    </row>
  </sheetData>
  <phoneticPr fontId="3"/>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B36"/>
  <sheetViews>
    <sheetView tabSelected="1"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1524</v>
      </c>
    </row>
    <row r="9" spans="1:1">
      <c r="A9" s="380" t="s">
        <v>1525</v>
      </c>
    </row>
    <row r="10" spans="1:1">
      <c r="A10" s="380" t="s">
        <v>1526</v>
      </c>
    </row>
    <row r="11" spans="1:1">
      <c r="A11" s="380" t="s">
        <v>1527</v>
      </c>
    </row>
    <row r="12" spans="1:1">
      <c r="A12" s="380" t="s">
        <v>1528</v>
      </c>
    </row>
    <row r="13" spans="1:1">
      <c r="A13" s="380" t="s">
        <v>1529</v>
      </c>
    </row>
    <row r="14" spans="1:1" s="381" customFormat="1">
      <c r="A14" s="381" t="s">
        <v>1530</v>
      </c>
    </row>
    <row r="15" spans="1:1" s="381" customFormat="1">
      <c r="A15" s="381" t="s">
        <v>1531</v>
      </c>
    </row>
    <row r="16" spans="1:1" s="381" customFormat="1">
      <c r="A16" s="381" t="s">
        <v>676</v>
      </c>
    </row>
    <row r="17" spans="1:2" s="381" customFormat="1">
      <c r="A17" s="381" t="s">
        <v>711</v>
      </c>
    </row>
    <row r="18" spans="1:2" s="381" customFormat="1">
      <c r="A18" s="381" t="s">
        <v>701</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1532</v>
      </c>
    </row>
    <row r="36" spans="1:2">
      <c r="A36" s="380" t="s">
        <v>1533</v>
      </c>
    </row>
  </sheetData>
  <phoneticPr fontId="3"/>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A158"/>
  <sheetViews>
    <sheetView tabSelected="1" topLeftCell="A145"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1534</v>
      </c>
    </row>
    <row r="6" spans="1:1">
      <c r="A6" s="380" t="s">
        <v>675</v>
      </c>
    </row>
    <row r="8" spans="1:1">
      <c r="A8" s="380" t="s">
        <v>1533</v>
      </c>
    </row>
    <row r="9" spans="1:1">
      <c r="A9" s="380" t="s">
        <v>1535</v>
      </c>
    </row>
    <row r="10" spans="1:1">
      <c r="A10" s="380" t="s">
        <v>1536</v>
      </c>
    </row>
    <row r="11" spans="1:1">
      <c r="A11" s="380" t="s">
        <v>1537</v>
      </c>
    </row>
    <row r="12" spans="1:1">
      <c r="A12" s="380" t="s">
        <v>1538</v>
      </c>
    </row>
    <row r="13" spans="1:1">
      <c r="A13" s="380" t="s">
        <v>1539</v>
      </c>
    </row>
    <row r="14" spans="1:1">
      <c r="A14" s="380" t="s">
        <v>1540</v>
      </c>
    </row>
    <row r="15" spans="1:1">
      <c r="A15" s="380" t="s">
        <v>1541</v>
      </c>
    </row>
    <row r="16" spans="1:1">
      <c r="A16" s="380" t="s">
        <v>1542</v>
      </c>
    </row>
    <row r="17" spans="1:1">
      <c r="A17" s="380" t="s">
        <v>1543</v>
      </c>
    </row>
    <row r="18" spans="1:1">
      <c r="A18" s="380" t="s">
        <v>1544</v>
      </c>
    </row>
    <row r="19" spans="1:1">
      <c r="A19" s="380" t="s">
        <v>1545</v>
      </c>
    </row>
    <row r="20" spans="1:1">
      <c r="A20" s="380" t="s">
        <v>1546</v>
      </c>
    </row>
    <row r="21" spans="1:1">
      <c r="A21" s="380" t="s">
        <v>1547</v>
      </c>
    </row>
    <row r="22" spans="1:1">
      <c r="A22" s="380" t="s">
        <v>1548</v>
      </c>
    </row>
    <row r="23" spans="1:1">
      <c r="A23" s="380" t="s">
        <v>1549</v>
      </c>
    </row>
    <row r="24" spans="1:1">
      <c r="A24" s="380" t="s">
        <v>1550</v>
      </c>
    </row>
    <row r="25" spans="1:1">
      <c r="A25" s="380" t="s">
        <v>1551</v>
      </c>
    </row>
    <row r="26" spans="1:1">
      <c r="A26" s="380" t="s">
        <v>1552</v>
      </c>
    </row>
    <row r="27" spans="1:1">
      <c r="A27" s="380" t="s">
        <v>1553</v>
      </c>
    </row>
    <row r="28" spans="1:1">
      <c r="A28" s="380" t="s">
        <v>1554</v>
      </c>
    </row>
    <row r="29" spans="1:1">
      <c r="A29" s="380" t="s">
        <v>1555</v>
      </c>
    </row>
    <row r="30" spans="1:1">
      <c r="A30" s="380" t="s">
        <v>1556</v>
      </c>
    </row>
    <row r="31" spans="1:1">
      <c r="A31" s="380" t="s">
        <v>1557</v>
      </c>
    </row>
    <row r="32" spans="1:1">
      <c r="A32" s="380" t="s">
        <v>1558</v>
      </c>
    </row>
    <row r="33" spans="1:1">
      <c r="A33" s="380" t="s">
        <v>1559</v>
      </c>
    </row>
    <row r="34" spans="1:1">
      <c r="A34" s="380" t="s">
        <v>1560</v>
      </c>
    </row>
    <row r="35" spans="1:1">
      <c r="A35" s="380" t="s">
        <v>1561</v>
      </c>
    </row>
    <row r="36" spans="1:1">
      <c r="A36" s="380" t="s">
        <v>1562</v>
      </c>
    </row>
    <row r="37" spans="1:1">
      <c r="A37" s="380" t="s">
        <v>1563</v>
      </c>
    </row>
    <row r="38" spans="1:1">
      <c r="A38" s="380" t="s">
        <v>1564</v>
      </c>
    </row>
    <row r="39" spans="1:1">
      <c r="A39" s="380" t="s">
        <v>1565</v>
      </c>
    </row>
    <row r="40" spans="1:1">
      <c r="A40" s="380" t="s">
        <v>1566</v>
      </c>
    </row>
    <row r="41" spans="1:1">
      <c r="A41" s="380" t="s">
        <v>1567</v>
      </c>
    </row>
    <row r="42" spans="1:1">
      <c r="A42" s="380" t="s">
        <v>1568</v>
      </c>
    </row>
    <row r="43" spans="1:1">
      <c r="A43" s="380" t="s">
        <v>1569</v>
      </c>
    </row>
    <row r="44" spans="1:1">
      <c r="A44" s="380" t="s">
        <v>1570</v>
      </c>
    </row>
    <row r="45" spans="1:1">
      <c r="A45" s="380" t="s">
        <v>1571</v>
      </c>
    </row>
    <row r="46" spans="1:1">
      <c r="A46" s="380" t="s">
        <v>1572</v>
      </c>
    </row>
    <row r="47" spans="1:1">
      <c r="A47" s="380" t="s">
        <v>1573</v>
      </c>
    </row>
    <row r="48" spans="1:1">
      <c r="A48" s="380" t="s">
        <v>1574</v>
      </c>
    </row>
    <row r="49" spans="1:1">
      <c r="A49" s="380" t="s">
        <v>1575</v>
      </c>
    </row>
    <row r="50" spans="1:1">
      <c r="A50" s="380" t="s">
        <v>1576</v>
      </c>
    </row>
    <row r="51" spans="1:1">
      <c r="A51" s="380" t="s">
        <v>1577</v>
      </c>
    </row>
    <row r="52" spans="1:1">
      <c r="A52" s="380" t="s">
        <v>1578</v>
      </c>
    </row>
    <row r="53" spans="1:1">
      <c r="A53" s="380" t="s">
        <v>1579</v>
      </c>
    </row>
    <row r="54" spans="1:1">
      <c r="A54" s="380" t="s">
        <v>1580</v>
      </c>
    </row>
    <row r="55" spans="1:1">
      <c r="A55" s="380" t="s">
        <v>1581</v>
      </c>
    </row>
    <row r="56" spans="1:1">
      <c r="A56" s="380" t="s">
        <v>1582</v>
      </c>
    </row>
    <row r="57" spans="1:1" s="381" customFormat="1">
      <c r="A57" s="381" t="s">
        <v>1583</v>
      </c>
    </row>
    <row r="58" spans="1:1">
      <c r="A58" s="380" t="s">
        <v>1584</v>
      </c>
    </row>
    <row r="59" spans="1:1">
      <c r="A59" s="380" t="s">
        <v>1585</v>
      </c>
    </row>
    <row r="60" spans="1:1">
      <c r="A60" s="380" t="s">
        <v>1586</v>
      </c>
    </row>
    <row r="61" spans="1:1">
      <c r="A61" s="380" t="s">
        <v>1587</v>
      </c>
    </row>
    <row r="62" spans="1:1">
      <c r="A62" s="380" t="s">
        <v>1588</v>
      </c>
    </row>
    <row r="63" spans="1:1">
      <c r="A63" s="380" t="s">
        <v>1589</v>
      </c>
    </row>
    <row r="64" spans="1:1">
      <c r="A64" s="380" t="s">
        <v>1590</v>
      </c>
    </row>
    <row r="65" spans="1:1">
      <c r="A65" s="380" t="s">
        <v>1591</v>
      </c>
    </row>
    <row r="66" spans="1:1">
      <c r="A66" s="380" t="s">
        <v>1592</v>
      </c>
    </row>
    <row r="67" spans="1:1">
      <c r="A67" s="380" t="s">
        <v>1593</v>
      </c>
    </row>
    <row r="68" spans="1:1">
      <c r="A68" s="380" t="s">
        <v>1594</v>
      </c>
    </row>
    <row r="69" spans="1:1">
      <c r="A69" s="380" t="s">
        <v>1595</v>
      </c>
    </row>
    <row r="70" spans="1:1">
      <c r="A70" s="380" t="s">
        <v>1596</v>
      </c>
    </row>
    <row r="71" spans="1:1">
      <c r="A71" s="380" t="s">
        <v>1597</v>
      </c>
    </row>
    <row r="72" spans="1:1">
      <c r="A72" s="380" t="s">
        <v>1598</v>
      </c>
    </row>
    <row r="73" spans="1:1">
      <c r="A73" s="380" t="s">
        <v>1599</v>
      </c>
    </row>
    <row r="74" spans="1:1">
      <c r="A74" s="380" t="s">
        <v>1600</v>
      </c>
    </row>
    <row r="75" spans="1:1">
      <c r="A75" s="380" t="s">
        <v>1601</v>
      </c>
    </row>
    <row r="76" spans="1:1">
      <c r="A76" s="380" t="s">
        <v>1602</v>
      </c>
    </row>
    <row r="77" spans="1:1">
      <c r="A77" s="380" t="s">
        <v>1603</v>
      </c>
    </row>
    <row r="78" spans="1:1">
      <c r="A78" s="380" t="s">
        <v>1604</v>
      </c>
    </row>
    <row r="79" spans="1:1">
      <c r="A79" s="380" t="s">
        <v>1605</v>
      </c>
    </row>
    <row r="80" spans="1:1">
      <c r="A80" s="380" t="s">
        <v>1606</v>
      </c>
    </row>
    <row r="81" spans="1:1">
      <c r="A81" s="380" t="s">
        <v>1607</v>
      </c>
    </row>
    <row r="82" spans="1:1">
      <c r="A82" s="380" t="s">
        <v>1608</v>
      </c>
    </row>
    <row r="83" spans="1:1">
      <c r="A83" s="380" t="s">
        <v>1609</v>
      </c>
    </row>
    <row r="84" spans="1:1">
      <c r="A84" s="380" t="s">
        <v>1610</v>
      </c>
    </row>
    <row r="85" spans="1:1">
      <c r="A85" s="380" t="s">
        <v>1611</v>
      </c>
    </row>
    <row r="86" spans="1:1">
      <c r="A86" s="380" t="s">
        <v>1612</v>
      </c>
    </row>
    <row r="87" spans="1:1">
      <c r="A87" s="380" t="s">
        <v>1613</v>
      </c>
    </row>
    <row r="88" spans="1:1">
      <c r="A88" s="380" t="s">
        <v>1614</v>
      </c>
    </row>
    <row r="89" spans="1:1">
      <c r="A89" s="380" t="s">
        <v>1615</v>
      </c>
    </row>
    <row r="90" spans="1:1">
      <c r="A90" s="380" t="s">
        <v>1616</v>
      </c>
    </row>
    <row r="91" spans="1:1">
      <c r="A91" s="380" t="s">
        <v>1617</v>
      </c>
    </row>
    <row r="92" spans="1:1">
      <c r="A92" s="380" t="s">
        <v>1618</v>
      </c>
    </row>
    <row r="93" spans="1:1">
      <c r="A93" s="380" t="s">
        <v>1619</v>
      </c>
    </row>
    <row r="94" spans="1:1">
      <c r="A94" s="380" t="s">
        <v>1620</v>
      </c>
    </row>
    <row r="95" spans="1:1">
      <c r="A95" s="380" t="s">
        <v>1621</v>
      </c>
    </row>
    <row r="96" spans="1:1">
      <c r="A96" s="380" t="s">
        <v>1622</v>
      </c>
    </row>
    <row r="97" spans="1:1">
      <c r="A97" s="380" t="s">
        <v>1623</v>
      </c>
    </row>
    <row r="98" spans="1:1">
      <c r="A98" s="380" t="s">
        <v>1624</v>
      </c>
    </row>
    <row r="99" spans="1:1">
      <c r="A99" s="380" t="s">
        <v>1625</v>
      </c>
    </row>
    <row r="100" spans="1:1">
      <c r="A100" s="380" t="s">
        <v>1626</v>
      </c>
    </row>
    <row r="101" spans="1:1">
      <c r="A101" s="380" t="s">
        <v>1627</v>
      </c>
    </row>
    <row r="103" spans="1:1">
      <c r="A103" s="380" t="s">
        <v>1628</v>
      </c>
    </row>
    <row r="104" spans="1:1">
      <c r="A104" s="380" t="s">
        <v>1032</v>
      </c>
    </row>
    <row r="105" spans="1:1">
      <c r="A105" s="380" t="s">
        <v>1629</v>
      </c>
    </row>
    <row r="106" spans="1:1">
      <c r="A106" s="380" t="s">
        <v>865</v>
      </c>
    </row>
    <row r="107" spans="1:1">
      <c r="A107" s="380" t="s">
        <v>1630</v>
      </c>
    </row>
    <row r="108" spans="1:1">
      <c r="A108" s="380" t="s">
        <v>867</v>
      </c>
    </row>
    <row r="109" spans="1:1">
      <c r="A109" s="380" t="s">
        <v>1631</v>
      </c>
    </row>
    <row r="110" spans="1:1">
      <c r="A110" s="380" t="s">
        <v>869</v>
      </c>
    </row>
    <row r="111" spans="1:1">
      <c r="A111" s="380" t="s">
        <v>870</v>
      </c>
    </row>
    <row r="112" spans="1:1">
      <c r="A112" s="380" t="s">
        <v>871</v>
      </c>
    </row>
    <row r="113" spans="1:1">
      <c r="A113" s="380" t="s">
        <v>872</v>
      </c>
    </row>
    <row r="114" spans="1:1">
      <c r="A114" s="380" t="s">
        <v>873</v>
      </c>
    </row>
    <row r="115" spans="1:1">
      <c r="A115" s="380" t="s">
        <v>874</v>
      </c>
    </row>
    <row r="116" spans="1:1">
      <c r="A116" s="380" t="s">
        <v>875</v>
      </c>
    </row>
    <row r="117" spans="1:1">
      <c r="A117" s="380" t="s">
        <v>876</v>
      </c>
    </row>
    <row r="118" spans="1:1">
      <c r="A118" s="380" t="s">
        <v>877</v>
      </c>
    </row>
    <row r="119" spans="1:1">
      <c r="A119" s="380" t="s">
        <v>878</v>
      </c>
    </row>
    <row r="120" spans="1:1">
      <c r="A120" s="380" t="s">
        <v>879</v>
      </c>
    </row>
    <row r="121" spans="1:1">
      <c r="A121" s="380" t="s">
        <v>880</v>
      </c>
    </row>
    <row r="122" spans="1:1">
      <c r="A122" s="380" t="s">
        <v>881</v>
      </c>
    </row>
    <row r="123" spans="1:1">
      <c r="A123" s="380" t="s">
        <v>882</v>
      </c>
    </row>
    <row r="124" spans="1:1">
      <c r="A124" s="380" t="s">
        <v>883</v>
      </c>
    </row>
    <row r="125" spans="1:1">
      <c r="A125" s="380" t="s">
        <v>884</v>
      </c>
    </row>
    <row r="126" spans="1:1">
      <c r="A126" s="380" t="s">
        <v>885</v>
      </c>
    </row>
    <row r="127" spans="1:1">
      <c r="A127" s="380" t="s">
        <v>886</v>
      </c>
    </row>
    <row r="128" spans="1:1">
      <c r="A128" s="380" t="s">
        <v>887</v>
      </c>
    </row>
    <row r="129" spans="1:1">
      <c r="A129" s="380" t="s">
        <v>888</v>
      </c>
    </row>
    <row r="130" spans="1:1">
      <c r="A130" s="380" t="s">
        <v>889</v>
      </c>
    </row>
    <row r="131" spans="1:1">
      <c r="A131" s="380" t="s">
        <v>890</v>
      </c>
    </row>
    <row r="132" spans="1:1">
      <c r="A132" s="380" t="s">
        <v>891</v>
      </c>
    </row>
    <row r="133" spans="1:1">
      <c r="A133" s="380" t="s">
        <v>892</v>
      </c>
    </row>
    <row r="134" spans="1:1">
      <c r="A134" s="380" t="s">
        <v>893</v>
      </c>
    </row>
    <row r="135" spans="1:1">
      <c r="A135" s="380" t="s">
        <v>894</v>
      </c>
    </row>
    <row r="136" spans="1:1">
      <c r="A136" s="380" t="s">
        <v>895</v>
      </c>
    </row>
    <row r="137" spans="1:1">
      <c r="A137" s="380" t="s">
        <v>896</v>
      </c>
    </row>
    <row r="138" spans="1:1">
      <c r="A138" s="380" t="s">
        <v>897</v>
      </c>
    </row>
    <row r="139" spans="1:1">
      <c r="A139" s="380" t="s">
        <v>898</v>
      </c>
    </row>
    <row r="140" spans="1:1">
      <c r="A140" s="380" t="s">
        <v>899</v>
      </c>
    </row>
    <row r="141" spans="1:1">
      <c r="A141" s="380" t="s">
        <v>1632</v>
      </c>
    </row>
    <row r="142" spans="1:1">
      <c r="A142" s="380" t="s">
        <v>901</v>
      </c>
    </row>
    <row r="143" spans="1:1">
      <c r="A143" s="380" t="s">
        <v>1633</v>
      </c>
    </row>
    <row r="144" spans="1:1">
      <c r="A144" s="380" t="s">
        <v>903</v>
      </c>
    </row>
    <row r="145" spans="1:1">
      <c r="A145" s="380" t="s">
        <v>1038</v>
      </c>
    </row>
    <row r="146" spans="1:1">
      <c r="A146" s="380" t="s">
        <v>905</v>
      </c>
    </row>
    <row r="147" spans="1:1">
      <c r="A147" s="380" t="s">
        <v>906</v>
      </c>
    </row>
    <row r="148" spans="1:1">
      <c r="A148" s="380" t="s">
        <v>907</v>
      </c>
    </row>
    <row r="149" spans="1:1">
      <c r="A149" s="380" t="s">
        <v>908</v>
      </c>
    </row>
    <row r="150" spans="1:1">
      <c r="A150" s="380" t="s">
        <v>909</v>
      </c>
    </row>
    <row r="151" spans="1:1" s="381" customFormat="1">
      <c r="A151" s="381" t="s">
        <v>1634</v>
      </c>
    </row>
    <row r="152" spans="1:1">
      <c r="A152" s="380" t="s">
        <v>911</v>
      </c>
    </row>
    <row r="153" spans="1:1">
      <c r="A153" s="380" t="s">
        <v>912</v>
      </c>
    </row>
    <row r="154" spans="1:1">
      <c r="A154" s="380" t="s">
        <v>913</v>
      </c>
    </row>
    <row r="155" spans="1:1">
      <c r="A155" s="380" t="s">
        <v>914</v>
      </c>
    </row>
    <row r="156" spans="1:1">
      <c r="A156" s="380" t="s">
        <v>915</v>
      </c>
    </row>
    <row r="157" spans="1:1">
      <c r="A157" s="380" t="s">
        <v>916</v>
      </c>
    </row>
    <row r="158" spans="1:1">
      <c r="A158" s="380" t="s">
        <v>917</v>
      </c>
    </row>
  </sheetData>
  <phoneticPr fontId="3"/>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B36"/>
  <sheetViews>
    <sheetView tabSelected="1"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1627</v>
      </c>
    </row>
    <row r="9" spans="1:1">
      <c r="A9" s="380" t="s">
        <v>1635</v>
      </c>
    </row>
    <row r="10" spans="1:1">
      <c r="A10" s="380" t="s">
        <v>1636</v>
      </c>
    </row>
    <row r="11" spans="1:1">
      <c r="A11" s="380" t="s">
        <v>1637</v>
      </c>
    </row>
    <row r="12" spans="1:1">
      <c r="A12" s="380" t="s">
        <v>1638</v>
      </c>
    </row>
    <row r="13" spans="1:1">
      <c r="A13" s="380" t="s">
        <v>1639</v>
      </c>
    </row>
    <row r="14" spans="1:1" s="381" customFormat="1">
      <c r="A14" s="381" t="s">
        <v>1640</v>
      </c>
    </row>
    <row r="15" spans="1:1" s="381" customFormat="1">
      <c r="A15" s="381" t="s">
        <v>1641</v>
      </c>
    </row>
    <row r="16" spans="1:1" s="381" customFormat="1">
      <c r="A16" s="381" t="s">
        <v>676</v>
      </c>
    </row>
    <row r="17" spans="1:2" s="381" customFormat="1">
      <c r="A17" s="381" t="s">
        <v>712</v>
      </c>
    </row>
    <row r="18" spans="1:2" s="381" customFormat="1">
      <c r="A18" s="381"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1642</v>
      </c>
    </row>
    <row r="36" spans="1:2">
      <c r="A36" s="380" t="s">
        <v>1643</v>
      </c>
    </row>
  </sheetData>
  <phoneticPr fontId="3"/>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B36"/>
  <sheetViews>
    <sheetView tabSelected="1"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1643</v>
      </c>
    </row>
    <row r="9" spans="1:1">
      <c r="A9" s="380" t="s">
        <v>1644</v>
      </c>
    </row>
    <row r="10" spans="1:1">
      <c r="A10" s="380" t="s">
        <v>1645</v>
      </c>
    </row>
    <row r="11" spans="1:1">
      <c r="A11" s="380" t="s">
        <v>1646</v>
      </c>
    </row>
    <row r="12" spans="1:1">
      <c r="A12" s="380" t="s">
        <v>1647</v>
      </c>
    </row>
    <row r="13" spans="1:1">
      <c r="A13" s="380" t="s">
        <v>1648</v>
      </c>
    </row>
    <row r="14" spans="1:1" s="381" customFormat="1">
      <c r="A14" s="381" t="s">
        <v>1649</v>
      </c>
    </row>
    <row r="15" spans="1:1" s="381" customFormat="1">
      <c r="A15" s="381" t="s">
        <v>1650</v>
      </c>
    </row>
    <row r="16" spans="1:1" s="381" customFormat="1">
      <c r="A16" s="381" t="s">
        <v>676</v>
      </c>
    </row>
    <row r="17" spans="1:2" s="381" customFormat="1">
      <c r="A17" s="381" t="s">
        <v>713</v>
      </c>
    </row>
    <row r="18" spans="1:2" s="381" customFormat="1">
      <c r="A18" s="381" t="s">
        <v>701</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1651</v>
      </c>
    </row>
    <row r="36" spans="1:2">
      <c r="A36" s="380" t="s">
        <v>1652</v>
      </c>
    </row>
  </sheetData>
  <phoneticPr fontId="3"/>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dimension ref="A1:A158"/>
  <sheetViews>
    <sheetView tabSelected="1"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1671</v>
      </c>
    </row>
    <row r="6" spans="1:1">
      <c r="A6" s="380" t="s">
        <v>675</v>
      </c>
    </row>
    <row r="8" spans="1:1">
      <c r="A8" s="380" t="s">
        <v>1670</v>
      </c>
    </row>
    <row r="9" spans="1:1">
      <c r="A9" s="380" t="s">
        <v>1672</v>
      </c>
    </row>
    <row r="10" spans="1:1">
      <c r="A10" s="380" t="s">
        <v>1673</v>
      </c>
    </row>
    <row r="11" spans="1:1">
      <c r="A11" s="380" t="s">
        <v>1674</v>
      </c>
    </row>
    <row r="12" spans="1:1">
      <c r="A12" s="380" t="s">
        <v>1675</v>
      </c>
    </row>
    <row r="13" spans="1:1">
      <c r="A13" s="380" t="s">
        <v>1676</v>
      </c>
    </row>
    <row r="14" spans="1:1">
      <c r="A14" s="380" t="s">
        <v>1677</v>
      </c>
    </row>
    <row r="15" spans="1:1">
      <c r="A15" s="380" t="s">
        <v>1678</v>
      </c>
    </row>
    <row r="16" spans="1:1">
      <c r="A16" s="380" t="s">
        <v>1679</v>
      </c>
    </row>
    <row r="17" spans="1:1">
      <c r="A17" s="380" t="s">
        <v>1680</v>
      </c>
    </row>
    <row r="18" spans="1:1">
      <c r="A18" s="380" t="s">
        <v>1681</v>
      </c>
    </row>
    <row r="19" spans="1:1">
      <c r="A19" s="380" t="s">
        <v>1682</v>
      </c>
    </row>
    <row r="20" spans="1:1">
      <c r="A20" s="380" t="s">
        <v>1683</v>
      </c>
    </row>
    <row r="21" spans="1:1">
      <c r="A21" s="380" t="s">
        <v>1684</v>
      </c>
    </row>
    <row r="22" spans="1:1">
      <c r="A22" s="380" t="s">
        <v>1685</v>
      </c>
    </row>
    <row r="23" spans="1:1">
      <c r="A23" s="380" t="s">
        <v>1686</v>
      </c>
    </row>
    <row r="24" spans="1:1">
      <c r="A24" s="380" t="s">
        <v>1687</v>
      </c>
    </row>
    <row r="25" spans="1:1">
      <c r="A25" s="380" t="s">
        <v>1688</v>
      </c>
    </row>
    <row r="26" spans="1:1">
      <c r="A26" s="380" t="s">
        <v>1689</v>
      </c>
    </row>
    <row r="27" spans="1:1">
      <c r="A27" s="380" t="s">
        <v>1690</v>
      </c>
    </row>
    <row r="28" spans="1:1">
      <c r="A28" s="380" t="s">
        <v>1691</v>
      </c>
    </row>
    <row r="29" spans="1:1">
      <c r="A29" s="380" t="s">
        <v>1692</v>
      </c>
    </row>
    <row r="30" spans="1:1">
      <c r="A30" s="380" t="s">
        <v>1693</v>
      </c>
    </row>
    <row r="31" spans="1:1">
      <c r="A31" s="380" t="s">
        <v>1694</v>
      </c>
    </row>
    <row r="32" spans="1:1">
      <c r="A32" s="380" t="s">
        <v>1695</v>
      </c>
    </row>
    <row r="33" spans="1:1">
      <c r="A33" s="380" t="s">
        <v>1696</v>
      </c>
    </row>
    <row r="34" spans="1:1">
      <c r="A34" s="380" t="s">
        <v>1697</v>
      </c>
    </row>
    <row r="35" spans="1:1">
      <c r="A35" s="380" t="s">
        <v>1698</v>
      </c>
    </row>
    <row r="36" spans="1:1">
      <c r="A36" s="380" t="s">
        <v>1699</v>
      </c>
    </row>
    <row r="37" spans="1:1">
      <c r="A37" s="380" t="s">
        <v>1700</v>
      </c>
    </row>
    <row r="38" spans="1:1">
      <c r="A38" s="380" t="s">
        <v>1701</v>
      </c>
    </row>
    <row r="39" spans="1:1">
      <c r="A39" s="380" t="s">
        <v>1702</v>
      </c>
    </row>
    <row r="40" spans="1:1">
      <c r="A40" s="380" t="s">
        <v>1703</v>
      </c>
    </row>
    <row r="41" spans="1:1">
      <c r="A41" s="380" t="s">
        <v>1704</v>
      </c>
    </row>
    <row r="42" spans="1:1">
      <c r="A42" s="380" t="s">
        <v>1705</v>
      </c>
    </row>
    <row r="43" spans="1:1">
      <c r="A43" s="380" t="s">
        <v>1706</v>
      </c>
    </row>
    <row r="44" spans="1:1">
      <c r="A44" s="380" t="s">
        <v>1707</v>
      </c>
    </row>
    <row r="45" spans="1:1">
      <c r="A45" s="380" t="s">
        <v>1708</v>
      </c>
    </row>
    <row r="46" spans="1:1">
      <c r="A46" s="380" t="s">
        <v>1709</v>
      </c>
    </row>
    <row r="47" spans="1:1">
      <c r="A47" s="380" t="s">
        <v>1710</v>
      </c>
    </row>
    <row r="48" spans="1:1">
      <c r="A48" s="380" t="s">
        <v>1711</v>
      </c>
    </row>
    <row r="49" spans="1:1">
      <c r="A49" s="380" t="s">
        <v>1712</v>
      </c>
    </row>
    <row r="50" spans="1:1">
      <c r="A50" s="380" t="s">
        <v>1713</v>
      </c>
    </row>
    <row r="51" spans="1:1">
      <c r="A51" s="380" t="s">
        <v>1714</v>
      </c>
    </row>
    <row r="52" spans="1:1">
      <c r="A52" s="380" t="s">
        <v>1715</v>
      </c>
    </row>
    <row r="53" spans="1:1">
      <c r="A53" s="380" t="s">
        <v>1716</v>
      </c>
    </row>
    <row r="54" spans="1:1">
      <c r="A54" s="380" t="s">
        <v>1717</v>
      </c>
    </row>
    <row r="55" spans="1:1">
      <c r="A55" s="380" t="s">
        <v>1718</v>
      </c>
    </row>
    <row r="56" spans="1:1">
      <c r="A56" s="380" t="s">
        <v>1719</v>
      </c>
    </row>
    <row r="57" spans="1:1">
      <c r="A57" s="380" t="s">
        <v>1720</v>
      </c>
    </row>
    <row r="58" spans="1:1" s="381" customFormat="1">
      <c r="A58" s="381" t="s">
        <v>1721</v>
      </c>
    </row>
    <row r="59" spans="1:1">
      <c r="A59" s="380" t="s">
        <v>1722</v>
      </c>
    </row>
    <row r="60" spans="1:1">
      <c r="A60" s="380" t="s">
        <v>1723</v>
      </c>
    </row>
    <row r="61" spans="1:1">
      <c r="A61" s="380" t="s">
        <v>1724</v>
      </c>
    </row>
    <row r="62" spans="1:1">
      <c r="A62" s="380" t="s">
        <v>1725</v>
      </c>
    </row>
    <row r="63" spans="1:1">
      <c r="A63" s="380" t="s">
        <v>1726</v>
      </c>
    </row>
    <row r="64" spans="1:1">
      <c r="A64" s="380" t="s">
        <v>1727</v>
      </c>
    </row>
    <row r="65" spans="1:1">
      <c r="A65" s="380" t="s">
        <v>1728</v>
      </c>
    </row>
    <row r="66" spans="1:1">
      <c r="A66" s="380" t="s">
        <v>1729</v>
      </c>
    </row>
    <row r="67" spans="1:1">
      <c r="A67" s="380" t="s">
        <v>1730</v>
      </c>
    </row>
    <row r="68" spans="1:1">
      <c r="A68" s="380" t="s">
        <v>1731</v>
      </c>
    </row>
    <row r="69" spans="1:1">
      <c r="A69" s="380" t="s">
        <v>1732</v>
      </c>
    </row>
    <row r="70" spans="1:1">
      <c r="A70" s="380" t="s">
        <v>1733</v>
      </c>
    </row>
    <row r="71" spans="1:1">
      <c r="A71" s="380" t="s">
        <v>1734</v>
      </c>
    </row>
    <row r="72" spans="1:1">
      <c r="A72" s="380" t="s">
        <v>1735</v>
      </c>
    </row>
    <row r="73" spans="1:1">
      <c r="A73" s="380" t="s">
        <v>1736</v>
      </c>
    </row>
    <row r="74" spans="1:1">
      <c r="A74" s="380" t="s">
        <v>1737</v>
      </c>
    </row>
    <row r="75" spans="1:1">
      <c r="A75" s="380" t="s">
        <v>1738</v>
      </c>
    </row>
    <row r="76" spans="1:1">
      <c r="A76" s="380" t="s">
        <v>1739</v>
      </c>
    </row>
    <row r="77" spans="1:1">
      <c r="A77" s="380" t="s">
        <v>1740</v>
      </c>
    </row>
    <row r="78" spans="1:1">
      <c r="A78" s="380" t="s">
        <v>1741</v>
      </c>
    </row>
    <row r="79" spans="1:1">
      <c r="A79" s="380" t="s">
        <v>1742</v>
      </c>
    </row>
    <row r="80" spans="1:1">
      <c r="A80" s="380" t="s">
        <v>1743</v>
      </c>
    </row>
    <row r="81" spans="1:1">
      <c r="A81" s="380" t="s">
        <v>1744</v>
      </c>
    </row>
    <row r="82" spans="1:1">
      <c r="A82" s="380" t="s">
        <v>1745</v>
      </c>
    </row>
    <row r="83" spans="1:1">
      <c r="A83" s="380" t="s">
        <v>1746</v>
      </c>
    </row>
    <row r="84" spans="1:1">
      <c r="A84" s="380" t="s">
        <v>1747</v>
      </c>
    </row>
    <row r="85" spans="1:1">
      <c r="A85" s="380" t="s">
        <v>1748</v>
      </c>
    </row>
    <row r="86" spans="1:1">
      <c r="A86" s="380" t="s">
        <v>1749</v>
      </c>
    </row>
    <row r="87" spans="1:1">
      <c r="A87" s="380" t="s">
        <v>1750</v>
      </c>
    </row>
    <row r="88" spans="1:1">
      <c r="A88" s="380" t="s">
        <v>1751</v>
      </c>
    </row>
    <row r="89" spans="1:1">
      <c r="A89" s="380" t="s">
        <v>1752</v>
      </c>
    </row>
    <row r="90" spans="1:1">
      <c r="A90" s="380" t="s">
        <v>1753</v>
      </c>
    </row>
    <row r="91" spans="1:1">
      <c r="A91" s="380" t="s">
        <v>1754</v>
      </c>
    </row>
    <row r="92" spans="1:1">
      <c r="A92" s="380" t="s">
        <v>1755</v>
      </c>
    </row>
    <row r="93" spans="1:1">
      <c r="A93" s="380" t="s">
        <v>1756</v>
      </c>
    </row>
    <row r="94" spans="1:1">
      <c r="A94" s="380" t="s">
        <v>1757</v>
      </c>
    </row>
    <row r="95" spans="1:1">
      <c r="A95" s="380" t="s">
        <v>1758</v>
      </c>
    </row>
    <row r="96" spans="1:1">
      <c r="A96" s="380" t="s">
        <v>1759</v>
      </c>
    </row>
    <row r="97" spans="1:1">
      <c r="A97" s="380" t="s">
        <v>1760</v>
      </c>
    </row>
    <row r="98" spans="1:1">
      <c r="A98" s="380" t="s">
        <v>1761</v>
      </c>
    </row>
    <row r="99" spans="1:1">
      <c r="A99" s="380" t="s">
        <v>1762</v>
      </c>
    </row>
    <row r="100" spans="1:1">
      <c r="A100" s="380" t="s">
        <v>1763</v>
      </c>
    </row>
    <row r="101" spans="1:1">
      <c r="A101" s="380" t="s">
        <v>1764</v>
      </c>
    </row>
    <row r="103" spans="1:1">
      <c r="A103" s="380" t="s">
        <v>1765</v>
      </c>
    </row>
    <row r="104" spans="1:1">
      <c r="A104" s="380" t="s">
        <v>1032</v>
      </c>
    </row>
    <row r="105" spans="1:1">
      <c r="A105" s="380" t="s">
        <v>1766</v>
      </c>
    </row>
    <row r="106" spans="1:1">
      <c r="A106" s="380" t="s">
        <v>865</v>
      </c>
    </row>
    <row r="107" spans="1:1">
      <c r="A107" s="380" t="s">
        <v>1767</v>
      </c>
    </row>
    <row r="108" spans="1:1">
      <c r="A108" s="380" t="s">
        <v>867</v>
      </c>
    </row>
    <row r="109" spans="1:1">
      <c r="A109" s="380" t="s">
        <v>1768</v>
      </c>
    </row>
    <row r="110" spans="1:1">
      <c r="A110" s="380" t="s">
        <v>869</v>
      </c>
    </row>
    <row r="111" spans="1:1">
      <c r="A111" s="380" t="s">
        <v>870</v>
      </c>
    </row>
    <row r="112" spans="1:1">
      <c r="A112" s="380" t="s">
        <v>871</v>
      </c>
    </row>
    <row r="113" spans="1:1">
      <c r="A113" s="380" t="s">
        <v>872</v>
      </c>
    </row>
    <row r="114" spans="1:1">
      <c r="A114" s="380" t="s">
        <v>873</v>
      </c>
    </row>
    <row r="115" spans="1:1">
      <c r="A115" s="380" t="s">
        <v>874</v>
      </c>
    </row>
    <row r="116" spans="1:1">
      <c r="A116" s="380" t="s">
        <v>875</v>
      </c>
    </row>
    <row r="117" spans="1:1">
      <c r="A117" s="380" t="s">
        <v>876</v>
      </c>
    </row>
    <row r="118" spans="1:1">
      <c r="A118" s="380" t="s">
        <v>877</v>
      </c>
    </row>
    <row r="119" spans="1:1">
      <c r="A119" s="380" t="s">
        <v>878</v>
      </c>
    </row>
    <row r="120" spans="1:1">
      <c r="A120" s="380" t="s">
        <v>879</v>
      </c>
    </row>
    <row r="121" spans="1:1">
      <c r="A121" s="380" t="s">
        <v>880</v>
      </c>
    </row>
    <row r="122" spans="1:1">
      <c r="A122" s="380" t="s">
        <v>881</v>
      </c>
    </row>
    <row r="123" spans="1:1">
      <c r="A123" s="380" t="s">
        <v>882</v>
      </c>
    </row>
    <row r="124" spans="1:1">
      <c r="A124" s="380" t="s">
        <v>883</v>
      </c>
    </row>
    <row r="125" spans="1:1">
      <c r="A125" s="380" t="s">
        <v>884</v>
      </c>
    </row>
    <row r="126" spans="1:1">
      <c r="A126" s="380" t="s">
        <v>885</v>
      </c>
    </row>
    <row r="127" spans="1:1">
      <c r="A127" s="380" t="s">
        <v>886</v>
      </c>
    </row>
    <row r="128" spans="1:1">
      <c r="A128" s="380" t="s">
        <v>887</v>
      </c>
    </row>
    <row r="129" spans="1:1">
      <c r="A129" s="380" t="s">
        <v>888</v>
      </c>
    </row>
    <row r="130" spans="1:1">
      <c r="A130" s="380" t="s">
        <v>889</v>
      </c>
    </row>
    <row r="131" spans="1:1">
      <c r="A131" s="380" t="s">
        <v>890</v>
      </c>
    </row>
    <row r="132" spans="1:1">
      <c r="A132" s="380" t="s">
        <v>891</v>
      </c>
    </row>
    <row r="133" spans="1:1">
      <c r="A133" s="380" t="s">
        <v>892</v>
      </c>
    </row>
    <row r="134" spans="1:1">
      <c r="A134" s="380" t="s">
        <v>893</v>
      </c>
    </row>
    <row r="135" spans="1:1">
      <c r="A135" s="380" t="s">
        <v>894</v>
      </c>
    </row>
    <row r="136" spans="1:1">
      <c r="A136" s="380" t="s">
        <v>895</v>
      </c>
    </row>
    <row r="137" spans="1:1">
      <c r="A137" s="380" t="s">
        <v>896</v>
      </c>
    </row>
    <row r="138" spans="1:1">
      <c r="A138" s="380" t="s">
        <v>897</v>
      </c>
    </row>
    <row r="139" spans="1:1">
      <c r="A139" s="380" t="s">
        <v>898</v>
      </c>
    </row>
    <row r="140" spans="1:1">
      <c r="A140" s="380" t="s">
        <v>899</v>
      </c>
    </row>
    <row r="141" spans="1:1">
      <c r="A141" s="380" t="s">
        <v>1769</v>
      </c>
    </row>
    <row r="142" spans="1:1">
      <c r="A142" s="380" t="s">
        <v>901</v>
      </c>
    </row>
    <row r="143" spans="1:1">
      <c r="A143" s="380" t="s">
        <v>1770</v>
      </c>
    </row>
    <row r="144" spans="1:1">
      <c r="A144" s="380" t="s">
        <v>903</v>
      </c>
    </row>
    <row r="145" spans="1:1">
      <c r="A145" s="380" t="s">
        <v>1038</v>
      </c>
    </row>
    <row r="146" spans="1:1">
      <c r="A146" s="380" t="s">
        <v>905</v>
      </c>
    </row>
    <row r="147" spans="1:1">
      <c r="A147" s="380" t="s">
        <v>906</v>
      </c>
    </row>
    <row r="148" spans="1:1">
      <c r="A148" s="380" t="s">
        <v>907</v>
      </c>
    </row>
    <row r="149" spans="1:1">
      <c r="A149" s="380" t="s">
        <v>908</v>
      </c>
    </row>
    <row r="150" spans="1:1">
      <c r="A150" s="380" t="s">
        <v>909</v>
      </c>
    </row>
    <row r="151" spans="1:1">
      <c r="A151" s="380" t="s">
        <v>910</v>
      </c>
    </row>
    <row r="152" spans="1:1" s="381" customFormat="1">
      <c r="A152" s="381" t="s">
        <v>1771</v>
      </c>
    </row>
    <row r="153" spans="1:1">
      <c r="A153" s="380" t="s">
        <v>912</v>
      </c>
    </row>
    <row r="154" spans="1:1">
      <c r="A154" s="380" t="s">
        <v>913</v>
      </c>
    </row>
    <row r="155" spans="1:1">
      <c r="A155" s="380" t="s">
        <v>914</v>
      </c>
    </row>
    <row r="156" spans="1:1">
      <c r="A156" s="380" t="s">
        <v>915</v>
      </c>
    </row>
    <row r="157" spans="1:1">
      <c r="A157" s="380" t="s">
        <v>916</v>
      </c>
    </row>
    <row r="158" spans="1:1">
      <c r="A158" s="380" t="s">
        <v>917</v>
      </c>
    </row>
  </sheetData>
  <phoneticPr fontId="3"/>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dimension ref="A1:B36"/>
  <sheetViews>
    <sheetView tabSelected="1"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1652</v>
      </c>
    </row>
    <row r="9" spans="1:1">
      <c r="A9" s="380" t="s">
        <v>1653</v>
      </c>
    </row>
    <row r="10" spans="1:1">
      <c r="A10" s="380" t="s">
        <v>1654</v>
      </c>
    </row>
    <row r="11" spans="1:1">
      <c r="A11" s="380" t="s">
        <v>1655</v>
      </c>
    </row>
    <row r="12" spans="1:1">
      <c r="A12" s="380" t="s">
        <v>1656</v>
      </c>
    </row>
    <row r="13" spans="1:1">
      <c r="A13" s="380" t="s">
        <v>1657</v>
      </c>
    </row>
    <row r="14" spans="1:1" s="381" customFormat="1">
      <c r="A14" s="381" t="s">
        <v>1658</v>
      </c>
    </row>
    <row r="15" spans="1:1" s="381" customFormat="1">
      <c r="A15" s="381" t="s">
        <v>1659</v>
      </c>
    </row>
    <row r="16" spans="1:1" s="381" customFormat="1">
      <c r="A16" s="381" t="s">
        <v>676</v>
      </c>
    </row>
    <row r="17" spans="1:2" s="381" customFormat="1">
      <c r="A17" s="381" t="s">
        <v>714</v>
      </c>
    </row>
    <row r="18" spans="1:2" s="381" customFormat="1">
      <c r="A18" s="381"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1660</v>
      </c>
    </row>
    <row r="36" spans="1:2">
      <c r="A36" s="380" t="s">
        <v>1661</v>
      </c>
    </row>
  </sheetData>
  <phoneticPr fontId="3"/>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dimension ref="A1:B36"/>
  <sheetViews>
    <sheetView tabSelected="1" topLeftCell="A10" workbookViewId="0">
      <selection activeCell="M19" sqref="M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1661</v>
      </c>
    </row>
    <row r="9" spans="1:1">
      <c r="A9" s="380" t="s">
        <v>1662</v>
      </c>
    </row>
    <row r="10" spans="1:1">
      <c r="A10" s="380" t="s">
        <v>1663</v>
      </c>
    </row>
    <row r="11" spans="1:1">
      <c r="A11" s="380" t="s">
        <v>1664</v>
      </c>
    </row>
    <row r="12" spans="1:1">
      <c r="A12" s="380" t="s">
        <v>1665</v>
      </c>
    </row>
    <row r="13" spans="1:1">
      <c r="A13" s="380" t="s">
        <v>1666</v>
      </c>
    </row>
    <row r="14" spans="1:1" s="381" customFormat="1">
      <c r="A14" s="381" t="s">
        <v>1667</v>
      </c>
    </row>
    <row r="15" spans="1:1" s="381" customFormat="1">
      <c r="A15" s="381" t="s">
        <v>1668</v>
      </c>
    </row>
    <row r="16" spans="1:1" s="381" customFormat="1">
      <c r="A16" s="381" t="s">
        <v>676</v>
      </c>
    </row>
    <row r="17" spans="1:2" s="381" customFormat="1">
      <c r="A17" s="381" t="s">
        <v>715</v>
      </c>
    </row>
    <row r="18" spans="1:2" s="381" customFormat="1">
      <c r="A18" s="381" t="s">
        <v>701</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1669</v>
      </c>
    </row>
    <row r="36" spans="1:2">
      <c r="A36" s="380" t="s">
        <v>1670</v>
      </c>
    </row>
  </sheetData>
  <phoneticPr fontId="3"/>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dimension ref="A1:A157"/>
  <sheetViews>
    <sheetView topLeftCell="A145" workbookViewId="0">
      <selection activeCell="A152" sqref="A152:IV152"/>
    </sheetView>
  </sheetViews>
  <sheetFormatPr defaultColWidth="9" defaultRowHeight="12.75"/>
  <cols>
    <col min="1" max="16384" width="9" style="380"/>
  </cols>
  <sheetData>
    <row r="1" spans="1:1">
      <c r="A1" s="380" t="s">
        <v>674</v>
      </c>
    </row>
    <row r="3" spans="1:1">
      <c r="A3" s="380" t="s">
        <v>673</v>
      </c>
    </row>
    <row r="4" spans="1:1">
      <c r="A4" s="380" t="s">
        <v>1772</v>
      </c>
    </row>
    <row r="6" spans="1:1">
      <c r="A6" s="380" t="s">
        <v>675</v>
      </c>
    </row>
    <row r="8" spans="1:1">
      <c r="A8" s="380" t="s">
        <v>1773</v>
      </c>
    </row>
    <row r="9" spans="1:1">
      <c r="A9" s="380" t="s">
        <v>1774</v>
      </c>
    </row>
    <row r="10" spans="1:1">
      <c r="A10" s="380" t="s">
        <v>1775</v>
      </c>
    </row>
    <row r="11" spans="1:1">
      <c r="A11" s="380" t="s">
        <v>1776</v>
      </c>
    </row>
    <row r="12" spans="1:1">
      <c r="A12" s="380" t="s">
        <v>1777</v>
      </c>
    </row>
    <row r="13" spans="1:1">
      <c r="A13" s="380" t="s">
        <v>1778</v>
      </c>
    </row>
    <row r="14" spans="1:1">
      <c r="A14" s="380" t="s">
        <v>1779</v>
      </c>
    </row>
    <row r="15" spans="1:1">
      <c r="A15" s="380" t="s">
        <v>1780</v>
      </c>
    </row>
    <row r="16" spans="1:1">
      <c r="A16" s="380" t="s">
        <v>1781</v>
      </c>
    </row>
    <row r="17" spans="1:1">
      <c r="A17" s="380" t="s">
        <v>1782</v>
      </c>
    </row>
    <row r="18" spans="1:1">
      <c r="A18" s="380" t="s">
        <v>1783</v>
      </c>
    </row>
    <row r="19" spans="1:1">
      <c r="A19" s="380" t="s">
        <v>1784</v>
      </c>
    </row>
    <row r="20" spans="1:1">
      <c r="A20" s="380" t="s">
        <v>1785</v>
      </c>
    </row>
    <row r="21" spans="1:1">
      <c r="A21" s="380" t="s">
        <v>1786</v>
      </c>
    </row>
    <row r="22" spans="1:1">
      <c r="A22" s="380" t="s">
        <v>1787</v>
      </c>
    </row>
    <row r="23" spans="1:1">
      <c r="A23" s="380" t="s">
        <v>1788</v>
      </c>
    </row>
    <row r="24" spans="1:1">
      <c r="A24" s="380" t="s">
        <v>1789</v>
      </c>
    </row>
    <row r="25" spans="1:1">
      <c r="A25" s="380" t="s">
        <v>1790</v>
      </c>
    </row>
    <row r="26" spans="1:1">
      <c r="A26" s="380" t="s">
        <v>1791</v>
      </c>
    </row>
    <row r="27" spans="1:1">
      <c r="A27" s="380" t="s">
        <v>1792</v>
      </c>
    </row>
    <row r="28" spans="1:1">
      <c r="A28" s="380" t="s">
        <v>1793</v>
      </c>
    </row>
    <row r="29" spans="1:1">
      <c r="A29" s="380" t="s">
        <v>1794</v>
      </c>
    </row>
    <row r="30" spans="1:1">
      <c r="A30" s="380" t="s">
        <v>1795</v>
      </c>
    </row>
    <row r="31" spans="1:1">
      <c r="A31" s="380" t="s">
        <v>1796</v>
      </c>
    </row>
    <row r="32" spans="1:1">
      <c r="A32" s="380" t="s">
        <v>1797</v>
      </c>
    </row>
    <row r="33" spans="1:1">
      <c r="A33" s="380" t="s">
        <v>1798</v>
      </c>
    </row>
    <row r="34" spans="1:1">
      <c r="A34" s="380" t="s">
        <v>1799</v>
      </c>
    </row>
    <row r="35" spans="1:1">
      <c r="A35" s="380" t="s">
        <v>1800</v>
      </c>
    </row>
    <row r="36" spans="1:1">
      <c r="A36" s="380" t="s">
        <v>1801</v>
      </c>
    </row>
    <row r="37" spans="1:1">
      <c r="A37" s="380" t="s">
        <v>1802</v>
      </c>
    </row>
    <row r="38" spans="1:1">
      <c r="A38" s="380" t="s">
        <v>1803</v>
      </c>
    </row>
    <row r="39" spans="1:1">
      <c r="A39" s="380" t="s">
        <v>1804</v>
      </c>
    </row>
    <row r="40" spans="1:1">
      <c r="A40" s="380" t="s">
        <v>1805</v>
      </c>
    </row>
    <row r="41" spans="1:1">
      <c r="A41" s="380" t="s">
        <v>1806</v>
      </c>
    </row>
    <row r="42" spans="1:1">
      <c r="A42" s="380" t="s">
        <v>1807</v>
      </c>
    </row>
    <row r="43" spans="1:1">
      <c r="A43" s="380" t="s">
        <v>1808</v>
      </c>
    </row>
    <row r="44" spans="1:1">
      <c r="A44" s="380" t="s">
        <v>1809</v>
      </c>
    </row>
    <row r="45" spans="1:1">
      <c r="A45" s="380" t="s">
        <v>1810</v>
      </c>
    </row>
    <row r="46" spans="1:1">
      <c r="A46" s="380" t="s">
        <v>1811</v>
      </c>
    </row>
    <row r="47" spans="1:1">
      <c r="A47" s="380" t="s">
        <v>1812</v>
      </c>
    </row>
    <row r="48" spans="1:1">
      <c r="A48" s="380" t="s">
        <v>1813</v>
      </c>
    </row>
    <row r="49" spans="1:1">
      <c r="A49" s="380" t="s">
        <v>1814</v>
      </c>
    </row>
    <row r="50" spans="1:1">
      <c r="A50" s="380" t="s">
        <v>1815</v>
      </c>
    </row>
    <row r="51" spans="1:1">
      <c r="A51" s="380" t="s">
        <v>1816</v>
      </c>
    </row>
    <row r="52" spans="1:1">
      <c r="A52" s="380" t="s">
        <v>1817</v>
      </c>
    </row>
    <row r="53" spans="1:1">
      <c r="A53" s="380" t="s">
        <v>1818</v>
      </c>
    </row>
    <row r="54" spans="1:1">
      <c r="A54" s="380" t="s">
        <v>1819</v>
      </c>
    </row>
    <row r="55" spans="1:1">
      <c r="A55" s="380" t="s">
        <v>1820</v>
      </c>
    </row>
    <row r="56" spans="1:1">
      <c r="A56" s="380" t="s">
        <v>1821</v>
      </c>
    </row>
    <row r="57" spans="1:1">
      <c r="A57" s="380" t="s">
        <v>1822</v>
      </c>
    </row>
    <row r="58" spans="1:1" s="381" customFormat="1">
      <c r="A58" s="381" t="s">
        <v>1823</v>
      </c>
    </row>
    <row r="59" spans="1:1">
      <c r="A59" s="380" t="s">
        <v>1824</v>
      </c>
    </row>
    <row r="60" spans="1:1">
      <c r="A60" s="380" t="s">
        <v>1825</v>
      </c>
    </row>
    <row r="61" spans="1:1">
      <c r="A61" s="380" t="s">
        <v>1826</v>
      </c>
    </row>
    <row r="62" spans="1:1">
      <c r="A62" s="380" t="s">
        <v>1827</v>
      </c>
    </row>
    <row r="63" spans="1:1">
      <c r="A63" s="380" t="s">
        <v>1828</v>
      </c>
    </row>
    <row r="64" spans="1:1">
      <c r="A64" s="380" t="s">
        <v>1829</v>
      </c>
    </row>
    <row r="65" spans="1:1">
      <c r="A65" s="380" t="s">
        <v>1830</v>
      </c>
    </row>
    <row r="66" spans="1:1">
      <c r="A66" s="380" t="s">
        <v>1831</v>
      </c>
    </row>
    <row r="67" spans="1:1">
      <c r="A67" s="380" t="s">
        <v>1832</v>
      </c>
    </row>
    <row r="68" spans="1:1">
      <c r="A68" s="380" t="s">
        <v>1833</v>
      </c>
    </row>
    <row r="69" spans="1:1">
      <c r="A69" s="380" t="s">
        <v>1834</v>
      </c>
    </row>
    <row r="70" spans="1:1">
      <c r="A70" s="380" t="s">
        <v>1835</v>
      </c>
    </row>
    <row r="71" spans="1:1">
      <c r="A71" s="380" t="s">
        <v>1836</v>
      </c>
    </row>
    <row r="72" spans="1:1">
      <c r="A72" s="380" t="s">
        <v>1837</v>
      </c>
    </row>
    <row r="73" spans="1:1">
      <c r="A73" s="380" t="s">
        <v>1838</v>
      </c>
    </row>
    <row r="74" spans="1:1">
      <c r="A74" s="380" t="s">
        <v>1839</v>
      </c>
    </row>
    <row r="75" spans="1:1">
      <c r="A75" s="380" t="s">
        <v>1840</v>
      </c>
    </row>
    <row r="76" spans="1:1">
      <c r="A76" s="380" t="s">
        <v>1841</v>
      </c>
    </row>
    <row r="77" spans="1:1">
      <c r="A77" s="380" t="s">
        <v>1842</v>
      </c>
    </row>
    <row r="78" spans="1:1">
      <c r="A78" s="380" t="s">
        <v>1843</v>
      </c>
    </row>
    <row r="79" spans="1:1">
      <c r="A79" s="380" t="s">
        <v>1844</v>
      </c>
    </row>
    <row r="80" spans="1:1">
      <c r="A80" s="380" t="s">
        <v>1845</v>
      </c>
    </row>
    <row r="81" spans="1:1">
      <c r="A81" s="380" t="s">
        <v>1846</v>
      </c>
    </row>
    <row r="82" spans="1:1">
      <c r="A82" s="380" t="s">
        <v>1847</v>
      </c>
    </row>
    <row r="83" spans="1:1">
      <c r="A83" s="380" t="s">
        <v>1848</v>
      </c>
    </row>
    <row r="84" spans="1:1">
      <c r="A84" s="380" t="s">
        <v>1849</v>
      </c>
    </row>
    <row r="85" spans="1:1">
      <c r="A85" s="380" t="s">
        <v>1850</v>
      </c>
    </row>
    <row r="86" spans="1:1">
      <c r="A86" s="380" t="s">
        <v>1851</v>
      </c>
    </row>
    <row r="87" spans="1:1">
      <c r="A87" s="380" t="s">
        <v>1852</v>
      </c>
    </row>
    <row r="88" spans="1:1">
      <c r="A88" s="380" t="s">
        <v>1853</v>
      </c>
    </row>
    <row r="89" spans="1:1">
      <c r="A89" s="380" t="s">
        <v>1854</v>
      </c>
    </row>
    <row r="90" spans="1:1">
      <c r="A90" s="380" t="s">
        <v>1855</v>
      </c>
    </row>
    <row r="91" spans="1:1">
      <c r="A91" s="380" t="s">
        <v>1856</v>
      </c>
    </row>
    <row r="92" spans="1:1">
      <c r="A92" s="380" t="s">
        <v>1857</v>
      </c>
    </row>
    <row r="93" spans="1:1">
      <c r="A93" s="380" t="s">
        <v>1858</v>
      </c>
    </row>
    <row r="94" spans="1:1">
      <c r="A94" s="380" t="s">
        <v>1859</v>
      </c>
    </row>
    <row r="95" spans="1:1">
      <c r="A95" s="380" t="s">
        <v>1860</v>
      </c>
    </row>
    <row r="96" spans="1:1">
      <c r="A96" s="380" t="s">
        <v>1861</v>
      </c>
    </row>
    <row r="97" spans="1:1">
      <c r="A97" s="380" t="s">
        <v>1862</v>
      </c>
    </row>
    <row r="98" spans="1:1">
      <c r="A98" s="380" t="s">
        <v>1863</v>
      </c>
    </row>
    <row r="99" spans="1:1">
      <c r="A99" s="380" t="s">
        <v>1864</v>
      </c>
    </row>
    <row r="100" spans="1:1">
      <c r="A100" s="380" t="s">
        <v>1865</v>
      </c>
    </row>
    <row r="102" spans="1:1">
      <c r="A102" s="380" t="s">
        <v>1866</v>
      </c>
    </row>
    <row r="103" spans="1:1">
      <c r="A103" s="380" t="s">
        <v>1032</v>
      </c>
    </row>
    <row r="104" spans="1:1">
      <c r="A104" s="380" t="s">
        <v>1867</v>
      </c>
    </row>
    <row r="105" spans="1:1">
      <c r="A105" s="380" t="s">
        <v>865</v>
      </c>
    </row>
    <row r="106" spans="1:1">
      <c r="A106" s="380" t="s">
        <v>1868</v>
      </c>
    </row>
    <row r="107" spans="1:1">
      <c r="A107" s="380" t="s">
        <v>867</v>
      </c>
    </row>
    <row r="108" spans="1:1">
      <c r="A108" s="380" t="s">
        <v>1869</v>
      </c>
    </row>
    <row r="109" spans="1:1">
      <c r="A109" s="380" t="s">
        <v>869</v>
      </c>
    </row>
    <row r="110" spans="1:1">
      <c r="A110" s="380" t="s">
        <v>870</v>
      </c>
    </row>
    <row r="111" spans="1:1">
      <c r="A111" s="380" t="s">
        <v>871</v>
      </c>
    </row>
    <row r="112" spans="1:1">
      <c r="A112" s="380" t="s">
        <v>872</v>
      </c>
    </row>
    <row r="113" spans="1:1">
      <c r="A113" s="380" t="s">
        <v>873</v>
      </c>
    </row>
    <row r="114" spans="1:1">
      <c r="A114" s="380" t="s">
        <v>874</v>
      </c>
    </row>
    <row r="115" spans="1:1">
      <c r="A115" s="380" t="s">
        <v>875</v>
      </c>
    </row>
    <row r="116" spans="1:1">
      <c r="A116" s="380" t="s">
        <v>876</v>
      </c>
    </row>
    <row r="117" spans="1:1">
      <c r="A117" s="380" t="s">
        <v>877</v>
      </c>
    </row>
    <row r="118" spans="1:1">
      <c r="A118" s="380" t="s">
        <v>878</v>
      </c>
    </row>
    <row r="119" spans="1:1">
      <c r="A119" s="380" t="s">
        <v>879</v>
      </c>
    </row>
    <row r="120" spans="1:1">
      <c r="A120" s="380" t="s">
        <v>880</v>
      </c>
    </row>
    <row r="121" spans="1:1">
      <c r="A121" s="380" t="s">
        <v>881</v>
      </c>
    </row>
    <row r="122" spans="1:1">
      <c r="A122" s="380" t="s">
        <v>882</v>
      </c>
    </row>
    <row r="123" spans="1:1">
      <c r="A123" s="380" t="s">
        <v>883</v>
      </c>
    </row>
    <row r="124" spans="1:1">
      <c r="A124" s="380" t="s">
        <v>884</v>
      </c>
    </row>
    <row r="125" spans="1:1">
      <c r="A125" s="380" t="s">
        <v>885</v>
      </c>
    </row>
    <row r="126" spans="1:1">
      <c r="A126" s="380" t="s">
        <v>886</v>
      </c>
    </row>
    <row r="127" spans="1:1">
      <c r="A127" s="380" t="s">
        <v>887</v>
      </c>
    </row>
    <row r="128" spans="1:1">
      <c r="A128" s="380" t="s">
        <v>888</v>
      </c>
    </row>
    <row r="129" spans="1:1">
      <c r="A129" s="380" t="s">
        <v>889</v>
      </c>
    </row>
    <row r="130" spans="1:1">
      <c r="A130" s="380" t="s">
        <v>890</v>
      </c>
    </row>
    <row r="131" spans="1:1">
      <c r="A131" s="380" t="s">
        <v>891</v>
      </c>
    </row>
    <row r="132" spans="1:1">
      <c r="A132" s="380" t="s">
        <v>892</v>
      </c>
    </row>
    <row r="133" spans="1:1">
      <c r="A133" s="380" t="s">
        <v>893</v>
      </c>
    </row>
    <row r="134" spans="1:1">
      <c r="A134" s="380" t="s">
        <v>894</v>
      </c>
    </row>
    <row r="135" spans="1:1">
      <c r="A135" s="380" t="s">
        <v>895</v>
      </c>
    </row>
    <row r="136" spans="1:1">
      <c r="A136" s="380" t="s">
        <v>896</v>
      </c>
    </row>
    <row r="137" spans="1:1">
      <c r="A137" s="380" t="s">
        <v>897</v>
      </c>
    </row>
    <row r="138" spans="1:1">
      <c r="A138" s="380" t="s">
        <v>898</v>
      </c>
    </row>
    <row r="139" spans="1:1">
      <c r="A139" s="380" t="s">
        <v>899</v>
      </c>
    </row>
    <row r="140" spans="1:1">
      <c r="A140" s="380" t="s">
        <v>1870</v>
      </c>
    </row>
    <row r="141" spans="1:1">
      <c r="A141" s="380" t="s">
        <v>901</v>
      </c>
    </row>
    <row r="142" spans="1:1">
      <c r="A142" s="380" t="s">
        <v>1871</v>
      </c>
    </row>
    <row r="143" spans="1:1">
      <c r="A143" s="380" t="s">
        <v>903</v>
      </c>
    </row>
    <row r="144" spans="1:1">
      <c r="A144" s="380" t="s">
        <v>1038</v>
      </c>
    </row>
    <row r="145" spans="1:1">
      <c r="A145" s="380" t="s">
        <v>905</v>
      </c>
    </row>
    <row r="146" spans="1:1">
      <c r="A146" s="380" t="s">
        <v>906</v>
      </c>
    </row>
    <row r="147" spans="1:1">
      <c r="A147" s="380" t="s">
        <v>907</v>
      </c>
    </row>
    <row r="148" spans="1:1">
      <c r="A148" s="380" t="s">
        <v>908</v>
      </c>
    </row>
    <row r="149" spans="1:1">
      <c r="A149" s="380" t="s">
        <v>909</v>
      </c>
    </row>
    <row r="150" spans="1:1">
      <c r="A150" s="380" t="s">
        <v>910</v>
      </c>
    </row>
    <row r="151" spans="1:1">
      <c r="A151" s="380" t="s">
        <v>911</v>
      </c>
    </row>
    <row r="152" spans="1:1" s="381" customFormat="1">
      <c r="A152" s="381" t="s">
        <v>1872</v>
      </c>
    </row>
    <row r="153" spans="1:1">
      <c r="A153" s="380" t="s">
        <v>913</v>
      </c>
    </row>
    <row r="154" spans="1:1">
      <c r="A154" s="380" t="s">
        <v>914</v>
      </c>
    </row>
    <row r="155" spans="1:1">
      <c r="A155" s="380" t="s">
        <v>915</v>
      </c>
    </row>
    <row r="156" spans="1:1">
      <c r="A156" s="380" t="s">
        <v>916</v>
      </c>
    </row>
    <row r="157" spans="1:1">
      <c r="A157" s="380" t="s">
        <v>917</v>
      </c>
    </row>
  </sheetData>
  <phoneticPr fontId="3"/>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dimension ref="A1:B36"/>
  <sheetViews>
    <sheetView workbookViewId="0">
      <selection activeCell="M9" sqref="M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1865</v>
      </c>
    </row>
    <row r="9" spans="1:1">
      <c r="A9" s="380" t="s">
        <v>1873</v>
      </c>
    </row>
    <row r="10" spans="1:1">
      <c r="A10" s="380" t="s">
        <v>1874</v>
      </c>
    </row>
    <row r="11" spans="1:1">
      <c r="A11" s="380" t="s">
        <v>1875</v>
      </c>
    </row>
    <row r="12" spans="1:1">
      <c r="A12" s="380" t="s">
        <v>1876</v>
      </c>
    </row>
    <row r="13" spans="1:1">
      <c r="A13" s="380" t="s">
        <v>1877</v>
      </c>
    </row>
    <row r="14" spans="1:1" s="381" customFormat="1">
      <c r="A14" s="381" t="s">
        <v>1878</v>
      </c>
    </row>
    <row r="15" spans="1:1" s="381" customFormat="1">
      <c r="A15" s="381" t="s">
        <v>1879</v>
      </c>
    </row>
    <row r="16" spans="1:1" s="381" customFormat="1">
      <c r="A16" s="381" t="s">
        <v>676</v>
      </c>
    </row>
    <row r="17" spans="1:2" s="381" customFormat="1">
      <c r="A17" s="381" t="s">
        <v>716</v>
      </c>
    </row>
    <row r="18" spans="1:2" s="381" customFormat="1">
      <c r="A18" s="381"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1880</v>
      </c>
    </row>
    <row r="36" spans="1:2">
      <c r="A36" s="380" t="s">
        <v>1881</v>
      </c>
    </row>
  </sheetData>
  <phoneticPr fontId="3"/>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dimension ref="A1:B36"/>
  <sheetViews>
    <sheetView workbookViewId="0">
      <selection activeCell="A14" sqref="A14:IV18"/>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1881</v>
      </c>
    </row>
    <row r="9" spans="1:1">
      <c r="A9" s="380" t="s">
        <v>1882</v>
      </c>
    </row>
    <row r="10" spans="1:1">
      <c r="A10" s="380" t="s">
        <v>1883</v>
      </c>
    </row>
    <row r="11" spans="1:1">
      <c r="A11" s="380" t="s">
        <v>1884</v>
      </c>
    </row>
    <row r="12" spans="1:1">
      <c r="A12" s="380" t="s">
        <v>1885</v>
      </c>
    </row>
    <row r="13" spans="1:1">
      <c r="A13" s="380" t="s">
        <v>1886</v>
      </c>
    </row>
    <row r="14" spans="1:1" s="381" customFormat="1">
      <c r="A14" s="381" t="s">
        <v>1887</v>
      </c>
    </row>
    <row r="15" spans="1:1" s="381" customFormat="1">
      <c r="A15" s="381" t="s">
        <v>1888</v>
      </c>
    </row>
    <row r="16" spans="1:1" s="381" customFormat="1">
      <c r="A16" s="381" t="s">
        <v>676</v>
      </c>
    </row>
    <row r="17" spans="1:2" s="381" customFormat="1">
      <c r="A17" s="381" t="s">
        <v>717</v>
      </c>
    </row>
    <row r="18" spans="1:2" s="381" customFormat="1">
      <c r="A18" s="381" t="s">
        <v>701</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1889</v>
      </c>
    </row>
    <row r="36" spans="1:2">
      <c r="A36" s="380" t="s">
        <v>1890</v>
      </c>
    </row>
  </sheetData>
  <phoneticPr fontId="3"/>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dimension ref="A1:A158"/>
  <sheetViews>
    <sheetView topLeftCell="A49" workbookViewId="0">
      <selection activeCell="A60" sqref="A60:IV60"/>
    </sheetView>
  </sheetViews>
  <sheetFormatPr defaultColWidth="9" defaultRowHeight="12.75"/>
  <cols>
    <col min="1" max="16384" width="9" style="380"/>
  </cols>
  <sheetData>
    <row r="1" spans="1:1">
      <c r="A1" s="380" t="s">
        <v>674</v>
      </c>
    </row>
    <row r="3" spans="1:1">
      <c r="A3" s="380" t="s">
        <v>673</v>
      </c>
    </row>
    <row r="4" spans="1:1">
      <c r="A4" s="380" t="s">
        <v>1891</v>
      </c>
    </row>
    <row r="6" spans="1:1">
      <c r="A6" s="380" t="s">
        <v>675</v>
      </c>
    </row>
    <row r="8" spans="1:1">
      <c r="A8" s="380" t="s">
        <v>1890</v>
      </c>
    </row>
    <row r="9" spans="1:1">
      <c r="A9" s="380" t="s">
        <v>1892</v>
      </c>
    </row>
    <row r="10" spans="1:1">
      <c r="A10" s="380" t="s">
        <v>1893</v>
      </c>
    </row>
    <row r="11" spans="1:1">
      <c r="A11" s="380" t="s">
        <v>1894</v>
      </c>
    </row>
    <row r="12" spans="1:1">
      <c r="A12" s="380" t="s">
        <v>1895</v>
      </c>
    </row>
    <row r="13" spans="1:1">
      <c r="A13" s="380" t="s">
        <v>1896</v>
      </c>
    </row>
    <row r="14" spans="1:1">
      <c r="A14" s="380" t="s">
        <v>1897</v>
      </c>
    </row>
    <row r="15" spans="1:1">
      <c r="A15" s="380" t="s">
        <v>1898</v>
      </c>
    </row>
    <row r="16" spans="1:1">
      <c r="A16" s="380" t="s">
        <v>1899</v>
      </c>
    </row>
    <row r="17" spans="1:1">
      <c r="A17" s="380" t="s">
        <v>1900</v>
      </c>
    </row>
    <row r="18" spans="1:1">
      <c r="A18" s="380" t="s">
        <v>1901</v>
      </c>
    </row>
    <row r="19" spans="1:1">
      <c r="A19" s="380" t="s">
        <v>1902</v>
      </c>
    </row>
    <row r="20" spans="1:1">
      <c r="A20" s="380" t="s">
        <v>1903</v>
      </c>
    </row>
    <row r="21" spans="1:1">
      <c r="A21" s="380" t="s">
        <v>1904</v>
      </c>
    </row>
    <row r="22" spans="1:1">
      <c r="A22" s="380" t="s">
        <v>1905</v>
      </c>
    </row>
    <row r="23" spans="1:1">
      <c r="A23" s="380" t="s">
        <v>1906</v>
      </c>
    </row>
    <row r="24" spans="1:1">
      <c r="A24" s="380" t="s">
        <v>1907</v>
      </c>
    </row>
    <row r="25" spans="1:1">
      <c r="A25" s="380" t="s">
        <v>1908</v>
      </c>
    </row>
    <row r="26" spans="1:1">
      <c r="A26" s="380" t="s">
        <v>1909</v>
      </c>
    </row>
    <row r="27" spans="1:1">
      <c r="A27" s="380" t="s">
        <v>1910</v>
      </c>
    </row>
    <row r="28" spans="1:1">
      <c r="A28" s="380" t="s">
        <v>1911</v>
      </c>
    </row>
    <row r="29" spans="1:1">
      <c r="A29" s="380" t="s">
        <v>1912</v>
      </c>
    </row>
    <row r="30" spans="1:1">
      <c r="A30" s="380" t="s">
        <v>1913</v>
      </c>
    </row>
    <row r="31" spans="1:1">
      <c r="A31" s="380" t="s">
        <v>1914</v>
      </c>
    </row>
    <row r="32" spans="1:1">
      <c r="A32" s="380" t="s">
        <v>1915</v>
      </c>
    </row>
    <row r="33" spans="1:1">
      <c r="A33" s="380" t="s">
        <v>1916</v>
      </c>
    </row>
    <row r="34" spans="1:1">
      <c r="A34" s="380" t="s">
        <v>1917</v>
      </c>
    </row>
    <row r="35" spans="1:1">
      <c r="A35" s="380" t="s">
        <v>1918</v>
      </c>
    </row>
    <row r="36" spans="1:1">
      <c r="A36" s="380" t="s">
        <v>1919</v>
      </c>
    </row>
    <row r="37" spans="1:1">
      <c r="A37" s="380" t="s">
        <v>1920</v>
      </c>
    </row>
    <row r="38" spans="1:1">
      <c r="A38" s="380" t="s">
        <v>1921</v>
      </c>
    </row>
    <row r="39" spans="1:1">
      <c r="A39" s="380" t="s">
        <v>1922</v>
      </c>
    </row>
    <row r="40" spans="1:1">
      <c r="A40" s="380" t="s">
        <v>1923</v>
      </c>
    </row>
    <row r="41" spans="1:1">
      <c r="A41" s="380" t="s">
        <v>1924</v>
      </c>
    </row>
    <row r="42" spans="1:1">
      <c r="A42" s="380" t="s">
        <v>1925</v>
      </c>
    </row>
    <row r="43" spans="1:1">
      <c r="A43" s="380" t="s">
        <v>1926</v>
      </c>
    </row>
    <row r="44" spans="1:1">
      <c r="A44" s="380" t="s">
        <v>1927</v>
      </c>
    </row>
    <row r="45" spans="1:1">
      <c r="A45" s="380" t="s">
        <v>1928</v>
      </c>
    </row>
    <row r="46" spans="1:1">
      <c r="A46" s="380" t="s">
        <v>1929</v>
      </c>
    </row>
    <row r="47" spans="1:1">
      <c r="A47" s="380" t="s">
        <v>1930</v>
      </c>
    </row>
    <row r="48" spans="1:1">
      <c r="A48" s="380" t="s">
        <v>1931</v>
      </c>
    </row>
    <row r="49" spans="1:1">
      <c r="A49" s="380" t="s">
        <v>1932</v>
      </c>
    </row>
    <row r="50" spans="1:1">
      <c r="A50" s="380" t="s">
        <v>1933</v>
      </c>
    </row>
    <row r="51" spans="1:1">
      <c r="A51" s="380" t="s">
        <v>1934</v>
      </c>
    </row>
    <row r="52" spans="1:1">
      <c r="A52" s="380" t="s">
        <v>1935</v>
      </c>
    </row>
    <row r="53" spans="1:1">
      <c r="A53" s="380" t="s">
        <v>1936</v>
      </c>
    </row>
    <row r="54" spans="1:1">
      <c r="A54" s="380" t="s">
        <v>1937</v>
      </c>
    </row>
    <row r="55" spans="1:1">
      <c r="A55" s="380" t="s">
        <v>1938</v>
      </c>
    </row>
    <row r="56" spans="1:1">
      <c r="A56" s="380" t="s">
        <v>1939</v>
      </c>
    </row>
    <row r="57" spans="1:1">
      <c r="A57" s="380" t="s">
        <v>1940</v>
      </c>
    </row>
    <row r="58" spans="1:1">
      <c r="A58" s="380" t="s">
        <v>1941</v>
      </c>
    </row>
    <row r="59" spans="1:1">
      <c r="A59" s="380" t="s">
        <v>1942</v>
      </c>
    </row>
    <row r="60" spans="1:1" s="381" customFormat="1">
      <c r="A60" s="381" t="s">
        <v>1943</v>
      </c>
    </row>
    <row r="61" spans="1:1">
      <c r="A61" s="380" t="s">
        <v>1944</v>
      </c>
    </row>
    <row r="62" spans="1:1">
      <c r="A62" s="380" t="s">
        <v>1945</v>
      </c>
    </row>
    <row r="63" spans="1:1">
      <c r="A63" s="380" t="s">
        <v>1946</v>
      </c>
    </row>
    <row r="64" spans="1:1">
      <c r="A64" s="380" t="s">
        <v>1947</v>
      </c>
    </row>
    <row r="65" spans="1:1">
      <c r="A65" s="380" t="s">
        <v>1948</v>
      </c>
    </row>
    <row r="66" spans="1:1">
      <c r="A66" s="380" t="s">
        <v>1949</v>
      </c>
    </row>
    <row r="67" spans="1:1">
      <c r="A67" s="380" t="s">
        <v>1950</v>
      </c>
    </row>
    <row r="68" spans="1:1">
      <c r="A68" s="380" t="s">
        <v>1951</v>
      </c>
    </row>
    <row r="69" spans="1:1">
      <c r="A69" s="380" t="s">
        <v>1952</v>
      </c>
    </row>
    <row r="70" spans="1:1">
      <c r="A70" s="380" t="s">
        <v>1953</v>
      </c>
    </row>
    <row r="71" spans="1:1">
      <c r="A71" s="380" t="s">
        <v>1954</v>
      </c>
    </row>
    <row r="72" spans="1:1">
      <c r="A72" s="380" t="s">
        <v>1955</v>
      </c>
    </row>
    <row r="73" spans="1:1">
      <c r="A73" s="380" t="s">
        <v>1956</v>
      </c>
    </row>
    <row r="74" spans="1:1">
      <c r="A74" s="380" t="s">
        <v>1957</v>
      </c>
    </row>
    <row r="75" spans="1:1">
      <c r="A75" s="380" t="s">
        <v>1958</v>
      </c>
    </row>
    <row r="76" spans="1:1">
      <c r="A76" s="380" t="s">
        <v>1959</v>
      </c>
    </row>
    <row r="77" spans="1:1">
      <c r="A77" s="380" t="s">
        <v>1960</v>
      </c>
    </row>
    <row r="78" spans="1:1">
      <c r="A78" s="380" t="s">
        <v>1961</v>
      </c>
    </row>
    <row r="79" spans="1:1">
      <c r="A79" s="380" t="s">
        <v>1962</v>
      </c>
    </row>
    <row r="80" spans="1:1">
      <c r="A80" s="380" t="s">
        <v>1963</v>
      </c>
    </row>
    <row r="81" spans="1:1">
      <c r="A81" s="380" t="s">
        <v>1964</v>
      </c>
    </row>
    <row r="82" spans="1:1">
      <c r="A82" s="380" t="s">
        <v>1965</v>
      </c>
    </row>
    <row r="83" spans="1:1">
      <c r="A83" s="380" t="s">
        <v>1966</v>
      </c>
    </row>
    <row r="84" spans="1:1">
      <c r="A84" s="380" t="s">
        <v>1967</v>
      </c>
    </row>
    <row r="85" spans="1:1">
      <c r="A85" s="380" t="s">
        <v>1968</v>
      </c>
    </row>
    <row r="86" spans="1:1">
      <c r="A86" s="380" t="s">
        <v>1969</v>
      </c>
    </row>
    <row r="87" spans="1:1">
      <c r="A87" s="380" t="s">
        <v>1970</v>
      </c>
    </row>
    <row r="88" spans="1:1">
      <c r="A88" s="380" t="s">
        <v>1971</v>
      </c>
    </row>
    <row r="89" spans="1:1">
      <c r="A89" s="380" t="s">
        <v>1972</v>
      </c>
    </row>
    <row r="90" spans="1:1">
      <c r="A90" s="380" t="s">
        <v>1973</v>
      </c>
    </row>
    <row r="91" spans="1:1">
      <c r="A91" s="380" t="s">
        <v>1974</v>
      </c>
    </row>
    <row r="92" spans="1:1">
      <c r="A92" s="380" t="s">
        <v>1975</v>
      </c>
    </row>
    <row r="93" spans="1:1">
      <c r="A93" s="380" t="s">
        <v>1976</v>
      </c>
    </row>
    <row r="94" spans="1:1">
      <c r="A94" s="380" t="s">
        <v>1977</v>
      </c>
    </row>
    <row r="95" spans="1:1">
      <c r="A95" s="380" t="s">
        <v>1978</v>
      </c>
    </row>
    <row r="96" spans="1:1">
      <c r="A96" s="380" t="s">
        <v>1979</v>
      </c>
    </row>
    <row r="97" spans="1:1">
      <c r="A97" s="380" t="s">
        <v>1980</v>
      </c>
    </row>
    <row r="98" spans="1:1">
      <c r="A98" s="380" t="s">
        <v>1981</v>
      </c>
    </row>
    <row r="99" spans="1:1">
      <c r="A99" s="380" t="s">
        <v>1982</v>
      </c>
    </row>
    <row r="100" spans="1:1">
      <c r="A100" s="380" t="s">
        <v>1983</v>
      </c>
    </row>
    <row r="101" spans="1:1">
      <c r="A101" s="380" t="s">
        <v>1984</v>
      </c>
    </row>
    <row r="103" spans="1:1">
      <c r="A103" s="380" t="s">
        <v>1985</v>
      </c>
    </row>
    <row r="104" spans="1:1">
      <c r="A104" s="380" t="s">
        <v>1032</v>
      </c>
    </row>
    <row r="105" spans="1:1">
      <c r="A105" s="380" t="s">
        <v>1986</v>
      </c>
    </row>
    <row r="106" spans="1:1">
      <c r="A106" s="380" t="s">
        <v>865</v>
      </c>
    </row>
    <row r="107" spans="1:1">
      <c r="A107" s="380" t="s">
        <v>1987</v>
      </c>
    </row>
    <row r="108" spans="1:1">
      <c r="A108" s="380" t="s">
        <v>867</v>
      </c>
    </row>
    <row r="109" spans="1:1">
      <c r="A109" s="380" t="s">
        <v>1988</v>
      </c>
    </row>
    <row r="110" spans="1:1">
      <c r="A110" s="380" t="s">
        <v>869</v>
      </c>
    </row>
    <row r="111" spans="1:1">
      <c r="A111" s="380" t="s">
        <v>870</v>
      </c>
    </row>
    <row r="112" spans="1:1">
      <c r="A112" s="380" t="s">
        <v>871</v>
      </c>
    </row>
    <row r="113" spans="1:1">
      <c r="A113" s="380" t="s">
        <v>872</v>
      </c>
    </row>
    <row r="114" spans="1:1">
      <c r="A114" s="380" t="s">
        <v>873</v>
      </c>
    </row>
    <row r="115" spans="1:1">
      <c r="A115" s="380" t="s">
        <v>874</v>
      </c>
    </row>
    <row r="116" spans="1:1">
      <c r="A116" s="380" t="s">
        <v>875</v>
      </c>
    </row>
    <row r="117" spans="1:1">
      <c r="A117" s="380" t="s">
        <v>876</v>
      </c>
    </row>
    <row r="118" spans="1:1">
      <c r="A118" s="380" t="s">
        <v>877</v>
      </c>
    </row>
    <row r="119" spans="1:1">
      <c r="A119" s="380" t="s">
        <v>878</v>
      </c>
    </row>
    <row r="120" spans="1:1">
      <c r="A120" s="380" t="s">
        <v>879</v>
      </c>
    </row>
    <row r="121" spans="1:1">
      <c r="A121" s="380" t="s">
        <v>880</v>
      </c>
    </row>
    <row r="122" spans="1:1">
      <c r="A122" s="380" t="s">
        <v>881</v>
      </c>
    </row>
    <row r="123" spans="1:1">
      <c r="A123" s="380" t="s">
        <v>882</v>
      </c>
    </row>
    <row r="124" spans="1:1">
      <c r="A124" s="380" t="s">
        <v>883</v>
      </c>
    </row>
    <row r="125" spans="1:1">
      <c r="A125" s="380" t="s">
        <v>884</v>
      </c>
    </row>
    <row r="126" spans="1:1">
      <c r="A126" s="380" t="s">
        <v>885</v>
      </c>
    </row>
    <row r="127" spans="1:1">
      <c r="A127" s="380" t="s">
        <v>886</v>
      </c>
    </row>
    <row r="128" spans="1:1">
      <c r="A128" s="380" t="s">
        <v>887</v>
      </c>
    </row>
    <row r="129" spans="1:1">
      <c r="A129" s="380" t="s">
        <v>888</v>
      </c>
    </row>
    <row r="130" spans="1:1">
      <c r="A130" s="380" t="s">
        <v>889</v>
      </c>
    </row>
    <row r="131" spans="1:1">
      <c r="A131" s="380" t="s">
        <v>890</v>
      </c>
    </row>
    <row r="132" spans="1:1">
      <c r="A132" s="380" t="s">
        <v>891</v>
      </c>
    </row>
    <row r="133" spans="1:1">
      <c r="A133" s="380" t="s">
        <v>892</v>
      </c>
    </row>
    <row r="134" spans="1:1">
      <c r="A134" s="380" t="s">
        <v>893</v>
      </c>
    </row>
    <row r="135" spans="1:1">
      <c r="A135" s="380" t="s">
        <v>894</v>
      </c>
    </row>
    <row r="136" spans="1:1">
      <c r="A136" s="380" t="s">
        <v>895</v>
      </c>
    </row>
    <row r="137" spans="1:1">
      <c r="A137" s="380" t="s">
        <v>896</v>
      </c>
    </row>
    <row r="138" spans="1:1">
      <c r="A138" s="380" t="s">
        <v>897</v>
      </c>
    </row>
    <row r="139" spans="1:1">
      <c r="A139" s="380" t="s">
        <v>898</v>
      </c>
    </row>
    <row r="140" spans="1:1">
      <c r="A140" s="380" t="s">
        <v>899</v>
      </c>
    </row>
    <row r="141" spans="1:1">
      <c r="A141" s="380" t="s">
        <v>1989</v>
      </c>
    </row>
    <row r="142" spans="1:1">
      <c r="A142" s="380" t="s">
        <v>901</v>
      </c>
    </row>
    <row r="143" spans="1:1">
      <c r="A143" s="380" t="s">
        <v>1990</v>
      </c>
    </row>
    <row r="144" spans="1:1">
      <c r="A144" s="380" t="s">
        <v>903</v>
      </c>
    </row>
    <row r="145" spans="1:1">
      <c r="A145" s="380" t="s">
        <v>1038</v>
      </c>
    </row>
    <row r="146" spans="1:1">
      <c r="A146" s="380" t="s">
        <v>905</v>
      </c>
    </row>
    <row r="147" spans="1:1">
      <c r="A147" s="380" t="s">
        <v>906</v>
      </c>
    </row>
    <row r="148" spans="1:1">
      <c r="A148" s="380" t="s">
        <v>907</v>
      </c>
    </row>
    <row r="149" spans="1:1">
      <c r="A149" s="380" t="s">
        <v>908</v>
      </c>
    </row>
    <row r="150" spans="1:1">
      <c r="A150" s="380" t="s">
        <v>909</v>
      </c>
    </row>
    <row r="151" spans="1:1">
      <c r="A151" s="380" t="s">
        <v>910</v>
      </c>
    </row>
    <row r="152" spans="1:1">
      <c r="A152" s="380" t="s">
        <v>911</v>
      </c>
    </row>
    <row r="153" spans="1:1">
      <c r="A153" s="380" t="s">
        <v>912</v>
      </c>
    </row>
    <row r="154" spans="1:1" s="381" customFormat="1">
      <c r="A154" s="381" t="s">
        <v>1991</v>
      </c>
    </row>
    <row r="155" spans="1:1">
      <c r="A155" s="380" t="s">
        <v>914</v>
      </c>
    </row>
    <row r="156" spans="1:1">
      <c r="A156" s="380" t="s">
        <v>915</v>
      </c>
    </row>
    <row r="157" spans="1:1">
      <c r="A157" s="380" t="s">
        <v>916</v>
      </c>
    </row>
    <row r="158" spans="1:1">
      <c r="A158" s="380" t="s">
        <v>917</v>
      </c>
    </row>
  </sheetData>
  <phoneticPr fontId="3"/>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B36"/>
  <sheetViews>
    <sheetView topLeftCell="A13" workbookViewId="0">
      <selection activeCell="A14" sqref="A14:IV18"/>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1984</v>
      </c>
    </row>
    <row r="9" spans="1:1">
      <c r="A9" s="380" t="s">
        <v>1992</v>
      </c>
    </row>
    <row r="10" spans="1:1">
      <c r="A10" s="380" t="s">
        <v>1993</v>
      </c>
    </row>
    <row r="11" spans="1:1">
      <c r="A11" s="380" t="s">
        <v>1994</v>
      </c>
    </row>
    <row r="12" spans="1:1">
      <c r="A12" s="380" t="s">
        <v>1995</v>
      </c>
    </row>
    <row r="13" spans="1:1">
      <c r="A13" s="380" t="s">
        <v>1996</v>
      </c>
    </row>
    <row r="14" spans="1:1" s="381" customFormat="1">
      <c r="A14" s="381" t="s">
        <v>1997</v>
      </c>
    </row>
    <row r="15" spans="1:1" s="381" customFormat="1">
      <c r="A15" s="381" t="s">
        <v>1998</v>
      </c>
    </row>
    <row r="16" spans="1:1" s="381" customFormat="1">
      <c r="A16" s="381" t="s">
        <v>676</v>
      </c>
    </row>
    <row r="17" spans="1:2" s="381" customFormat="1">
      <c r="A17" s="381" t="s">
        <v>718</v>
      </c>
    </row>
    <row r="18" spans="1:2" s="381" customFormat="1">
      <c r="A18" s="381"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1999</v>
      </c>
    </row>
    <row r="36" spans="1:2">
      <c r="A36" s="380" t="s">
        <v>2000</v>
      </c>
    </row>
  </sheetData>
  <phoneticPr fontId="3"/>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dimension ref="A1:B36"/>
  <sheetViews>
    <sheetView topLeftCell="A7" workbookViewId="0">
      <selection activeCell="J19" sqref="J19"/>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2000</v>
      </c>
    </row>
    <row r="9" spans="1:1">
      <c r="A9" s="380" t="s">
        <v>2001</v>
      </c>
    </row>
    <row r="10" spans="1:1">
      <c r="A10" s="380" t="s">
        <v>2002</v>
      </c>
    </row>
    <row r="11" spans="1:1">
      <c r="A11" s="380" t="s">
        <v>2003</v>
      </c>
    </row>
    <row r="12" spans="1:1">
      <c r="A12" s="380" t="s">
        <v>2004</v>
      </c>
    </row>
    <row r="13" spans="1:1">
      <c r="A13" s="380" t="s">
        <v>2005</v>
      </c>
    </row>
    <row r="14" spans="1:1" s="381" customFormat="1">
      <c r="A14" s="381" t="s">
        <v>2006</v>
      </c>
    </row>
    <row r="15" spans="1:1" s="381" customFormat="1">
      <c r="A15" s="381" t="s">
        <v>2007</v>
      </c>
    </row>
    <row r="16" spans="1:1" s="381" customFormat="1">
      <c r="A16" s="381" t="s">
        <v>676</v>
      </c>
    </row>
    <row r="17" spans="1:2" s="381" customFormat="1">
      <c r="A17" s="381" t="s">
        <v>2008</v>
      </c>
    </row>
    <row r="18" spans="1:2" s="381" customFormat="1">
      <c r="A18" s="381" t="s">
        <v>701</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2009</v>
      </c>
    </row>
    <row r="36" spans="1:2">
      <c r="A36" s="380" t="s">
        <v>2010</v>
      </c>
    </row>
  </sheetData>
  <phoneticPr fontId="3"/>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
  <dimension ref="A1:A157"/>
  <sheetViews>
    <sheetView topLeftCell="A148" workbookViewId="0">
      <selection activeCell="A154" sqref="A154:IV154"/>
    </sheetView>
  </sheetViews>
  <sheetFormatPr defaultColWidth="9" defaultRowHeight="12.75"/>
  <cols>
    <col min="1" max="16384" width="9" style="380"/>
  </cols>
  <sheetData>
    <row r="1" spans="1:1">
      <c r="A1" s="380" t="s">
        <v>674</v>
      </c>
    </row>
    <row r="3" spans="1:1">
      <c r="A3" s="380" t="s">
        <v>673</v>
      </c>
    </row>
    <row r="4" spans="1:1">
      <c r="A4" s="380" t="s">
        <v>2021</v>
      </c>
    </row>
    <row r="6" spans="1:1">
      <c r="A6" s="380" t="s">
        <v>675</v>
      </c>
    </row>
    <row r="8" spans="1:1">
      <c r="A8" s="380" t="s">
        <v>2022</v>
      </c>
    </row>
    <row r="9" spans="1:1">
      <c r="A9" s="380" t="s">
        <v>2023</v>
      </c>
    </row>
    <row r="10" spans="1:1">
      <c r="A10" s="380" t="s">
        <v>2024</v>
      </c>
    </row>
    <row r="11" spans="1:1">
      <c r="A11" s="380" t="s">
        <v>2025</v>
      </c>
    </row>
    <row r="12" spans="1:1">
      <c r="A12" s="380" t="s">
        <v>2026</v>
      </c>
    </row>
    <row r="13" spans="1:1">
      <c r="A13" s="380" t="s">
        <v>2027</v>
      </c>
    </row>
    <row r="14" spans="1:1">
      <c r="A14" s="380" t="s">
        <v>2028</v>
      </c>
    </row>
    <row r="15" spans="1:1">
      <c r="A15" s="380" t="s">
        <v>2029</v>
      </c>
    </row>
    <row r="16" spans="1:1">
      <c r="A16" s="380" t="s">
        <v>2030</v>
      </c>
    </row>
    <row r="17" spans="1:1">
      <c r="A17" s="380" t="s">
        <v>2031</v>
      </c>
    </row>
    <row r="18" spans="1:1">
      <c r="A18" s="380" t="s">
        <v>2032</v>
      </c>
    </row>
    <row r="19" spans="1:1">
      <c r="A19" s="380" t="s">
        <v>2033</v>
      </c>
    </row>
    <row r="20" spans="1:1">
      <c r="A20" s="380" t="s">
        <v>2034</v>
      </c>
    </row>
    <row r="21" spans="1:1">
      <c r="A21" s="380" t="s">
        <v>2035</v>
      </c>
    </row>
    <row r="22" spans="1:1">
      <c r="A22" s="380" t="s">
        <v>2036</v>
      </c>
    </row>
    <row r="23" spans="1:1">
      <c r="A23" s="380" t="s">
        <v>2037</v>
      </c>
    </row>
    <row r="24" spans="1:1">
      <c r="A24" s="380" t="s">
        <v>2038</v>
      </c>
    </row>
    <row r="25" spans="1:1">
      <c r="A25" s="380" t="s">
        <v>2039</v>
      </c>
    </row>
    <row r="26" spans="1:1">
      <c r="A26" s="380" t="s">
        <v>2040</v>
      </c>
    </row>
    <row r="27" spans="1:1">
      <c r="A27" s="380" t="s">
        <v>2041</v>
      </c>
    </row>
    <row r="28" spans="1:1">
      <c r="A28" s="380" t="s">
        <v>2042</v>
      </c>
    </row>
    <row r="29" spans="1:1">
      <c r="A29" s="380" t="s">
        <v>2043</v>
      </c>
    </row>
    <row r="30" spans="1:1">
      <c r="A30" s="380" t="s">
        <v>2044</v>
      </c>
    </row>
    <row r="31" spans="1:1">
      <c r="A31" s="380" t="s">
        <v>2045</v>
      </c>
    </row>
    <row r="32" spans="1:1">
      <c r="A32" s="380" t="s">
        <v>2046</v>
      </c>
    </row>
    <row r="33" spans="1:1">
      <c r="A33" s="380" t="s">
        <v>2047</v>
      </c>
    </row>
    <row r="34" spans="1:1">
      <c r="A34" s="380" t="s">
        <v>2048</v>
      </c>
    </row>
    <row r="35" spans="1:1">
      <c r="A35" s="380" t="s">
        <v>2049</v>
      </c>
    </row>
    <row r="36" spans="1:1">
      <c r="A36" s="380" t="s">
        <v>2050</v>
      </c>
    </row>
    <row r="37" spans="1:1">
      <c r="A37" s="380" t="s">
        <v>2051</v>
      </c>
    </row>
    <row r="38" spans="1:1">
      <c r="A38" s="380" t="s">
        <v>2052</v>
      </c>
    </row>
    <row r="39" spans="1:1">
      <c r="A39" s="380" t="s">
        <v>2053</v>
      </c>
    </row>
    <row r="40" spans="1:1">
      <c r="A40" s="380" t="s">
        <v>2054</v>
      </c>
    </row>
    <row r="41" spans="1:1">
      <c r="A41" s="380" t="s">
        <v>2055</v>
      </c>
    </row>
    <row r="42" spans="1:1">
      <c r="A42" s="380" t="s">
        <v>2056</v>
      </c>
    </row>
    <row r="43" spans="1:1">
      <c r="A43" s="380" t="s">
        <v>2057</v>
      </c>
    </row>
    <row r="44" spans="1:1">
      <c r="A44" s="380" t="s">
        <v>2058</v>
      </c>
    </row>
    <row r="45" spans="1:1">
      <c r="A45" s="380" t="s">
        <v>2059</v>
      </c>
    </row>
    <row r="46" spans="1:1">
      <c r="A46" s="380" t="s">
        <v>2060</v>
      </c>
    </row>
    <row r="47" spans="1:1">
      <c r="A47" s="380" t="s">
        <v>2061</v>
      </c>
    </row>
    <row r="48" spans="1:1">
      <c r="A48" s="380" t="s">
        <v>2062</v>
      </c>
    </row>
    <row r="49" spans="1:1">
      <c r="A49" s="380" t="s">
        <v>2063</v>
      </c>
    </row>
    <row r="50" spans="1:1">
      <c r="A50" s="380" t="s">
        <v>2064</v>
      </c>
    </row>
    <row r="51" spans="1:1">
      <c r="A51" s="380" t="s">
        <v>2065</v>
      </c>
    </row>
    <row r="52" spans="1:1">
      <c r="A52" s="380" t="s">
        <v>2066</v>
      </c>
    </row>
    <row r="53" spans="1:1">
      <c r="A53" s="380" t="s">
        <v>2067</v>
      </c>
    </row>
    <row r="54" spans="1:1">
      <c r="A54" s="380" t="s">
        <v>2068</v>
      </c>
    </row>
    <row r="55" spans="1:1">
      <c r="A55" s="380" t="s">
        <v>2069</v>
      </c>
    </row>
    <row r="56" spans="1:1">
      <c r="A56" s="380" t="s">
        <v>2070</v>
      </c>
    </row>
    <row r="57" spans="1:1">
      <c r="A57" s="380" t="s">
        <v>2071</v>
      </c>
    </row>
    <row r="58" spans="1:1">
      <c r="A58" s="380" t="s">
        <v>2072</v>
      </c>
    </row>
    <row r="59" spans="1:1">
      <c r="A59" s="380" t="s">
        <v>2073</v>
      </c>
    </row>
    <row r="60" spans="1:1">
      <c r="A60" s="380" t="s">
        <v>2074</v>
      </c>
    </row>
    <row r="61" spans="1:1" s="381" customFormat="1">
      <c r="A61" s="381" t="s">
        <v>2075</v>
      </c>
    </row>
    <row r="62" spans="1:1">
      <c r="A62" s="380" t="s">
        <v>2076</v>
      </c>
    </row>
    <row r="63" spans="1:1">
      <c r="A63" s="380" t="s">
        <v>2077</v>
      </c>
    </row>
    <row r="64" spans="1:1">
      <c r="A64" s="380" t="s">
        <v>2078</v>
      </c>
    </row>
    <row r="65" spans="1:1">
      <c r="A65" s="380" t="s">
        <v>2079</v>
      </c>
    </row>
    <row r="66" spans="1:1">
      <c r="A66" s="380" t="s">
        <v>2080</v>
      </c>
    </row>
    <row r="67" spans="1:1">
      <c r="A67" s="380" t="s">
        <v>2081</v>
      </c>
    </row>
    <row r="68" spans="1:1">
      <c r="A68" s="380" t="s">
        <v>2082</v>
      </c>
    </row>
    <row r="69" spans="1:1">
      <c r="A69" s="380" t="s">
        <v>2083</v>
      </c>
    </row>
    <row r="70" spans="1:1">
      <c r="A70" s="380" t="s">
        <v>2084</v>
      </c>
    </row>
    <row r="71" spans="1:1">
      <c r="A71" s="380" t="s">
        <v>2085</v>
      </c>
    </row>
    <row r="72" spans="1:1">
      <c r="A72" s="380" t="s">
        <v>2086</v>
      </c>
    </row>
    <row r="73" spans="1:1">
      <c r="A73" s="380" t="s">
        <v>2087</v>
      </c>
    </row>
    <row r="74" spans="1:1">
      <c r="A74" s="380" t="s">
        <v>2088</v>
      </c>
    </row>
    <row r="75" spans="1:1">
      <c r="A75" s="380" t="s">
        <v>2089</v>
      </c>
    </row>
    <row r="76" spans="1:1">
      <c r="A76" s="380" t="s">
        <v>2090</v>
      </c>
    </row>
    <row r="77" spans="1:1">
      <c r="A77" s="380" t="s">
        <v>2091</v>
      </c>
    </row>
    <row r="78" spans="1:1">
      <c r="A78" s="380" t="s">
        <v>2092</v>
      </c>
    </row>
    <row r="79" spans="1:1">
      <c r="A79" s="380" t="s">
        <v>2093</v>
      </c>
    </row>
    <row r="80" spans="1:1">
      <c r="A80" s="380" t="s">
        <v>2094</v>
      </c>
    </row>
    <row r="81" spans="1:1">
      <c r="A81" s="380" t="s">
        <v>2095</v>
      </c>
    </row>
    <row r="82" spans="1:1">
      <c r="A82" s="380" t="s">
        <v>2096</v>
      </c>
    </row>
    <row r="83" spans="1:1">
      <c r="A83" s="380" t="s">
        <v>2097</v>
      </c>
    </row>
    <row r="84" spans="1:1">
      <c r="A84" s="380" t="s">
        <v>2098</v>
      </c>
    </row>
    <row r="85" spans="1:1">
      <c r="A85" s="380" t="s">
        <v>2099</v>
      </c>
    </row>
    <row r="86" spans="1:1">
      <c r="A86" s="380" t="s">
        <v>2100</v>
      </c>
    </row>
    <row r="87" spans="1:1">
      <c r="A87" s="380" t="s">
        <v>2101</v>
      </c>
    </row>
    <row r="88" spans="1:1">
      <c r="A88" s="380" t="s">
        <v>2102</v>
      </c>
    </row>
    <row r="89" spans="1:1">
      <c r="A89" s="380" t="s">
        <v>2103</v>
      </c>
    </row>
    <row r="90" spans="1:1">
      <c r="A90" s="380" t="s">
        <v>2104</v>
      </c>
    </row>
    <row r="91" spans="1:1">
      <c r="A91" s="380" t="s">
        <v>2105</v>
      </c>
    </row>
    <row r="92" spans="1:1">
      <c r="A92" s="380" t="s">
        <v>2106</v>
      </c>
    </row>
    <row r="93" spans="1:1">
      <c r="A93" s="380" t="s">
        <v>2107</v>
      </c>
    </row>
    <row r="94" spans="1:1">
      <c r="A94" s="380" t="s">
        <v>2108</v>
      </c>
    </row>
    <row r="95" spans="1:1">
      <c r="A95" s="380" t="s">
        <v>2109</v>
      </c>
    </row>
    <row r="96" spans="1:1">
      <c r="A96" s="380" t="s">
        <v>2110</v>
      </c>
    </row>
    <row r="97" spans="1:1">
      <c r="A97" s="380" t="s">
        <v>2111</v>
      </c>
    </row>
    <row r="98" spans="1:1">
      <c r="A98" s="380" t="s">
        <v>2112</v>
      </c>
    </row>
    <row r="99" spans="1:1">
      <c r="A99" s="380" t="s">
        <v>2113</v>
      </c>
    </row>
    <row r="100" spans="1:1">
      <c r="A100" s="380" t="s">
        <v>2114</v>
      </c>
    </row>
    <row r="101" spans="1:1">
      <c r="A101" s="380" t="s">
        <v>2115</v>
      </c>
    </row>
    <row r="103" spans="1:1">
      <c r="A103" s="380" t="s">
        <v>2116</v>
      </c>
    </row>
    <row r="104" spans="1:1">
      <c r="A104" s="380" t="s">
        <v>2117</v>
      </c>
    </row>
    <row r="105" spans="1:1">
      <c r="A105" s="380" t="s">
        <v>865</v>
      </c>
    </row>
    <row r="106" spans="1:1">
      <c r="A106" s="380" t="s">
        <v>2118</v>
      </c>
    </row>
    <row r="107" spans="1:1">
      <c r="A107" s="380" t="s">
        <v>867</v>
      </c>
    </row>
    <row r="108" spans="1:1">
      <c r="A108" s="380" t="s">
        <v>2119</v>
      </c>
    </row>
    <row r="109" spans="1:1">
      <c r="A109" s="380" t="s">
        <v>869</v>
      </c>
    </row>
    <row r="110" spans="1:1">
      <c r="A110" s="380" t="s">
        <v>870</v>
      </c>
    </row>
    <row r="111" spans="1:1">
      <c r="A111" s="380" t="s">
        <v>871</v>
      </c>
    </row>
    <row r="112" spans="1:1">
      <c r="A112" s="380" t="s">
        <v>872</v>
      </c>
    </row>
    <row r="113" spans="1:1">
      <c r="A113" s="380" t="s">
        <v>873</v>
      </c>
    </row>
    <row r="114" spans="1:1">
      <c r="A114" s="380" t="s">
        <v>874</v>
      </c>
    </row>
    <row r="115" spans="1:1">
      <c r="A115" s="380" t="s">
        <v>875</v>
      </c>
    </row>
    <row r="116" spans="1:1">
      <c r="A116" s="380" t="s">
        <v>876</v>
      </c>
    </row>
    <row r="117" spans="1:1">
      <c r="A117" s="380" t="s">
        <v>877</v>
      </c>
    </row>
    <row r="118" spans="1:1">
      <c r="A118" s="380" t="s">
        <v>878</v>
      </c>
    </row>
    <row r="119" spans="1:1">
      <c r="A119" s="380" t="s">
        <v>879</v>
      </c>
    </row>
    <row r="120" spans="1:1">
      <c r="A120" s="380" t="s">
        <v>880</v>
      </c>
    </row>
    <row r="121" spans="1:1">
      <c r="A121" s="380" t="s">
        <v>881</v>
      </c>
    </row>
    <row r="122" spans="1:1">
      <c r="A122" s="380" t="s">
        <v>882</v>
      </c>
    </row>
    <row r="123" spans="1:1">
      <c r="A123" s="380" t="s">
        <v>883</v>
      </c>
    </row>
    <row r="124" spans="1:1">
      <c r="A124" s="380" t="s">
        <v>884</v>
      </c>
    </row>
    <row r="125" spans="1:1">
      <c r="A125" s="380" t="s">
        <v>885</v>
      </c>
    </row>
    <row r="126" spans="1:1">
      <c r="A126" s="380" t="s">
        <v>886</v>
      </c>
    </row>
    <row r="127" spans="1:1">
      <c r="A127" s="380" t="s">
        <v>887</v>
      </c>
    </row>
    <row r="128" spans="1:1">
      <c r="A128" s="380" t="s">
        <v>888</v>
      </c>
    </row>
    <row r="129" spans="1:1">
      <c r="A129" s="380" t="s">
        <v>889</v>
      </c>
    </row>
    <row r="130" spans="1:1">
      <c r="A130" s="380" t="s">
        <v>890</v>
      </c>
    </row>
    <row r="131" spans="1:1">
      <c r="A131" s="380" t="s">
        <v>891</v>
      </c>
    </row>
    <row r="132" spans="1:1">
      <c r="A132" s="380" t="s">
        <v>892</v>
      </c>
    </row>
    <row r="133" spans="1:1">
      <c r="A133" s="380" t="s">
        <v>893</v>
      </c>
    </row>
    <row r="134" spans="1:1">
      <c r="A134" s="380" t="s">
        <v>894</v>
      </c>
    </row>
    <row r="135" spans="1:1">
      <c r="A135" s="380" t="s">
        <v>895</v>
      </c>
    </row>
    <row r="136" spans="1:1">
      <c r="A136" s="380" t="s">
        <v>896</v>
      </c>
    </row>
    <row r="137" spans="1:1">
      <c r="A137" s="380" t="s">
        <v>897</v>
      </c>
    </row>
    <row r="138" spans="1:1">
      <c r="A138" s="380" t="s">
        <v>898</v>
      </c>
    </row>
    <row r="139" spans="1:1">
      <c r="A139" s="380" t="s">
        <v>899</v>
      </c>
    </row>
    <row r="140" spans="1:1">
      <c r="A140" s="380" t="s">
        <v>2120</v>
      </c>
    </row>
    <row r="141" spans="1:1">
      <c r="A141" s="380" t="s">
        <v>901</v>
      </c>
    </row>
    <row r="142" spans="1:1">
      <c r="A142" s="380" t="s">
        <v>2121</v>
      </c>
    </row>
    <row r="143" spans="1:1">
      <c r="A143" s="380" t="s">
        <v>903</v>
      </c>
    </row>
    <row r="144" spans="1:1">
      <c r="A144" s="380" t="s">
        <v>1038</v>
      </c>
    </row>
    <row r="145" spans="1:1">
      <c r="A145" s="380" t="s">
        <v>905</v>
      </c>
    </row>
    <row r="146" spans="1:1">
      <c r="A146" s="380" t="s">
        <v>906</v>
      </c>
    </row>
    <row r="147" spans="1:1">
      <c r="A147" s="380" t="s">
        <v>907</v>
      </c>
    </row>
    <row r="148" spans="1:1">
      <c r="A148" s="380" t="s">
        <v>908</v>
      </c>
    </row>
    <row r="149" spans="1:1">
      <c r="A149" s="380" t="s">
        <v>909</v>
      </c>
    </row>
    <row r="150" spans="1:1">
      <c r="A150" s="380" t="s">
        <v>910</v>
      </c>
    </row>
    <row r="151" spans="1:1">
      <c r="A151" s="380" t="s">
        <v>911</v>
      </c>
    </row>
    <row r="152" spans="1:1">
      <c r="A152" s="380" t="s">
        <v>912</v>
      </c>
    </row>
    <row r="153" spans="1:1">
      <c r="A153" s="380" t="s">
        <v>913</v>
      </c>
    </row>
    <row r="154" spans="1:1" s="381" customFormat="1">
      <c r="A154" s="381" t="s">
        <v>2122</v>
      </c>
    </row>
    <row r="155" spans="1:1">
      <c r="A155" s="380" t="s">
        <v>915</v>
      </c>
    </row>
    <row r="156" spans="1:1">
      <c r="A156" s="380" t="s">
        <v>916</v>
      </c>
    </row>
    <row r="157" spans="1:1">
      <c r="A157" s="380" t="s">
        <v>917</v>
      </c>
    </row>
  </sheetData>
  <phoneticPr fontId="3"/>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5"/>
  <dimension ref="A1:B36"/>
  <sheetViews>
    <sheetView workbookViewId="0">
      <selection activeCell="I14" sqref="I14"/>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2011</v>
      </c>
    </row>
    <row r="9" spans="1:1">
      <c r="A9" s="380" t="s">
        <v>2012</v>
      </c>
    </row>
    <row r="10" spans="1:1">
      <c r="A10" s="380" t="s">
        <v>2013</v>
      </c>
    </row>
    <row r="11" spans="1:1">
      <c r="A11" s="380" t="s">
        <v>2014</v>
      </c>
    </row>
    <row r="12" spans="1:1">
      <c r="A12" s="380" t="s">
        <v>2015</v>
      </c>
    </row>
    <row r="13" spans="1:1">
      <c r="A13" s="380" t="s">
        <v>2016</v>
      </c>
    </row>
    <row r="14" spans="1:1" s="381" customFormat="1">
      <c r="A14" s="381" t="s">
        <v>2017</v>
      </c>
    </row>
    <row r="15" spans="1:1" s="381" customFormat="1">
      <c r="A15" s="381" t="s">
        <v>2018</v>
      </c>
    </row>
    <row r="16" spans="1:1" s="381" customFormat="1">
      <c r="A16" s="381" t="s">
        <v>676</v>
      </c>
    </row>
    <row r="17" spans="1:2" s="381" customFormat="1">
      <c r="A17" s="381" t="s">
        <v>719</v>
      </c>
    </row>
    <row r="18" spans="1:2" s="381" customFormat="1">
      <c r="A18" s="381"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2019</v>
      </c>
    </row>
    <row r="36" spans="1:2">
      <c r="A36" s="380" t="s">
        <v>2020</v>
      </c>
    </row>
  </sheetData>
  <phoneticPr fontId="3"/>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dimension ref="A1:B36"/>
  <sheetViews>
    <sheetView workbookViewId="0">
      <selection activeCell="A14" sqref="A14:IV18"/>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2115</v>
      </c>
    </row>
    <row r="9" spans="1:1">
      <c r="A9" s="380" t="s">
        <v>2123</v>
      </c>
    </row>
    <row r="10" spans="1:1">
      <c r="A10" s="380" t="s">
        <v>2124</v>
      </c>
    </row>
    <row r="11" spans="1:1">
      <c r="A11" s="380" t="s">
        <v>2125</v>
      </c>
    </row>
    <row r="12" spans="1:1">
      <c r="A12" s="380" t="s">
        <v>2126</v>
      </c>
    </row>
    <row r="13" spans="1:1">
      <c r="A13" s="380" t="s">
        <v>2127</v>
      </c>
    </row>
    <row r="14" spans="1:1" s="381" customFormat="1">
      <c r="A14" s="381" t="s">
        <v>2128</v>
      </c>
    </row>
    <row r="15" spans="1:1" s="381" customFormat="1">
      <c r="A15" s="381" t="s">
        <v>2129</v>
      </c>
    </row>
    <row r="16" spans="1:1" s="381" customFormat="1">
      <c r="A16" s="381" t="s">
        <v>676</v>
      </c>
    </row>
    <row r="17" spans="1:2" s="381" customFormat="1">
      <c r="A17" s="381" t="s">
        <v>720</v>
      </c>
    </row>
    <row r="18" spans="1:2" s="381" customFormat="1">
      <c r="A18" s="381" t="s">
        <v>701</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2130</v>
      </c>
    </row>
    <row r="36" spans="1:2">
      <c r="A36" s="380" t="s">
        <v>2131</v>
      </c>
    </row>
  </sheetData>
  <phoneticPr fontId="3"/>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dimension ref="A1:A158"/>
  <sheetViews>
    <sheetView topLeftCell="A145" workbookViewId="0">
      <selection activeCell="G160" sqref="G160"/>
    </sheetView>
  </sheetViews>
  <sheetFormatPr defaultColWidth="9" defaultRowHeight="12.75"/>
  <cols>
    <col min="1" max="16384" width="9" style="380"/>
  </cols>
  <sheetData>
    <row r="1" spans="1:1">
      <c r="A1" s="380" t="s">
        <v>674</v>
      </c>
    </row>
    <row r="3" spans="1:1">
      <c r="A3" s="380" t="s">
        <v>673</v>
      </c>
    </row>
    <row r="4" spans="1:1">
      <c r="A4" s="380" t="s">
        <v>2132</v>
      </c>
    </row>
    <row r="6" spans="1:1">
      <c r="A6" s="380" t="s">
        <v>675</v>
      </c>
    </row>
    <row r="8" spans="1:1">
      <c r="A8" s="380" t="s">
        <v>2131</v>
      </c>
    </row>
    <row r="9" spans="1:1">
      <c r="A9" s="380" t="s">
        <v>2133</v>
      </c>
    </row>
    <row r="10" spans="1:1">
      <c r="A10" s="380" t="s">
        <v>2134</v>
      </c>
    </row>
    <row r="11" spans="1:1">
      <c r="A11" s="380" t="s">
        <v>2135</v>
      </c>
    </row>
    <row r="12" spans="1:1">
      <c r="A12" s="380" t="s">
        <v>2136</v>
      </c>
    </row>
    <row r="13" spans="1:1">
      <c r="A13" s="380" t="s">
        <v>2137</v>
      </c>
    </row>
    <row r="14" spans="1:1">
      <c r="A14" s="380" t="s">
        <v>2138</v>
      </c>
    </row>
    <row r="15" spans="1:1">
      <c r="A15" s="380" t="s">
        <v>2139</v>
      </c>
    </row>
    <row r="16" spans="1:1">
      <c r="A16" s="380" t="s">
        <v>2140</v>
      </c>
    </row>
    <row r="17" spans="1:1">
      <c r="A17" s="380" t="s">
        <v>2141</v>
      </c>
    </row>
    <row r="18" spans="1:1">
      <c r="A18" s="380" t="s">
        <v>2142</v>
      </c>
    </row>
    <row r="19" spans="1:1">
      <c r="A19" s="380" t="s">
        <v>2143</v>
      </c>
    </row>
    <row r="20" spans="1:1">
      <c r="A20" s="380" t="s">
        <v>2144</v>
      </c>
    </row>
    <row r="21" spans="1:1">
      <c r="A21" s="380" t="s">
        <v>2145</v>
      </c>
    </row>
    <row r="22" spans="1:1">
      <c r="A22" s="380" t="s">
        <v>2146</v>
      </c>
    </row>
    <row r="23" spans="1:1">
      <c r="A23" s="380" t="s">
        <v>2147</v>
      </c>
    </row>
    <row r="24" spans="1:1">
      <c r="A24" s="380" t="s">
        <v>2148</v>
      </c>
    </row>
    <row r="25" spans="1:1">
      <c r="A25" s="380" t="s">
        <v>2149</v>
      </c>
    </row>
    <row r="26" spans="1:1">
      <c r="A26" s="380" t="s">
        <v>2150</v>
      </c>
    </row>
    <row r="27" spans="1:1">
      <c r="A27" s="380" t="s">
        <v>2151</v>
      </c>
    </row>
    <row r="28" spans="1:1">
      <c r="A28" s="380" t="s">
        <v>2152</v>
      </c>
    </row>
    <row r="29" spans="1:1">
      <c r="A29" s="380" t="s">
        <v>2153</v>
      </c>
    </row>
    <row r="30" spans="1:1">
      <c r="A30" s="380" t="s">
        <v>2154</v>
      </c>
    </row>
    <row r="31" spans="1:1">
      <c r="A31" s="380" t="s">
        <v>2155</v>
      </c>
    </row>
    <row r="32" spans="1:1">
      <c r="A32" s="380" t="s">
        <v>2156</v>
      </c>
    </row>
    <row r="33" spans="1:1">
      <c r="A33" s="380" t="s">
        <v>2157</v>
      </c>
    </row>
    <row r="34" spans="1:1">
      <c r="A34" s="380" t="s">
        <v>2158</v>
      </c>
    </row>
    <row r="35" spans="1:1">
      <c r="A35" s="380" t="s">
        <v>2159</v>
      </c>
    </row>
    <row r="36" spans="1:1">
      <c r="A36" s="380" t="s">
        <v>2160</v>
      </c>
    </row>
    <row r="37" spans="1:1">
      <c r="A37" s="380" t="s">
        <v>2161</v>
      </c>
    </row>
    <row r="38" spans="1:1">
      <c r="A38" s="380" t="s">
        <v>2162</v>
      </c>
    </row>
    <row r="39" spans="1:1">
      <c r="A39" s="380" t="s">
        <v>2163</v>
      </c>
    </row>
    <row r="40" spans="1:1">
      <c r="A40" s="380" t="s">
        <v>2164</v>
      </c>
    </row>
    <row r="41" spans="1:1">
      <c r="A41" s="380" t="s">
        <v>2165</v>
      </c>
    </row>
    <row r="42" spans="1:1">
      <c r="A42" s="380" t="s">
        <v>2166</v>
      </c>
    </row>
    <row r="43" spans="1:1">
      <c r="A43" s="380" t="s">
        <v>2167</v>
      </c>
    </row>
    <row r="44" spans="1:1">
      <c r="A44" s="380" t="s">
        <v>2168</v>
      </c>
    </row>
    <row r="45" spans="1:1">
      <c r="A45" s="380" t="s">
        <v>2169</v>
      </c>
    </row>
    <row r="46" spans="1:1">
      <c r="A46" s="380" t="s">
        <v>2170</v>
      </c>
    </row>
    <row r="47" spans="1:1">
      <c r="A47" s="380" t="s">
        <v>2171</v>
      </c>
    </row>
    <row r="48" spans="1:1">
      <c r="A48" s="380" t="s">
        <v>2172</v>
      </c>
    </row>
    <row r="49" spans="1:1">
      <c r="A49" s="380" t="s">
        <v>2173</v>
      </c>
    </row>
    <row r="50" spans="1:1">
      <c r="A50" s="380" t="s">
        <v>2174</v>
      </c>
    </row>
    <row r="51" spans="1:1">
      <c r="A51" s="380" t="s">
        <v>2175</v>
      </c>
    </row>
    <row r="52" spans="1:1">
      <c r="A52" s="380" t="s">
        <v>2176</v>
      </c>
    </row>
    <row r="53" spans="1:1">
      <c r="A53" s="380" t="s">
        <v>2177</v>
      </c>
    </row>
    <row r="54" spans="1:1">
      <c r="A54" s="380" t="s">
        <v>2178</v>
      </c>
    </row>
    <row r="55" spans="1:1">
      <c r="A55" s="380" t="s">
        <v>2179</v>
      </c>
    </row>
    <row r="56" spans="1:1">
      <c r="A56" s="380" t="s">
        <v>2180</v>
      </c>
    </row>
    <row r="57" spans="1:1">
      <c r="A57" s="380" t="s">
        <v>2181</v>
      </c>
    </row>
    <row r="58" spans="1:1">
      <c r="A58" s="380" t="s">
        <v>2182</v>
      </c>
    </row>
    <row r="59" spans="1:1">
      <c r="A59" s="380" t="s">
        <v>2183</v>
      </c>
    </row>
    <row r="60" spans="1:1">
      <c r="A60" s="380" t="s">
        <v>2184</v>
      </c>
    </row>
    <row r="61" spans="1:1">
      <c r="A61" s="380" t="s">
        <v>2185</v>
      </c>
    </row>
    <row r="62" spans="1:1" s="381" customFormat="1">
      <c r="A62" s="381" t="s">
        <v>2186</v>
      </c>
    </row>
    <row r="63" spans="1:1">
      <c r="A63" s="380" t="s">
        <v>2187</v>
      </c>
    </row>
    <row r="64" spans="1:1">
      <c r="A64" s="380" t="s">
        <v>2188</v>
      </c>
    </row>
    <row r="65" spans="1:1">
      <c r="A65" s="380" t="s">
        <v>2189</v>
      </c>
    </row>
    <row r="66" spans="1:1">
      <c r="A66" s="380" t="s">
        <v>2190</v>
      </c>
    </row>
    <row r="67" spans="1:1">
      <c r="A67" s="380" t="s">
        <v>2191</v>
      </c>
    </row>
    <row r="68" spans="1:1">
      <c r="A68" s="380" t="s">
        <v>2192</v>
      </c>
    </row>
    <row r="69" spans="1:1">
      <c r="A69" s="380" t="s">
        <v>2193</v>
      </c>
    </row>
    <row r="70" spans="1:1">
      <c r="A70" s="380" t="s">
        <v>2194</v>
      </c>
    </row>
    <row r="71" spans="1:1">
      <c r="A71" s="380" t="s">
        <v>2195</v>
      </c>
    </row>
    <row r="72" spans="1:1">
      <c r="A72" s="380" t="s">
        <v>2196</v>
      </c>
    </row>
    <row r="73" spans="1:1">
      <c r="A73" s="380" t="s">
        <v>2197</v>
      </c>
    </row>
    <row r="74" spans="1:1">
      <c r="A74" s="380" t="s">
        <v>2198</v>
      </c>
    </row>
    <row r="75" spans="1:1">
      <c r="A75" s="380" t="s">
        <v>2199</v>
      </c>
    </row>
    <row r="76" spans="1:1">
      <c r="A76" s="380" t="s">
        <v>2200</v>
      </c>
    </row>
    <row r="77" spans="1:1">
      <c r="A77" s="380" t="s">
        <v>2201</v>
      </c>
    </row>
    <row r="78" spans="1:1">
      <c r="A78" s="380" t="s">
        <v>2202</v>
      </c>
    </row>
    <row r="79" spans="1:1">
      <c r="A79" s="380" t="s">
        <v>2203</v>
      </c>
    </row>
    <row r="80" spans="1:1">
      <c r="A80" s="380" t="s">
        <v>2204</v>
      </c>
    </row>
    <row r="81" spans="1:1">
      <c r="A81" s="380" t="s">
        <v>2205</v>
      </c>
    </row>
    <row r="82" spans="1:1">
      <c r="A82" s="380" t="s">
        <v>2206</v>
      </c>
    </row>
    <row r="83" spans="1:1">
      <c r="A83" s="380" t="s">
        <v>2207</v>
      </c>
    </row>
    <row r="84" spans="1:1">
      <c r="A84" s="380" t="s">
        <v>2208</v>
      </c>
    </row>
    <row r="85" spans="1:1">
      <c r="A85" s="380" t="s">
        <v>2209</v>
      </c>
    </row>
    <row r="86" spans="1:1">
      <c r="A86" s="380" t="s">
        <v>2210</v>
      </c>
    </row>
    <row r="87" spans="1:1">
      <c r="A87" s="380" t="s">
        <v>2211</v>
      </c>
    </row>
    <row r="88" spans="1:1">
      <c r="A88" s="380" t="s">
        <v>2212</v>
      </c>
    </row>
    <row r="89" spans="1:1">
      <c r="A89" s="380" t="s">
        <v>2213</v>
      </c>
    </row>
    <row r="90" spans="1:1">
      <c r="A90" s="380" t="s">
        <v>2214</v>
      </c>
    </row>
    <row r="91" spans="1:1">
      <c r="A91" s="380" t="s">
        <v>2215</v>
      </c>
    </row>
    <row r="92" spans="1:1">
      <c r="A92" s="380" t="s">
        <v>2216</v>
      </c>
    </row>
    <row r="93" spans="1:1">
      <c r="A93" s="380" t="s">
        <v>2217</v>
      </c>
    </row>
    <row r="94" spans="1:1">
      <c r="A94" s="380" t="s">
        <v>2218</v>
      </c>
    </row>
    <row r="95" spans="1:1">
      <c r="A95" s="380" t="s">
        <v>2219</v>
      </c>
    </row>
    <row r="96" spans="1:1">
      <c r="A96" s="380" t="s">
        <v>2220</v>
      </c>
    </row>
    <row r="97" spans="1:1">
      <c r="A97" s="380" t="s">
        <v>2221</v>
      </c>
    </row>
    <row r="98" spans="1:1">
      <c r="A98" s="380" t="s">
        <v>2222</v>
      </c>
    </row>
    <row r="99" spans="1:1">
      <c r="A99" s="380" t="s">
        <v>2223</v>
      </c>
    </row>
    <row r="100" spans="1:1">
      <c r="A100" s="380" t="s">
        <v>2224</v>
      </c>
    </row>
    <row r="101" spans="1:1">
      <c r="A101" s="380" t="s">
        <v>2225</v>
      </c>
    </row>
    <row r="103" spans="1:1">
      <c r="A103" s="380" t="s">
        <v>2226</v>
      </c>
    </row>
    <row r="104" spans="1:1">
      <c r="A104" s="380" t="s">
        <v>1032</v>
      </c>
    </row>
    <row r="105" spans="1:1">
      <c r="A105" s="380" t="s">
        <v>2227</v>
      </c>
    </row>
    <row r="106" spans="1:1">
      <c r="A106" s="380" t="s">
        <v>865</v>
      </c>
    </row>
    <row r="107" spans="1:1">
      <c r="A107" s="380" t="s">
        <v>2228</v>
      </c>
    </row>
    <row r="108" spans="1:1">
      <c r="A108" s="380" t="s">
        <v>867</v>
      </c>
    </row>
    <row r="109" spans="1:1">
      <c r="A109" s="380" t="s">
        <v>2229</v>
      </c>
    </row>
    <row r="110" spans="1:1">
      <c r="A110" s="380" t="s">
        <v>869</v>
      </c>
    </row>
    <row r="111" spans="1:1">
      <c r="A111" s="380" t="s">
        <v>870</v>
      </c>
    </row>
    <row r="112" spans="1:1">
      <c r="A112" s="380" t="s">
        <v>871</v>
      </c>
    </row>
    <row r="113" spans="1:1">
      <c r="A113" s="380" t="s">
        <v>872</v>
      </c>
    </row>
    <row r="114" spans="1:1">
      <c r="A114" s="380" t="s">
        <v>873</v>
      </c>
    </row>
    <row r="115" spans="1:1">
      <c r="A115" s="380" t="s">
        <v>874</v>
      </c>
    </row>
    <row r="116" spans="1:1">
      <c r="A116" s="380" t="s">
        <v>875</v>
      </c>
    </row>
    <row r="117" spans="1:1">
      <c r="A117" s="380" t="s">
        <v>876</v>
      </c>
    </row>
    <row r="118" spans="1:1">
      <c r="A118" s="380" t="s">
        <v>877</v>
      </c>
    </row>
    <row r="119" spans="1:1">
      <c r="A119" s="380" t="s">
        <v>878</v>
      </c>
    </row>
    <row r="120" spans="1:1">
      <c r="A120" s="380" t="s">
        <v>879</v>
      </c>
    </row>
    <row r="121" spans="1:1">
      <c r="A121" s="380" t="s">
        <v>880</v>
      </c>
    </row>
    <row r="122" spans="1:1">
      <c r="A122" s="380" t="s">
        <v>881</v>
      </c>
    </row>
    <row r="123" spans="1:1">
      <c r="A123" s="380" t="s">
        <v>882</v>
      </c>
    </row>
    <row r="124" spans="1:1">
      <c r="A124" s="380" t="s">
        <v>883</v>
      </c>
    </row>
    <row r="125" spans="1:1">
      <c r="A125" s="380" t="s">
        <v>884</v>
      </c>
    </row>
    <row r="126" spans="1:1">
      <c r="A126" s="380" t="s">
        <v>885</v>
      </c>
    </row>
    <row r="127" spans="1:1">
      <c r="A127" s="380" t="s">
        <v>886</v>
      </c>
    </row>
    <row r="128" spans="1:1">
      <c r="A128" s="380" t="s">
        <v>887</v>
      </c>
    </row>
    <row r="129" spans="1:1">
      <c r="A129" s="380" t="s">
        <v>888</v>
      </c>
    </row>
    <row r="130" spans="1:1">
      <c r="A130" s="380" t="s">
        <v>889</v>
      </c>
    </row>
    <row r="131" spans="1:1">
      <c r="A131" s="380" t="s">
        <v>890</v>
      </c>
    </row>
    <row r="132" spans="1:1">
      <c r="A132" s="380" t="s">
        <v>891</v>
      </c>
    </row>
    <row r="133" spans="1:1">
      <c r="A133" s="380" t="s">
        <v>892</v>
      </c>
    </row>
    <row r="134" spans="1:1">
      <c r="A134" s="380" t="s">
        <v>893</v>
      </c>
    </row>
    <row r="135" spans="1:1">
      <c r="A135" s="380" t="s">
        <v>894</v>
      </c>
    </row>
    <row r="136" spans="1:1">
      <c r="A136" s="380" t="s">
        <v>895</v>
      </c>
    </row>
    <row r="137" spans="1:1">
      <c r="A137" s="380" t="s">
        <v>896</v>
      </c>
    </row>
    <row r="138" spans="1:1">
      <c r="A138" s="380" t="s">
        <v>897</v>
      </c>
    </row>
    <row r="139" spans="1:1">
      <c r="A139" s="380" t="s">
        <v>898</v>
      </c>
    </row>
    <row r="140" spans="1:1">
      <c r="A140" s="380" t="s">
        <v>899</v>
      </c>
    </row>
    <row r="141" spans="1:1">
      <c r="A141" s="380" t="s">
        <v>2230</v>
      </c>
    </row>
    <row r="142" spans="1:1">
      <c r="A142" s="380" t="s">
        <v>901</v>
      </c>
    </row>
    <row r="143" spans="1:1">
      <c r="A143" s="380" t="s">
        <v>2231</v>
      </c>
    </row>
    <row r="144" spans="1:1">
      <c r="A144" s="380" t="s">
        <v>903</v>
      </c>
    </row>
    <row r="145" spans="1:1">
      <c r="A145" s="380" t="s">
        <v>1038</v>
      </c>
    </row>
    <row r="146" spans="1:1">
      <c r="A146" s="380" t="s">
        <v>905</v>
      </c>
    </row>
    <row r="147" spans="1:1">
      <c r="A147" s="380" t="s">
        <v>906</v>
      </c>
    </row>
    <row r="148" spans="1:1">
      <c r="A148" s="380" t="s">
        <v>907</v>
      </c>
    </row>
    <row r="149" spans="1:1">
      <c r="A149" s="380" t="s">
        <v>908</v>
      </c>
    </row>
    <row r="150" spans="1:1">
      <c r="A150" s="380" t="s">
        <v>909</v>
      </c>
    </row>
    <row r="151" spans="1:1">
      <c r="A151" s="380" t="s">
        <v>910</v>
      </c>
    </row>
    <row r="152" spans="1:1">
      <c r="A152" s="380" t="s">
        <v>911</v>
      </c>
    </row>
    <row r="153" spans="1:1">
      <c r="A153" s="380" t="s">
        <v>912</v>
      </c>
    </row>
    <row r="154" spans="1:1">
      <c r="A154" s="380" t="s">
        <v>913</v>
      </c>
    </row>
    <row r="155" spans="1:1">
      <c r="A155" s="380" t="s">
        <v>914</v>
      </c>
    </row>
    <row r="156" spans="1:1" s="381" customFormat="1">
      <c r="A156" s="381" t="s">
        <v>2232</v>
      </c>
    </row>
    <row r="157" spans="1:1">
      <c r="A157" s="380" t="s">
        <v>916</v>
      </c>
    </row>
    <row r="158" spans="1:1">
      <c r="A158" s="380" t="s">
        <v>917</v>
      </c>
    </row>
  </sheetData>
  <phoneticPr fontId="3"/>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8"/>
  <dimension ref="A1:B36"/>
  <sheetViews>
    <sheetView workbookViewId="0">
      <selection activeCell="J12" sqref="J12"/>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2225</v>
      </c>
    </row>
    <row r="9" spans="1:1">
      <c r="A9" s="380" t="s">
        <v>2233</v>
      </c>
    </row>
    <row r="10" spans="1:1">
      <c r="A10" s="380" t="s">
        <v>2234</v>
      </c>
    </row>
    <row r="11" spans="1:1">
      <c r="A11" s="380" t="s">
        <v>2235</v>
      </c>
    </row>
    <row r="12" spans="1:1">
      <c r="A12" s="380" t="s">
        <v>2236</v>
      </c>
    </row>
    <row r="13" spans="1:1">
      <c r="A13" s="380" t="s">
        <v>2237</v>
      </c>
    </row>
    <row r="14" spans="1:1" s="381" customFormat="1">
      <c r="A14" s="381" t="s">
        <v>2238</v>
      </c>
    </row>
    <row r="15" spans="1:1" s="381" customFormat="1">
      <c r="A15" s="381" t="s">
        <v>2239</v>
      </c>
    </row>
    <row r="16" spans="1:1" s="381" customFormat="1">
      <c r="A16" s="381" t="s">
        <v>676</v>
      </c>
    </row>
    <row r="17" spans="1:2" s="381" customFormat="1">
      <c r="A17" s="381" t="s">
        <v>721</v>
      </c>
    </row>
    <row r="18" spans="1:2" s="381" customFormat="1">
      <c r="A18" s="381"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2240</v>
      </c>
    </row>
    <row r="36" spans="1:2">
      <c r="A36" s="380" t="s">
        <v>2241</v>
      </c>
    </row>
  </sheetData>
  <phoneticPr fontId="3"/>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9"/>
  <dimension ref="A1:B36"/>
  <sheetViews>
    <sheetView workbookViewId="0">
      <selection activeCell="A14" sqref="A14:IV18"/>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2241</v>
      </c>
    </row>
    <row r="9" spans="1:1">
      <c r="A9" s="380" t="s">
        <v>2242</v>
      </c>
    </row>
    <row r="10" spans="1:1">
      <c r="A10" s="380" t="s">
        <v>2243</v>
      </c>
    </row>
    <row r="11" spans="1:1">
      <c r="A11" s="380" t="s">
        <v>2244</v>
      </c>
    </row>
    <row r="12" spans="1:1">
      <c r="A12" s="380" t="s">
        <v>2245</v>
      </c>
    </row>
    <row r="13" spans="1:1">
      <c r="A13" s="380" t="s">
        <v>2246</v>
      </c>
    </row>
    <row r="14" spans="1:1" s="381" customFormat="1">
      <c r="A14" s="381" t="s">
        <v>2247</v>
      </c>
    </row>
    <row r="15" spans="1:1" s="381" customFormat="1">
      <c r="A15" s="381" t="s">
        <v>2248</v>
      </c>
    </row>
    <row r="16" spans="1:1" s="381" customFormat="1">
      <c r="A16" s="381" t="s">
        <v>676</v>
      </c>
    </row>
    <row r="17" spans="1:2" s="381" customFormat="1">
      <c r="A17" s="381" t="s">
        <v>722</v>
      </c>
    </row>
    <row r="18" spans="1:2" s="381" customFormat="1">
      <c r="A18" s="381" t="s">
        <v>701</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2249</v>
      </c>
    </row>
    <row r="36" spans="1:2">
      <c r="A36" s="380" t="s">
        <v>2250</v>
      </c>
    </row>
  </sheetData>
  <phoneticPr fontId="3"/>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0"/>
  <dimension ref="A1:A158"/>
  <sheetViews>
    <sheetView topLeftCell="A139" workbookViewId="0">
      <selection activeCell="G161" sqref="G161"/>
    </sheetView>
  </sheetViews>
  <sheetFormatPr defaultColWidth="9" defaultRowHeight="12.75"/>
  <cols>
    <col min="1" max="16384" width="9" style="380"/>
  </cols>
  <sheetData>
    <row r="1" spans="1:1">
      <c r="A1" s="380" t="s">
        <v>674</v>
      </c>
    </row>
    <row r="3" spans="1:1">
      <c r="A3" s="380" t="s">
        <v>673</v>
      </c>
    </row>
    <row r="4" spans="1:1">
      <c r="A4" s="380" t="s">
        <v>2251</v>
      </c>
    </row>
    <row r="6" spans="1:1">
      <c r="A6" s="380" t="s">
        <v>675</v>
      </c>
    </row>
    <row r="8" spans="1:1">
      <c r="A8" s="380" t="s">
        <v>2250</v>
      </c>
    </row>
    <row r="9" spans="1:1">
      <c r="A9" s="380" t="s">
        <v>2252</v>
      </c>
    </row>
    <row r="10" spans="1:1">
      <c r="A10" s="380" t="s">
        <v>2253</v>
      </c>
    </row>
    <row r="11" spans="1:1">
      <c r="A11" s="380" t="s">
        <v>2254</v>
      </c>
    </row>
    <row r="12" spans="1:1">
      <c r="A12" s="380" t="s">
        <v>2255</v>
      </c>
    </row>
    <row r="13" spans="1:1">
      <c r="A13" s="380" t="s">
        <v>2256</v>
      </c>
    </row>
    <row r="14" spans="1:1">
      <c r="A14" s="380" t="s">
        <v>2257</v>
      </c>
    </row>
    <row r="15" spans="1:1">
      <c r="A15" s="380" t="s">
        <v>2258</v>
      </c>
    </row>
    <row r="16" spans="1:1">
      <c r="A16" s="380" t="s">
        <v>2259</v>
      </c>
    </row>
    <row r="17" spans="1:1">
      <c r="A17" s="380" t="s">
        <v>2260</v>
      </c>
    </row>
    <row r="18" spans="1:1">
      <c r="A18" s="380" t="s">
        <v>2261</v>
      </c>
    </row>
    <row r="19" spans="1:1">
      <c r="A19" s="380" t="s">
        <v>2262</v>
      </c>
    </row>
    <row r="20" spans="1:1">
      <c r="A20" s="380" t="s">
        <v>2263</v>
      </c>
    </row>
    <row r="21" spans="1:1">
      <c r="A21" s="380" t="s">
        <v>2264</v>
      </c>
    </row>
    <row r="22" spans="1:1">
      <c r="A22" s="380" t="s">
        <v>2265</v>
      </c>
    </row>
    <row r="23" spans="1:1">
      <c r="A23" s="380" t="s">
        <v>2266</v>
      </c>
    </row>
    <row r="24" spans="1:1">
      <c r="A24" s="380" t="s">
        <v>2267</v>
      </c>
    </row>
    <row r="25" spans="1:1">
      <c r="A25" s="380" t="s">
        <v>2268</v>
      </c>
    </row>
    <row r="26" spans="1:1">
      <c r="A26" s="380" t="s">
        <v>2269</v>
      </c>
    </row>
    <row r="27" spans="1:1">
      <c r="A27" s="380" t="s">
        <v>2270</v>
      </c>
    </row>
    <row r="28" spans="1:1">
      <c r="A28" s="380" t="s">
        <v>2271</v>
      </c>
    </row>
    <row r="29" spans="1:1">
      <c r="A29" s="380" t="s">
        <v>2272</v>
      </c>
    </row>
    <row r="30" spans="1:1">
      <c r="A30" s="380" t="s">
        <v>2273</v>
      </c>
    </row>
    <row r="31" spans="1:1">
      <c r="A31" s="380" t="s">
        <v>2274</v>
      </c>
    </row>
    <row r="32" spans="1:1">
      <c r="A32" s="380" t="s">
        <v>2275</v>
      </c>
    </row>
    <row r="33" spans="1:1">
      <c r="A33" s="380" t="s">
        <v>2276</v>
      </c>
    </row>
    <row r="34" spans="1:1">
      <c r="A34" s="380" t="s">
        <v>2277</v>
      </c>
    </row>
    <row r="35" spans="1:1">
      <c r="A35" s="380" t="s">
        <v>2278</v>
      </c>
    </row>
    <row r="36" spans="1:1">
      <c r="A36" s="380" t="s">
        <v>2279</v>
      </c>
    </row>
    <row r="37" spans="1:1">
      <c r="A37" s="380" t="s">
        <v>2280</v>
      </c>
    </row>
    <row r="38" spans="1:1">
      <c r="A38" s="380" t="s">
        <v>2281</v>
      </c>
    </row>
    <row r="39" spans="1:1">
      <c r="A39" s="380" t="s">
        <v>2282</v>
      </c>
    </row>
    <row r="40" spans="1:1">
      <c r="A40" s="380" t="s">
        <v>2283</v>
      </c>
    </row>
    <row r="41" spans="1:1">
      <c r="A41" s="380" t="s">
        <v>2284</v>
      </c>
    </row>
    <row r="42" spans="1:1">
      <c r="A42" s="380" t="s">
        <v>2285</v>
      </c>
    </row>
    <row r="43" spans="1:1">
      <c r="A43" s="380" t="s">
        <v>2286</v>
      </c>
    </row>
    <row r="44" spans="1:1">
      <c r="A44" s="380" t="s">
        <v>2287</v>
      </c>
    </row>
    <row r="45" spans="1:1">
      <c r="A45" s="380" t="s">
        <v>2288</v>
      </c>
    </row>
    <row r="46" spans="1:1">
      <c r="A46" s="380" t="s">
        <v>2289</v>
      </c>
    </row>
    <row r="47" spans="1:1">
      <c r="A47" s="380" t="s">
        <v>2290</v>
      </c>
    </row>
    <row r="48" spans="1:1">
      <c r="A48" s="380" t="s">
        <v>2291</v>
      </c>
    </row>
    <row r="49" spans="1:1">
      <c r="A49" s="380" t="s">
        <v>2292</v>
      </c>
    </row>
    <row r="50" spans="1:1">
      <c r="A50" s="380" t="s">
        <v>2293</v>
      </c>
    </row>
    <row r="51" spans="1:1">
      <c r="A51" s="380" t="s">
        <v>2294</v>
      </c>
    </row>
    <row r="52" spans="1:1">
      <c r="A52" s="380" t="s">
        <v>2295</v>
      </c>
    </row>
    <row r="53" spans="1:1">
      <c r="A53" s="380" t="s">
        <v>2296</v>
      </c>
    </row>
    <row r="54" spans="1:1">
      <c r="A54" s="380" t="s">
        <v>2297</v>
      </c>
    </row>
    <row r="55" spans="1:1">
      <c r="A55" s="380" t="s">
        <v>2298</v>
      </c>
    </row>
    <row r="56" spans="1:1">
      <c r="A56" s="380" t="s">
        <v>2299</v>
      </c>
    </row>
    <row r="57" spans="1:1">
      <c r="A57" s="380" t="s">
        <v>2300</v>
      </c>
    </row>
    <row r="58" spans="1:1">
      <c r="A58" s="380" t="s">
        <v>2301</v>
      </c>
    </row>
    <row r="59" spans="1:1">
      <c r="A59" s="380" t="s">
        <v>2302</v>
      </c>
    </row>
    <row r="60" spans="1:1">
      <c r="A60" s="380" t="s">
        <v>2303</v>
      </c>
    </row>
    <row r="61" spans="1:1">
      <c r="A61" s="380" t="s">
        <v>2304</v>
      </c>
    </row>
    <row r="62" spans="1:1">
      <c r="A62" s="380" t="s">
        <v>2305</v>
      </c>
    </row>
    <row r="63" spans="1:1" s="381" customFormat="1">
      <c r="A63" s="381" t="s">
        <v>2306</v>
      </c>
    </row>
    <row r="64" spans="1:1">
      <c r="A64" s="380" t="s">
        <v>2307</v>
      </c>
    </row>
    <row r="65" spans="1:1">
      <c r="A65" s="380" t="s">
        <v>2308</v>
      </c>
    </row>
    <row r="66" spans="1:1">
      <c r="A66" s="380" t="s">
        <v>2309</v>
      </c>
    </row>
    <row r="67" spans="1:1">
      <c r="A67" s="380" t="s">
        <v>2310</v>
      </c>
    </row>
    <row r="68" spans="1:1">
      <c r="A68" s="380" t="s">
        <v>2311</v>
      </c>
    </row>
    <row r="69" spans="1:1">
      <c r="A69" s="380" t="s">
        <v>2312</v>
      </c>
    </row>
    <row r="70" spans="1:1">
      <c r="A70" s="380" t="s">
        <v>2313</v>
      </c>
    </row>
    <row r="71" spans="1:1">
      <c r="A71" s="380" t="s">
        <v>2314</v>
      </c>
    </row>
    <row r="72" spans="1:1">
      <c r="A72" s="380" t="s">
        <v>2315</v>
      </c>
    </row>
    <row r="73" spans="1:1">
      <c r="A73" s="380" t="s">
        <v>2316</v>
      </c>
    </row>
    <row r="74" spans="1:1">
      <c r="A74" s="380" t="s">
        <v>2317</v>
      </c>
    </row>
    <row r="75" spans="1:1">
      <c r="A75" s="380" t="s">
        <v>2318</v>
      </c>
    </row>
    <row r="76" spans="1:1">
      <c r="A76" s="380" t="s">
        <v>2319</v>
      </c>
    </row>
    <row r="77" spans="1:1">
      <c r="A77" s="380" t="s">
        <v>2320</v>
      </c>
    </row>
    <row r="78" spans="1:1">
      <c r="A78" s="380" t="s">
        <v>2321</v>
      </c>
    </row>
    <row r="79" spans="1:1">
      <c r="A79" s="380" t="s">
        <v>2322</v>
      </c>
    </row>
    <row r="80" spans="1:1">
      <c r="A80" s="380" t="s">
        <v>2323</v>
      </c>
    </row>
    <row r="81" spans="1:1">
      <c r="A81" s="380" t="s">
        <v>2324</v>
      </c>
    </row>
    <row r="82" spans="1:1">
      <c r="A82" s="380" t="s">
        <v>2325</v>
      </c>
    </row>
    <row r="83" spans="1:1">
      <c r="A83" s="380" t="s">
        <v>2326</v>
      </c>
    </row>
    <row r="84" spans="1:1">
      <c r="A84" s="380" t="s">
        <v>2327</v>
      </c>
    </row>
    <row r="85" spans="1:1">
      <c r="A85" s="380" t="s">
        <v>2328</v>
      </c>
    </row>
    <row r="86" spans="1:1">
      <c r="A86" s="380" t="s">
        <v>2329</v>
      </c>
    </row>
    <row r="87" spans="1:1">
      <c r="A87" s="380" t="s">
        <v>2330</v>
      </c>
    </row>
    <row r="88" spans="1:1">
      <c r="A88" s="380" t="s">
        <v>2331</v>
      </c>
    </row>
    <row r="89" spans="1:1">
      <c r="A89" s="380" t="s">
        <v>2332</v>
      </c>
    </row>
    <row r="90" spans="1:1">
      <c r="A90" s="380" t="s">
        <v>2333</v>
      </c>
    </row>
    <row r="91" spans="1:1">
      <c r="A91" s="380" t="s">
        <v>2334</v>
      </c>
    </row>
    <row r="92" spans="1:1">
      <c r="A92" s="380" t="s">
        <v>2335</v>
      </c>
    </row>
    <row r="93" spans="1:1">
      <c r="A93" s="380" t="s">
        <v>2336</v>
      </c>
    </row>
    <row r="94" spans="1:1">
      <c r="A94" s="380" t="s">
        <v>2337</v>
      </c>
    </row>
    <row r="95" spans="1:1">
      <c r="A95" s="380" t="s">
        <v>2338</v>
      </c>
    </row>
    <row r="96" spans="1:1">
      <c r="A96" s="380" t="s">
        <v>2339</v>
      </c>
    </row>
    <row r="97" spans="1:1">
      <c r="A97" s="380" t="s">
        <v>2340</v>
      </c>
    </row>
    <row r="98" spans="1:1">
      <c r="A98" s="380" t="s">
        <v>2341</v>
      </c>
    </row>
    <row r="99" spans="1:1">
      <c r="A99" s="380" t="s">
        <v>2342</v>
      </c>
    </row>
    <row r="100" spans="1:1">
      <c r="A100" s="380" t="s">
        <v>2343</v>
      </c>
    </row>
    <row r="101" spans="1:1">
      <c r="A101" s="380" t="s">
        <v>2344</v>
      </c>
    </row>
    <row r="103" spans="1:1">
      <c r="A103" s="380" t="s">
        <v>2345</v>
      </c>
    </row>
    <row r="104" spans="1:1">
      <c r="A104" s="380" t="s">
        <v>863</v>
      </c>
    </row>
    <row r="105" spans="1:1">
      <c r="A105" s="380" t="s">
        <v>2346</v>
      </c>
    </row>
    <row r="106" spans="1:1">
      <c r="A106" s="380" t="s">
        <v>865</v>
      </c>
    </row>
    <row r="107" spans="1:1">
      <c r="A107" s="380" t="s">
        <v>2347</v>
      </c>
    </row>
    <row r="108" spans="1:1">
      <c r="A108" s="380" t="s">
        <v>867</v>
      </c>
    </row>
    <row r="109" spans="1:1">
      <c r="A109" s="380" t="s">
        <v>2348</v>
      </c>
    </row>
    <row r="110" spans="1:1">
      <c r="A110" s="380" t="s">
        <v>869</v>
      </c>
    </row>
    <row r="111" spans="1:1">
      <c r="A111" s="380" t="s">
        <v>870</v>
      </c>
    </row>
    <row r="112" spans="1:1">
      <c r="A112" s="380" t="s">
        <v>871</v>
      </c>
    </row>
    <row r="113" spans="1:1">
      <c r="A113" s="380" t="s">
        <v>872</v>
      </c>
    </row>
    <row r="114" spans="1:1">
      <c r="A114" s="380" t="s">
        <v>873</v>
      </c>
    </row>
    <row r="115" spans="1:1">
      <c r="A115" s="380" t="s">
        <v>874</v>
      </c>
    </row>
    <row r="116" spans="1:1">
      <c r="A116" s="380" t="s">
        <v>875</v>
      </c>
    </row>
    <row r="117" spans="1:1">
      <c r="A117" s="380" t="s">
        <v>876</v>
      </c>
    </row>
    <row r="118" spans="1:1">
      <c r="A118" s="380" t="s">
        <v>877</v>
      </c>
    </row>
    <row r="119" spans="1:1">
      <c r="A119" s="380" t="s">
        <v>878</v>
      </c>
    </row>
    <row r="120" spans="1:1">
      <c r="A120" s="380" t="s">
        <v>879</v>
      </c>
    </row>
    <row r="121" spans="1:1">
      <c r="A121" s="380" t="s">
        <v>880</v>
      </c>
    </row>
    <row r="122" spans="1:1">
      <c r="A122" s="380" t="s">
        <v>881</v>
      </c>
    </row>
    <row r="123" spans="1:1">
      <c r="A123" s="380" t="s">
        <v>882</v>
      </c>
    </row>
    <row r="124" spans="1:1">
      <c r="A124" s="380" t="s">
        <v>883</v>
      </c>
    </row>
    <row r="125" spans="1:1">
      <c r="A125" s="380" t="s">
        <v>884</v>
      </c>
    </row>
    <row r="126" spans="1:1">
      <c r="A126" s="380" t="s">
        <v>885</v>
      </c>
    </row>
    <row r="127" spans="1:1">
      <c r="A127" s="380" t="s">
        <v>886</v>
      </c>
    </row>
    <row r="128" spans="1:1">
      <c r="A128" s="380" t="s">
        <v>887</v>
      </c>
    </row>
    <row r="129" spans="1:1">
      <c r="A129" s="380" t="s">
        <v>888</v>
      </c>
    </row>
    <row r="130" spans="1:1">
      <c r="A130" s="380" t="s">
        <v>889</v>
      </c>
    </row>
    <row r="131" spans="1:1">
      <c r="A131" s="380" t="s">
        <v>890</v>
      </c>
    </row>
    <row r="132" spans="1:1">
      <c r="A132" s="380" t="s">
        <v>891</v>
      </c>
    </row>
    <row r="133" spans="1:1">
      <c r="A133" s="380" t="s">
        <v>892</v>
      </c>
    </row>
    <row r="134" spans="1:1">
      <c r="A134" s="380" t="s">
        <v>893</v>
      </c>
    </row>
    <row r="135" spans="1:1">
      <c r="A135" s="380" t="s">
        <v>894</v>
      </c>
    </row>
    <row r="136" spans="1:1">
      <c r="A136" s="380" t="s">
        <v>895</v>
      </c>
    </row>
    <row r="137" spans="1:1">
      <c r="A137" s="380" t="s">
        <v>896</v>
      </c>
    </row>
    <row r="138" spans="1:1">
      <c r="A138" s="380" t="s">
        <v>897</v>
      </c>
    </row>
    <row r="139" spans="1:1">
      <c r="A139" s="380" t="s">
        <v>898</v>
      </c>
    </row>
    <row r="140" spans="1:1">
      <c r="A140" s="380" t="s">
        <v>899</v>
      </c>
    </row>
    <row r="141" spans="1:1">
      <c r="A141" s="380" t="s">
        <v>2349</v>
      </c>
    </row>
    <row r="142" spans="1:1">
      <c r="A142" s="380" t="s">
        <v>901</v>
      </c>
    </row>
    <row r="143" spans="1:1">
      <c r="A143" s="380" t="s">
        <v>2350</v>
      </c>
    </row>
    <row r="144" spans="1:1">
      <c r="A144" s="380" t="s">
        <v>903</v>
      </c>
    </row>
    <row r="145" spans="1:1">
      <c r="A145" s="380" t="s">
        <v>1038</v>
      </c>
    </row>
    <row r="146" spans="1:1">
      <c r="A146" s="380" t="s">
        <v>905</v>
      </c>
    </row>
    <row r="147" spans="1:1">
      <c r="A147" s="380" t="s">
        <v>906</v>
      </c>
    </row>
    <row r="148" spans="1:1">
      <c r="A148" s="380" t="s">
        <v>907</v>
      </c>
    </row>
    <row r="149" spans="1:1">
      <c r="A149" s="380" t="s">
        <v>908</v>
      </c>
    </row>
    <row r="150" spans="1:1">
      <c r="A150" s="380" t="s">
        <v>909</v>
      </c>
    </row>
    <row r="151" spans="1:1">
      <c r="A151" s="380" t="s">
        <v>910</v>
      </c>
    </row>
    <row r="152" spans="1:1">
      <c r="A152" s="380" t="s">
        <v>911</v>
      </c>
    </row>
    <row r="153" spans="1:1">
      <c r="A153" s="380" t="s">
        <v>912</v>
      </c>
    </row>
    <row r="154" spans="1:1">
      <c r="A154" s="380" t="s">
        <v>913</v>
      </c>
    </row>
    <row r="155" spans="1:1">
      <c r="A155" s="380" t="s">
        <v>914</v>
      </c>
    </row>
    <row r="156" spans="1:1">
      <c r="A156" s="380" t="s">
        <v>915</v>
      </c>
    </row>
    <row r="157" spans="1:1" s="381" customFormat="1">
      <c r="A157" s="381" t="s">
        <v>2351</v>
      </c>
    </row>
    <row r="158" spans="1:1">
      <c r="A158" s="380" t="s">
        <v>917</v>
      </c>
    </row>
  </sheetData>
  <phoneticPr fontId="3"/>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1"/>
  <dimension ref="A1:B36"/>
  <sheetViews>
    <sheetView topLeftCell="A10" workbookViewId="0">
      <selection activeCell="H14" sqref="H14"/>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2344</v>
      </c>
    </row>
    <row r="9" spans="1:1">
      <c r="A9" s="380" t="s">
        <v>2352</v>
      </c>
    </row>
    <row r="10" spans="1:1">
      <c r="A10" s="380" t="s">
        <v>2353</v>
      </c>
    </row>
    <row r="11" spans="1:1">
      <c r="A11" s="380" t="s">
        <v>2354</v>
      </c>
    </row>
    <row r="12" spans="1:1">
      <c r="A12" s="380" t="s">
        <v>2355</v>
      </c>
    </row>
    <row r="13" spans="1:1">
      <c r="A13" s="380" t="s">
        <v>2356</v>
      </c>
    </row>
    <row r="14" spans="1:1" s="381" customFormat="1">
      <c r="A14" s="381" t="s">
        <v>2357</v>
      </c>
    </row>
    <row r="15" spans="1:1" s="381" customFormat="1">
      <c r="A15" s="381" t="s">
        <v>2358</v>
      </c>
    </row>
    <row r="16" spans="1:1" s="381" customFormat="1">
      <c r="A16" s="381" t="s">
        <v>676</v>
      </c>
    </row>
    <row r="17" spans="1:2" s="381" customFormat="1">
      <c r="A17" s="381" t="s">
        <v>2359</v>
      </c>
    </row>
    <row r="18" spans="1:2" s="381" customFormat="1">
      <c r="A18" s="381"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2360</v>
      </c>
    </row>
    <row r="36" spans="1:2">
      <c r="A36" s="380" t="s">
        <v>2361</v>
      </c>
    </row>
  </sheetData>
  <phoneticPr fontId="3"/>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2"/>
  <dimension ref="A1:B36"/>
  <sheetViews>
    <sheetView workbookViewId="0">
      <selection activeCell="A14" sqref="A14:IV18"/>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2361</v>
      </c>
    </row>
    <row r="9" spans="1:1">
      <c r="A9" s="380" t="s">
        <v>2362</v>
      </c>
    </row>
    <row r="10" spans="1:1">
      <c r="A10" s="380" t="s">
        <v>2363</v>
      </c>
    </row>
    <row r="11" spans="1:1">
      <c r="A11" s="380" t="s">
        <v>2364</v>
      </c>
    </row>
    <row r="12" spans="1:1">
      <c r="A12" s="380" t="s">
        <v>2365</v>
      </c>
    </row>
    <row r="13" spans="1:1">
      <c r="A13" s="380" t="s">
        <v>2366</v>
      </c>
    </row>
    <row r="14" spans="1:1" s="381" customFormat="1">
      <c r="A14" s="381" t="s">
        <v>2367</v>
      </c>
    </row>
    <row r="15" spans="1:1" s="381" customFormat="1">
      <c r="A15" s="381" t="s">
        <v>2368</v>
      </c>
    </row>
    <row r="16" spans="1:1" s="381" customFormat="1">
      <c r="A16" s="381" t="s">
        <v>676</v>
      </c>
    </row>
    <row r="17" spans="1:2" s="381" customFormat="1">
      <c r="A17" s="381" t="s">
        <v>723</v>
      </c>
    </row>
    <row r="18" spans="1:2" s="381" customFormat="1">
      <c r="A18" s="381" t="s">
        <v>724</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2369</v>
      </c>
    </row>
    <row r="36" spans="1:2">
      <c r="A36" s="380" t="s">
        <v>2370</v>
      </c>
    </row>
  </sheetData>
  <phoneticPr fontId="3"/>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3"/>
  <dimension ref="A1:A158"/>
  <sheetViews>
    <sheetView topLeftCell="A151" workbookViewId="0">
      <selection activeCell="A158" sqref="A158:IV158"/>
    </sheetView>
  </sheetViews>
  <sheetFormatPr defaultColWidth="9" defaultRowHeight="12.75"/>
  <cols>
    <col min="1" max="16384" width="9" style="380"/>
  </cols>
  <sheetData>
    <row r="1" spans="1:1">
      <c r="A1" s="380" t="s">
        <v>674</v>
      </c>
    </row>
    <row r="3" spans="1:1">
      <c r="A3" s="380" t="s">
        <v>673</v>
      </c>
    </row>
    <row r="4" spans="1:1">
      <c r="A4" s="380" t="s">
        <v>2371</v>
      </c>
    </row>
    <row r="6" spans="1:1">
      <c r="A6" s="380" t="s">
        <v>675</v>
      </c>
    </row>
    <row r="8" spans="1:1">
      <c r="A8" s="380" t="s">
        <v>2370</v>
      </c>
    </row>
    <row r="9" spans="1:1">
      <c r="A9" s="380" t="s">
        <v>2372</v>
      </c>
    </row>
    <row r="10" spans="1:1">
      <c r="A10" s="380" t="s">
        <v>2373</v>
      </c>
    </row>
    <row r="11" spans="1:1">
      <c r="A11" s="380" t="s">
        <v>2374</v>
      </c>
    </row>
    <row r="12" spans="1:1">
      <c r="A12" s="380" t="s">
        <v>2375</v>
      </c>
    </row>
    <row r="13" spans="1:1">
      <c r="A13" s="380" t="s">
        <v>2376</v>
      </c>
    </row>
    <row r="14" spans="1:1">
      <c r="A14" s="380" t="s">
        <v>2377</v>
      </c>
    </row>
    <row r="15" spans="1:1">
      <c r="A15" s="380" t="s">
        <v>2378</v>
      </c>
    </row>
    <row r="16" spans="1:1">
      <c r="A16" s="380" t="s">
        <v>2379</v>
      </c>
    </row>
    <row r="17" spans="1:1">
      <c r="A17" s="380" t="s">
        <v>2380</v>
      </c>
    </row>
    <row r="18" spans="1:1">
      <c r="A18" s="380" t="s">
        <v>2381</v>
      </c>
    </row>
    <row r="19" spans="1:1">
      <c r="A19" s="380" t="s">
        <v>2382</v>
      </c>
    </row>
    <row r="20" spans="1:1">
      <c r="A20" s="380" t="s">
        <v>2383</v>
      </c>
    </row>
    <row r="21" spans="1:1">
      <c r="A21" s="380" t="s">
        <v>2384</v>
      </c>
    </row>
    <row r="22" spans="1:1">
      <c r="A22" s="380" t="s">
        <v>2385</v>
      </c>
    </row>
    <row r="23" spans="1:1">
      <c r="A23" s="380" t="s">
        <v>2386</v>
      </c>
    </row>
    <row r="24" spans="1:1">
      <c r="A24" s="380" t="s">
        <v>2387</v>
      </c>
    </row>
    <row r="25" spans="1:1">
      <c r="A25" s="380" t="s">
        <v>2388</v>
      </c>
    </row>
    <row r="26" spans="1:1">
      <c r="A26" s="380" t="s">
        <v>2389</v>
      </c>
    </row>
    <row r="27" spans="1:1">
      <c r="A27" s="380" t="s">
        <v>2390</v>
      </c>
    </row>
    <row r="28" spans="1:1">
      <c r="A28" s="380" t="s">
        <v>2391</v>
      </c>
    </row>
    <row r="29" spans="1:1">
      <c r="A29" s="380" t="s">
        <v>2392</v>
      </c>
    </row>
    <row r="30" spans="1:1">
      <c r="A30" s="380" t="s">
        <v>2393</v>
      </c>
    </row>
    <row r="31" spans="1:1">
      <c r="A31" s="380" t="s">
        <v>2394</v>
      </c>
    </row>
    <row r="32" spans="1:1">
      <c r="A32" s="380" t="s">
        <v>2395</v>
      </c>
    </row>
    <row r="33" spans="1:1">
      <c r="A33" s="380" t="s">
        <v>2396</v>
      </c>
    </row>
    <row r="34" spans="1:1">
      <c r="A34" s="380" t="s">
        <v>2397</v>
      </c>
    </row>
    <row r="35" spans="1:1">
      <c r="A35" s="380" t="s">
        <v>2398</v>
      </c>
    </row>
    <row r="36" spans="1:1">
      <c r="A36" s="380" t="s">
        <v>2399</v>
      </c>
    </row>
    <row r="37" spans="1:1">
      <c r="A37" s="380" t="s">
        <v>2400</v>
      </c>
    </row>
    <row r="38" spans="1:1">
      <c r="A38" s="380" t="s">
        <v>2401</v>
      </c>
    </row>
    <row r="39" spans="1:1">
      <c r="A39" s="380" t="s">
        <v>2402</v>
      </c>
    </row>
    <row r="40" spans="1:1">
      <c r="A40" s="380" t="s">
        <v>2403</v>
      </c>
    </row>
    <row r="41" spans="1:1">
      <c r="A41" s="380" t="s">
        <v>2404</v>
      </c>
    </row>
    <row r="42" spans="1:1">
      <c r="A42" s="380" t="s">
        <v>2405</v>
      </c>
    </row>
    <row r="43" spans="1:1">
      <c r="A43" s="380" t="s">
        <v>2406</v>
      </c>
    </row>
    <row r="44" spans="1:1">
      <c r="A44" s="380" t="s">
        <v>2407</v>
      </c>
    </row>
    <row r="45" spans="1:1">
      <c r="A45" s="380" t="s">
        <v>2408</v>
      </c>
    </row>
    <row r="46" spans="1:1">
      <c r="A46" s="380" t="s">
        <v>2409</v>
      </c>
    </row>
    <row r="47" spans="1:1">
      <c r="A47" s="380" t="s">
        <v>2410</v>
      </c>
    </row>
    <row r="48" spans="1:1">
      <c r="A48" s="380" t="s">
        <v>2411</v>
      </c>
    </row>
    <row r="49" spans="1:1">
      <c r="A49" s="380" t="s">
        <v>2412</v>
      </c>
    </row>
    <row r="50" spans="1:1">
      <c r="A50" s="380" t="s">
        <v>2413</v>
      </c>
    </row>
    <row r="51" spans="1:1">
      <c r="A51" s="380" t="s">
        <v>2414</v>
      </c>
    </row>
    <row r="52" spans="1:1">
      <c r="A52" s="380" t="s">
        <v>2415</v>
      </c>
    </row>
    <row r="53" spans="1:1">
      <c r="A53" s="380" t="s">
        <v>2416</v>
      </c>
    </row>
    <row r="54" spans="1:1">
      <c r="A54" s="380" t="s">
        <v>2417</v>
      </c>
    </row>
    <row r="55" spans="1:1">
      <c r="A55" s="380" t="s">
        <v>2418</v>
      </c>
    </row>
    <row r="56" spans="1:1">
      <c r="A56" s="380" t="s">
        <v>2419</v>
      </c>
    </row>
    <row r="57" spans="1:1">
      <c r="A57" s="380" t="s">
        <v>2420</v>
      </c>
    </row>
    <row r="58" spans="1:1">
      <c r="A58" s="380" t="s">
        <v>2421</v>
      </c>
    </row>
    <row r="59" spans="1:1">
      <c r="A59" s="380" t="s">
        <v>2422</v>
      </c>
    </row>
    <row r="60" spans="1:1">
      <c r="A60" s="380" t="s">
        <v>2423</v>
      </c>
    </row>
    <row r="61" spans="1:1">
      <c r="A61" s="380" t="s">
        <v>2424</v>
      </c>
    </row>
    <row r="62" spans="1:1">
      <c r="A62" s="380" t="s">
        <v>2425</v>
      </c>
    </row>
    <row r="63" spans="1:1">
      <c r="A63" s="380" t="s">
        <v>2426</v>
      </c>
    </row>
    <row r="64" spans="1:1" s="381" customFormat="1">
      <c r="A64" s="381" t="s">
        <v>2427</v>
      </c>
    </row>
    <row r="65" spans="1:1">
      <c r="A65" s="380" t="s">
        <v>2428</v>
      </c>
    </row>
    <row r="66" spans="1:1">
      <c r="A66" s="380" t="s">
        <v>2429</v>
      </c>
    </row>
    <row r="67" spans="1:1">
      <c r="A67" s="380" t="s">
        <v>2430</v>
      </c>
    </row>
    <row r="68" spans="1:1">
      <c r="A68" s="380" t="s">
        <v>2431</v>
      </c>
    </row>
    <row r="69" spans="1:1">
      <c r="A69" s="380" t="s">
        <v>2432</v>
      </c>
    </row>
    <row r="70" spans="1:1">
      <c r="A70" s="380" t="s">
        <v>2433</v>
      </c>
    </row>
    <row r="71" spans="1:1">
      <c r="A71" s="380" t="s">
        <v>2434</v>
      </c>
    </row>
    <row r="72" spans="1:1">
      <c r="A72" s="380" t="s">
        <v>2435</v>
      </c>
    </row>
    <row r="73" spans="1:1">
      <c r="A73" s="380" t="s">
        <v>2436</v>
      </c>
    </row>
    <row r="74" spans="1:1">
      <c r="A74" s="380" t="s">
        <v>2437</v>
      </c>
    </row>
    <row r="75" spans="1:1">
      <c r="A75" s="380" t="s">
        <v>2438</v>
      </c>
    </row>
    <row r="76" spans="1:1">
      <c r="A76" s="380" t="s">
        <v>2439</v>
      </c>
    </row>
    <row r="77" spans="1:1">
      <c r="A77" s="380" t="s">
        <v>2440</v>
      </c>
    </row>
    <row r="78" spans="1:1">
      <c r="A78" s="380" t="s">
        <v>2441</v>
      </c>
    </row>
    <row r="79" spans="1:1">
      <c r="A79" s="380" t="s">
        <v>2442</v>
      </c>
    </row>
    <row r="80" spans="1:1">
      <c r="A80" s="380" t="s">
        <v>2443</v>
      </c>
    </row>
    <row r="81" spans="1:1">
      <c r="A81" s="380" t="s">
        <v>2444</v>
      </c>
    </row>
    <row r="82" spans="1:1">
      <c r="A82" s="380" t="s">
        <v>2445</v>
      </c>
    </row>
    <row r="83" spans="1:1">
      <c r="A83" s="380" t="s">
        <v>2446</v>
      </c>
    </row>
    <row r="84" spans="1:1">
      <c r="A84" s="380" t="s">
        <v>2447</v>
      </c>
    </row>
    <row r="85" spans="1:1">
      <c r="A85" s="380" t="s">
        <v>2448</v>
      </c>
    </row>
    <row r="86" spans="1:1">
      <c r="A86" s="380" t="s">
        <v>2449</v>
      </c>
    </row>
    <row r="87" spans="1:1">
      <c r="A87" s="380" t="s">
        <v>2450</v>
      </c>
    </row>
    <row r="88" spans="1:1">
      <c r="A88" s="380" t="s">
        <v>2451</v>
      </c>
    </row>
    <row r="89" spans="1:1">
      <c r="A89" s="380" t="s">
        <v>2452</v>
      </c>
    </row>
    <row r="90" spans="1:1">
      <c r="A90" s="380" t="s">
        <v>2453</v>
      </c>
    </row>
    <row r="91" spans="1:1">
      <c r="A91" s="380" t="s">
        <v>2454</v>
      </c>
    </row>
    <row r="92" spans="1:1">
      <c r="A92" s="380" t="s">
        <v>2455</v>
      </c>
    </row>
    <row r="93" spans="1:1">
      <c r="A93" s="380" t="s">
        <v>2456</v>
      </c>
    </row>
    <row r="94" spans="1:1">
      <c r="A94" s="380" t="s">
        <v>2457</v>
      </c>
    </row>
    <row r="95" spans="1:1">
      <c r="A95" s="380" t="s">
        <v>2458</v>
      </c>
    </row>
    <row r="96" spans="1:1">
      <c r="A96" s="380" t="s">
        <v>2459</v>
      </c>
    </row>
    <row r="97" spans="1:1">
      <c r="A97" s="380" t="s">
        <v>2460</v>
      </c>
    </row>
    <row r="98" spans="1:1">
      <c r="A98" s="380" t="s">
        <v>2461</v>
      </c>
    </row>
    <row r="99" spans="1:1">
      <c r="A99" s="380" t="s">
        <v>2462</v>
      </c>
    </row>
    <row r="100" spans="1:1">
      <c r="A100" s="380" t="s">
        <v>2463</v>
      </c>
    </row>
    <row r="101" spans="1:1">
      <c r="A101" s="380" t="s">
        <v>2464</v>
      </c>
    </row>
    <row r="103" spans="1:1">
      <c r="A103" s="380" t="s">
        <v>2465</v>
      </c>
    </row>
    <row r="104" spans="1:1">
      <c r="A104" s="380" t="s">
        <v>1032</v>
      </c>
    </row>
    <row r="105" spans="1:1">
      <c r="A105" s="380" t="s">
        <v>2466</v>
      </c>
    </row>
    <row r="106" spans="1:1">
      <c r="A106" s="380" t="s">
        <v>865</v>
      </c>
    </row>
    <row r="107" spans="1:1">
      <c r="A107" s="380" t="s">
        <v>2467</v>
      </c>
    </row>
    <row r="108" spans="1:1">
      <c r="A108" s="380" t="s">
        <v>867</v>
      </c>
    </row>
    <row r="109" spans="1:1">
      <c r="A109" s="380" t="s">
        <v>2468</v>
      </c>
    </row>
    <row r="110" spans="1:1">
      <c r="A110" s="380" t="s">
        <v>869</v>
      </c>
    </row>
    <row r="111" spans="1:1">
      <c r="A111" s="380" t="s">
        <v>870</v>
      </c>
    </row>
    <row r="112" spans="1:1">
      <c r="A112" s="380" t="s">
        <v>871</v>
      </c>
    </row>
    <row r="113" spans="1:1">
      <c r="A113" s="380" t="s">
        <v>872</v>
      </c>
    </row>
    <row r="114" spans="1:1">
      <c r="A114" s="380" t="s">
        <v>873</v>
      </c>
    </row>
    <row r="115" spans="1:1">
      <c r="A115" s="380" t="s">
        <v>874</v>
      </c>
    </row>
    <row r="116" spans="1:1">
      <c r="A116" s="380" t="s">
        <v>875</v>
      </c>
    </row>
    <row r="117" spans="1:1">
      <c r="A117" s="380" t="s">
        <v>876</v>
      </c>
    </row>
    <row r="118" spans="1:1">
      <c r="A118" s="380" t="s">
        <v>877</v>
      </c>
    </row>
    <row r="119" spans="1:1">
      <c r="A119" s="380" t="s">
        <v>878</v>
      </c>
    </row>
    <row r="120" spans="1:1">
      <c r="A120" s="380" t="s">
        <v>879</v>
      </c>
    </row>
    <row r="121" spans="1:1">
      <c r="A121" s="380" t="s">
        <v>880</v>
      </c>
    </row>
    <row r="122" spans="1:1">
      <c r="A122" s="380" t="s">
        <v>881</v>
      </c>
    </row>
    <row r="123" spans="1:1">
      <c r="A123" s="380" t="s">
        <v>882</v>
      </c>
    </row>
    <row r="124" spans="1:1">
      <c r="A124" s="380" t="s">
        <v>883</v>
      </c>
    </row>
    <row r="125" spans="1:1">
      <c r="A125" s="380" t="s">
        <v>884</v>
      </c>
    </row>
    <row r="126" spans="1:1">
      <c r="A126" s="380" t="s">
        <v>885</v>
      </c>
    </row>
    <row r="127" spans="1:1">
      <c r="A127" s="380" t="s">
        <v>886</v>
      </c>
    </row>
    <row r="128" spans="1:1">
      <c r="A128" s="380" t="s">
        <v>887</v>
      </c>
    </row>
    <row r="129" spans="1:1">
      <c r="A129" s="380" t="s">
        <v>888</v>
      </c>
    </row>
    <row r="130" spans="1:1">
      <c r="A130" s="380" t="s">
        <v>889</v>
      </c>
    </row>
    <row r="131" spans="1:1">
      <c r="A131" s="380" t="s">
        <v>890</v>
      </c>
    </row>
    <row r="132" spans="1:1">
      <c r="A132" s="380" t="s">
        <v>891</v>
      </c>
    </row>
    <row r="133" spans="1:1">
      <c r="A133" s="380" t="s">
        <v>892</v>
      </c>
    </row>
    <row r="134" spans="1:1">
      <c r="A134" s="380" t="s">
        <v>893</v>
      </c>
    </row>
    <row r="135" spans="1:1">
      <c r="A135" s="380" t="s">
        <v>894</v>
      </c>
    </row>
    <row r="136" spans="1:1">
      <c r="A136" s="380" t="s">
        <v>895</v>
      </c>
    </row>
    <row r="137" spans="1:1">
      <c r="A137" s="380" t="s">
        <v>896</v>
      </c>
    </row>
    <row r="138" spans="1:1">
      <c r="A138" s="380" t="s">
        <v>897</v>
      </c>
    </row>
    <row r="139" spans="1:1">
      <c r="A139" s="380" t="s">
        <v>898</v>
      </c>
    </row>
    <row r="140" spans="1:1">
      <c r="A140" s="380" t="s">
        <v>899</v>
      </c>
    </row>
    <row r="141" spans="1:1">
      <c r="A141" s="380" t="s">
        <v>2469</v>
      </c>
    </row>
    <row r="142" spans="1:1">
      <c r="A142" s="380" t="s">
        <v>901</v>
      </c>
    </row>
    <row r="143" spans="1:1">
      <c r="A143" s="380" t="s">
        <v>2470</v>
      </c>
    </row>
    <row r="144" spans="1:1">
      <c r="A144" s="380" t="s">
        <v>903</v>
      </c>
    </row>
    <row r="145" spans="1:1">
      <c r="A145" s="380" t="s">
        <v>1038</v>
      </c>
    </row>
    <row r="146" spans="1:1">
      <c r="A146" s="380" t="s">
        <v>905</v>
      </c>
    </row>
    <row r="147" spans="1:1">
      <c r="A147" s="380" t="s">
        <v>906</v>
      </c>
    </row>
    <row r="148" spans="1:1">
      <c r="A148" s="380" t="s">
        <v>907</v>
      </c>
    </row>
    <row r="149" spans="1:1">
      <c r="A149" s="380" t="s">
        <v>908</v>
      </c>
    </row>
    <row r="150" spans="1:1">
      <c r="A150" s="380" t="s">
        <v>909</v>
      </c>
    </row>
    <row r="151" spans="1:1">
      <c r="A151" s="380" t="s">
        <v>910</v>
      </c>
    </row>
    <row r="152" spans="1:1">
      <c r="A152" s="380" t="s">
        <v>911</v>
      </c>
    </row>
    <row r="153" spans="1:1">
      <c r="A153" s="380" t="s">
        <v>912</v>
      </c>
    </row>
    <row r="154" spans="1:1">
      <c r="A154" s="380" t="s">
        <v>913</v>
      </c>
    </row>
    <row r="155" spans="1:1">
      <c r="A155" s="380" t="s">
        <v>914</v>
      </c>
    </row>
    <row r="156" spans="1:1">
      <c r="A156" s="380" t="s">
        <v>915</v>
      </c>
    </row>
    <row r="157" spans="1:1">
      <c r="A157" s="380" t="s">
        <v>916</v>
      </c>
    </row>
    <row r="158" spans="1:1" s="381" customFormat="1">
      <c r="A158" s="381" t="s">
        <v>2471</v>
      </c>
    </row>
  </sheetData>
  <phoneticPr fontId="3"/>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4"/>
  <dimension ref="A1:B36"/>
  <sheetViews>
    <sheetView workbookViewId="0">
      <selection activeCell="H14" sqref="H14"/>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2464</v>
      </c>
    </row>
    <row r="9" spans="1:1">
      <c r="A9" s="380" t="s">
        <v>2472</v>
      </c>
    </row>
    <row r="10" spans="1:1">
      <c r="A10" s="380" t="s">
        <v>2473</v>
      </c>
    </row>
    <row r="11" spans="1:1">
      <c r="A11" s="380" t="s">
        <v>2474</v>
      </c>
    </row>
    <row r="12" spans="1:1">
      <c r="A12" s="380" t="s">
        <v>2475</v>
      </c>
    </row>
    <row r="13" spans="1:1">
      <c r="A13" s="380" t="s">
        <v>2476</v>
      </c>
    </row>
    <row r="14" spans="1:1" s="381" customFormat="1">
      <c r="A14" s="381" t="s">
        <v>2477</v>
      </c>
    </row>
    <row r="15" spans="1:1" s="381" customFormat="1">
      <c r="A15" s="381" t="s">
        <v>2478</v>
      </c>
    </row>
    <row r="16" spans="1:1" s="381" customFormat="1">
      <c r="A16" s="381" t="s">
        <v>676</v>
      </c>
    </row>
    <row r="17" spans="1:2" s="381" customFormat="1">
      <c r="A17" s="381" t="s">
        <v>725</v>
      </c>
    </row>
    <row r="18" spans="1:2" s="381" customFormat="1">
      <c r="A18" s="381" t="s">
        <v>698</v>
      </c>
    </row>
    <row r="19" spans="1:2">
      <c r="B19" s="380" t="s">
        <v>677</v>
      </c>
    </row>
    <row r="20" spans="1:2">
      <c r="B20" s="380" t="s">
        <v>678</v>
      </c>
    </row>
    <row r="21" spans="1:2">
      <c r="B21" s="380" t="s">
        <v>679</v>
      </c>
    </row>
    <row r="22" spans="1:2">
      <c r="B22" s="380" t="s">
        <v>680</v>
      </c>
    </row>
    <row r="23" spans="1:2">
      <c r="B23" s="380" t="s">
        <v>681</v>
      </c>
    </row>
    <row r="24" spans="1:2">
      <c r="B24" s="380" t="s">
        <v>682</v>
      </c>
    </row>
    <row r="25" spans="1:2">
      <c r="B25" s="380" t="s">
        <v>683</v>
      </c>
    </row>
    <row r="26" spans="1:2">
      <c r="B26" s="380" t="s">
        <v>684</v>
      </c>
    </row>
    <row r="27" spans="1:2">
      <c r="B27" s="380" t="s">
        <v>685</v>
      </c>
    </row>
    <row r="28" spans="1:2">
      <c r="B28" s="380" t="s">
        <v>686</v>
      </c>
    </row>
    <row r="29" spans="1:2">
      <c r="B29" s="380" t="s">
        <v>687</v>
      </c>
    </row>
    <row r="30" spans="1:2">
      <c r="B30" s="380" t="s">
        <v>688</v>
      </c>
    </row>
    <row r="31" spans="1:2">
      <c r="B31" s="380" t="s">
        <v>689</v>
      </c>
    </row>
    <row r="32" spans="1:2">
      <c r="B32" s="380" t="s">
        <v>690</v>
      </c>
    </row>
    <row r="33" spans="1:2">
      <c r="B33" s="380" t="s">
        <v>691</v>
      </c>
    </row>
    <row r="34" spans="1:2">
      <c r="B34" s="380" t="s">
        <v>692</v>
      </c>
    </row>
    <row r="35" spans="1:2">
      <c r="A35" s="380" t="s">
        <v>2479</v>
      </c>
    </row>
    <row r="36" spans="1:2">
      <c r="A36" s="380" t="s">
        <v>2480</v>
      </c>
    </row>
  </sheetData>
  <phoneticPr fontId="3"/>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5"/>
  <dimension ref="A1:B112"/>
  <sheetViews>
    <sheetView topLeftCell="A61" workbookViewId="0">
      <selection activeCell="A71" sqref="A71:IV75"/>
    </sheetView>
  </sheetViews>
  <sheetFormatPr defaultColWidth="9" defaultRowHeight="12.75"/>
  <cols>
    <col min="1" max="16384" width="9" style="380"/>
  </cols>
  <sheetData>
    <row r="1" spans="1:1">
      <c r="A1" s="380" t="s">
        <v>674</v>
      </c>
    </row>
    <row r="3" spans="1:1">
      <c r="A3" s="380" t="s">
        <v>673</v>
      </c>
    </row>
    <row r="4" spans="1:1">
      <c r="A4" s="380" t="s">
        <v>918</v>
      </c>
    </row>
    <row r="6" spans="1:1">
      <c r="A6" s="380" t="s">
        <v>675</v>
      </c>
    </row>
    <row r="8" spans="1:1">
      <c r="A8" s="380" t="s">
        <v>2480</v>
      </c>
    </row>
    <row r="9" spans="1:1">
      <c r="A9" s="380" t="s">
        <v>2481</v>
      </c>
    </row>
    <row r="10" spans="1:1">
      <c r="A10" s="380" t="s">
        <v>2482</v>
      </c>
    </row>
    <row r="11" spans="1:1">
      <c r="A11" s="380" t="s">
        <v>2483</v>
      </c>
    </row>
    <row r="12" spans="1:1">
      <c r="A12" s="380" t="s">
        <v>2484</v>
      </c>
    </row>
    <row r="13" spans="1:1">
      <c r="A13" s="380" t="s">
        <v>2485</v>
      </c>
    </row>
    <row r="14" spans="1:1">
      <c r="A14" s="380" t="s">
        <v>2486</v>
      </c>
    </row>
    <row r="15" spans="1:1">
      <c r="A15" s="380" t="s">
        <v>2487</v>
      </c>
    </row>
    <row r="16" spans="1:1">
      <c r="A16" s="380" t="s">
        <v>2488</v>
      </c>
    </row>
    <row r="17" spans="1:1">
      <c r="A17" s="380" t="s">
        <v>2489</v>
      </c>
    </row>
    <row r="18" spans="1:1">
      <c r="A18" s="380" t="s">
        <v>2490</v>
      </c>
    </row>
    <row r="19" spans="1:1">
      <c r="A19" s="380" t="s">
        <v>2491</v>
      </c>
    </row>
    <row r="20" spans="1:1">
      <c r="A20" s="380" t="s">
        <v>2492</v>
      </c>
    </row>
    <row r="21" spans="1:1">
      <c r="A21" s="380" t="s">
        <v>2493</v>
      </c>
    </row>
    <row r="22" spans="1:1">
      <c r="A22" s="380" t="s">
        <v>2494</v>
      </c>
    </row>
    <row r="23" spans="1:1">
      <c r="A23" s="380" t="s">
        <v>2495</v>
      </c>
    </row>
    <row r="24" spans="1:1">
      <c r="A24" s="380" t="s">
        <v>2496</v>
      </c>
    </row>
    <row r="25" spans="1:1">
      <c r="A25" s="380" t="s">
        <v>2497</v>
      </c>
    </row>
    <row r="26" spans="1:1">
      <c r="A26" s="380" t="s">
        <v>2498</v>
      </c>
    </row>
    <row r="27" spans="1:1">
      <c r="A27" s="380" t="s">
        <v>2499</v>
      </c>
    </row>
    <row r="28" spans="1:1">
      <c r="A28" s="380" t="s">
        <v>2500</v>
      </c>
    </row>
    <row r="29" spans="1:1">
      <c r="A29" s="380" t="s">
        <v>2501</v>
      </c>
    </row>
    <row r="30" spans="1:1">
      <c r="A30" s="380" t="s">
        <v>2502</v>
      </c>
    </row>
    <row r="31" spans="1:1">
      <c r="A31" s="380" t="s">
        <v>2503</v>
      </c>
    </row>
    <row r="32" spans="1:1">
      <c r="A32" s="380" t="s">
        <v>2504</v>
      </c>
    </row>
    <row r="33" spans="1:1">
      <c r="A33" s="380" t="s">
        <v>2505</v>
      </c>
    </row>
    <row r="34" spans="1:1">
      <c r="A34" s="380" t="s">
        <v>2506</v>
      </c>
    </row>
    <row r="35" spans="1:1">
      <c r="A35" s="380" t="s">
        <v>2507</v>
      </c>
    </row>
    <row r="36" spans="1:1">
      <c r="A36" s="380" t="s">
        <v>2508</v>
      </c>
    </row>
    <row r="37" spans="1:1">
      <c r="A37" s="380" t="s">
        <v>2509</v>
      </c>
    </row>
    <row r="38" spans="1:1">
      <c r="A38" s="380" t="s">
        <v>2510</v>
      </c>
    </row>
    <row r="39" spans="1:1">
      <c r="A39" s="380" t="s">
        <v>2511</v>
      </c>
    </row>
    <row r="40" spans="1:1">
      <c r="A40" s="380" t="s">
        <v>2512</v>
      </c>
    </row>
    <row r="41" spans="1:1">
      <c r="A41" s="380" t="s">
        <v>2513</v>
      </c>
    </row>
    <row r="42" spans="1:1">
      <c r="A42" s="380" t="s">
        <v>2514</v>
      </c>
    </row>
    <row r="43" spans="1:1">
      <c r="A43" s="380" t="s">
        <v>2515</v>
      </c>
    </row>
    <row r="44" spans="1:1">
      <c r="A44" s="380" t="s">
        <v>2516</v>
      </c>
    </row>
    <row r="45" spans="1:1">
      <c r="A45" s="380" t="s">
        <v>2517</v>
      </c>
    </row>
    <row r="46" spans="1:1">
      <c r="A46" s="380" t="s">
        <v>2518</v>
      </c>
    </row>
    <row r="47" spans="1:1">
      <c r="A47" s="380" t="s">
        <v>2519</v>
      </c>
    </row>
    <row r="48" spans="1:1">
      <c r="A48" s="380" t="s">
        <v>2520</v>
      </c>
    </row>
    <row r="49" spans="1:1">
      <c r="A49" s="380" t="s">
        <v>2521</v>
      </c>
    </row>
    <row r="50" spans="1:1">
      <c r="A50" s="380" t="s">
        <v>2522</v>
      </c>
    </row>
    <row r="51" spans="1:1">
      <c r="A51" s="380" t="s">
        <v>2523</v>
      </c>
    </row>
    <row r="52" spans="1:1">
      <c r="A52" s="380" t="s">
        <v>2524</v>
      </c>
    </row>
    <row r="53" spans="1:1">
      <c r="A53" s="380" t="s">
        <v>2525</v>
      </c>
    </row>
    <row r="54" spans="1:1">
      <c r="A54" s="380" t="s">
        <v>2526</v>
      </c>
    </row>
    <row r="55" spans="1:1">
      <c r="A55" s="380" t="s">
        <v>2527</v>
      </c>
    </row>
    <row r="56" spans="1:1">
      <c r="A56" s="380" t="s">
        <v>2528</v>
      </c>
    </row>
    <row r="57" spans="1:1">
      <c r="A57" s="380" t="s">
        <v>2529</v>
      </c>
    </row>
    <row r="58" spans="1:1">
      <c r="A58" s="380" t="s">
        <v>2530</v>
      </c>
    </row>
    <row r="59" spans="1:1">
      <c r="A59" s="380" t="s">
        <v>2531</v>
      </c>
    </row>
    <row r="60" spans="1:1">
      <c r="A60" s="380" t="s">
        <v>2532</v>
      </c>
    </row>
    <row r="61" spans="1:1">
      <c r="A61" s="380" t="s">
        <v>2533</v>
      </c>
    </row>
    <row r="62" spans="1:1">
      <c r="A62" s="380" t="s">
        <v>2534</v>
      </c>
    </row>
    <row r="63" spans="1:1">
      <c r="A63" s="380" t="s">
        <v>2535</v>
      </c>
    </row>
    <row r="64" spans="1:1">
      <c r="A64" s="380" t="s">
        <v>2536</v>
      </c>
    </row>
    <row r="65" spans="1:2">
      <c r="A65" s="380" t="s">
        <v>2537</v>
      </c>
    </row>
    <row r="66" spans="1:2">
      <c r="A66" s="380" t="s">
        <v>2538</v>
      </c>
    </row>
    <row r="67" spans="1:2">
      <c r="A67" s="380" t="s">
        <v>2539</v>
      </c>
    </row>
    <row r="68" spans="1:2">
      <c r="A68" s="380" t="s">
        <v>2540</v>
      </c>
    </row>
    <row r="69" spans="1:2">
      <c r="A69" s="380" t="s">
        <v>2541</v>
      </c>
    </row>
    <row r="70" spans="1:2">
      <c r="A70" s="380" t="s">
        <v>2542</v>
      </c>
    </row>
    <row r="71" spans="1:2" s="381" customFormat="1">
      <c r="A71" s="381" t="s">
        <v>2543</v>
      </c>
    </row>
    <row r="72" spans="1:2" s="381" customFormat="1">
      <c r="A72" s="381" t="s">
        <v>2544</v>
      </c>
    </row>
    <row r="73" spans="1:2" s="381" customFormat="1">
      <c r="A73" s="381" t="s">
        <v>2545</v>
      </c>
    </row>
    <row r="74" spans="1:2" s="381" customFormat="1">
      <c r="A74" s="381" t="s">
        <v>2546</v>
      </c>
    </row>
    <row r="75" spans="1:2" s="381" customFormat="1">
      <c r="A75" s="381" t="s">
        <v>2547</v>
      </c>
    </row>
    <row r="76" spans="1:2">
      <c r="A76" s="380" t="s">
        <v>729</v>
      </c>
    </row>
    <row r="77" spans="1:2">
      <c r="B77" s="380" t="s">
        <v>730</v>
      </c>
    </row>
    <row r="78" spans="1:2">
      <c r="B78" s="380" t="s">
        <v>731</v>
      </c>
    </row>
    <row r="79" spans="1:2">
      <c r="B79" s="380" t="s">
        <v>732</v>
      </c>
    </row>
    <row r="80" spans="1:2">
      <c r="B80" s="380" t="s">
        <v>733</v>
      </c>
    </row>
    <row r="81" spans="2:2">
      <c r="B81" s="380" t="s">
        <v>734</v>
      </c>
    </row>
    <row r="82" spans="2:2">
      <c r="B82" s="380" t="s">
        <v>735</v>
      </c>
    </row>
    <row r="83" spans="2:2">
      <c r="B83" s="380" t="s">
        <v>736</v>
      </c>
    </row>
    <row r="84" spans="2:2">
      <c r="B84" s="380" t="s">
        <v>732</v>
      </c>
    </row>
    <row r="85" spans="2:2">
      <c r="B85" s="380" t="s">
        <v>733</v>
      </c>
    </row>
    <row r="86" spans="2:2">
      <c r="B86" s="380" t="s">
        <v>737</v>
      </c>
    </row>
    <row r="87" spans="2:2">
      <c r="B87" s="380" t="s">
        <v>738</v>
      </c>
    </row>
    <row r="88" spans="2:2">
      <c r="B88" s="380" t="s">
        <v>739</v>
      </c>
    </row>
    <row r="89" spans="2:2">
      <c r="B89" s="380" t="s">
        <v>740</v>
      </c>
    </row>
    <row r="90" spans="2:2">
      <c r="B90" s="380" t="s">
        <v>739</v>
      </c>
    </row>
    <row r="91" spans="2:2">
      <c r="B91" s="380" t="s">
        <v>741</v>
      </c>
    </row>
    <row r="92" spans="2:2">
      <c r="B92" s="380" t="s">
        <v>742</v>
      </c>
    </row>
    <row r="93" spans="2:2">
      <c r="B93" s="380" t="s">
        <v>743</v>
      </c>
    </row>
    <row r="94" spans="2:2">
      <c r="B94" s="380" t="s">
        <v>744</v>
      </c>
    </row>
    <row r="95" spans="2:2">
      <c r="B95" s="380" t="s">
        <v>745</v>
      </c>
    </row>
    <row r="96" spans="2:2">
      <c r="B96" s="380" t="s">
        <v>746</v>
      </c>
    </row>
    <row r="97" spans="1:2">
      <c r="B97" s="380" t="s">
        <v>679</v>
      </c>
    </row>
    <row r="98" spans="1:2">
      <c r="B98" s="380" t="s">
        <v>680</v>
      </c>
    </row>
    <row r="99" spans="1:2">
      <c r="B99" s="380" t="s">
        <v>681</v>
      </c>
    </row>
    <row r="100" spans="1:2">
      <c r="B100" s="380" t="s">
        <v>682</v>
      </c>
    </row>
    <row r="101" spans="1:2">
      <c r="B101" s="380" t="s">
        <v>683</v>
      </c>
    </row>
    <row r="102" spans="1:2">
      <c r="B102" s="380" t="s">
        <v>684</v>
      </c>
    </row>
    <row r="103" spans="1:2">
      <c r="B103" s="380" t="s">
        <v>685</v>
      </c>
    </row>
    <row r="104" spans="1:2">
      <c r="B104" s="380" t="s">
        <v>686</v>
      </c>
    </row>
    <row r="105" spans="1:2">
      <c r="B105" s="380" t="s">
        <v>687</v>
      </c>
    </row>
    <row r="106" spans="1:2">
      <c r="B106" s="380" t="s">
        <v>688</v>
      </c>
    </row>
    <row r="107" spans="1:2">
      <c r="B107" s="380" t="s">
        <v>689</v>
      </c>
    </row>
    <row r="108" spans="1:2">
      <c r="B108" s="380" t="s">
        <v>690</v>
      </c>
    </row>
    <row r="109" spans="1:2">
      <c r="B109" s="380" t="s">
        <v>691</v>
      </c>
    </row>
    <row r="110" spans="1:2">
      <c r="B110" s="380" t="s">
        <v>692</v>
      </c>
    </row>
    <row r="111" spans="1:2">
      <c r="A111" s="380" t="s">
        <v>2548</v>
      </c>
    </row>
    <row r="112" spans="1:2">
      <c r="A112" s="380" t="s">
        <v>2549</v>
      </c>
    </row>
  </sheetData>
  <phoneticPr fontId="3"/>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6"/>
  <dimension ref="A1:A158"/>
  <sheetViews>
    <sheetView workbookViewId="0">
      <selection activeCell="C15" sqref="C15"/>
    </sheetView>
  </sheetViews>
  <sheetFormatPr defaultColWidth="9" defaultRowHeight="12.75"/>
  <cols>
    <col min="1" max="16384" width="9" style="380"/>
  </cols>
  <sheetData>
    <row r="1" spans="1:1">
      <c r="A1" s="380" t="s">
        <v>674</v>
      </c>
    </row>
    <row r="3" spans="1:1">
      <c r="A3" s="380" t="s">
        <v>673</v>
      </c>
    </row>
    <row r="4" spans="1:1">
      <c r="A4" s="380" t="s">
        <v>2550</v>
      </c>
    </row>
    <row r="6" spans="1:1">
      <c r="A6" s="380" t="s">
        <v>675</v>
      </c>
    </row>
    <row r="8" spans="1:1">
      <c r="A8" s="380" t="s">
        <v>2549</v>
      </c>
    </row>
    <row r="9" spans="1:1">
      <c r="A9" s="380" t="s">
        <v>2551</v>
      </c>
    </row>
    <row r="10" spans="1:1">
      <c r="A10" s="380" t="s">
        <v>2552</v>
      </c>
    </row>
    <row r="11" spans="1:1">
      <c r="A11" s="380" t="s">
        <v>2553</v>
      </c>
    </row>
    <row r="12" spans="1:1">
      <c r="A12" s="380" t="s">
        <v>2554</v>
      </c>
    </row>
    <row r="13" spans="1:1">
      <c r="A13" s="380" t="s">
        <v>2555</v>
      </c>
    </row>
    <row r="14" spans="1:1">
      <c r="A14" s="380" t="s">
        <v>2556</v>
      </c>
    </row>
    <row r="15" spans="1:1">
      <c r="A15" s="380" t="s">
        <v>2557</v>
      </c>
    </row>
    <row r="16" spans="1:1">
      <c r="A16" s="380" t="s">
        <v>2558</v>
      </c>
    </row>
    <row r="17" spans="1:1">
      <c r="A17" s="380" t="s">
        <v>2559</v>
      </c>
    </row>
    <row r="18" spans="1:1">
      <c r="A18" s="380" t="s">
        <v>2560</v>
      </c>
    </row>
    <row r="19" spans="1:1">
      <c r="A19" s="380" t="s">
        <v>2561</v>
      </c>
    </row>
    <row r="20" spans="1:1">
      <c r="A20" s="380" t="s">
        <v>2562</v>
      </c>
    </row>
    <row r="21" spans="1:1">
      <c r="A21" s="380" t="s">
        <v>2563</v>
      </c>
    </row>
    <row r="22" spans="1:1">
      <c r="A22" s="380" t="s">
        <v>2564</v>
      </c>
    </row>
    <row r="23" spans="1:1">
      <c r="A23" s="380" t="s">
        <v>2565</v>
      </c>
    </row>
    <row r="24" spans="1:1">
      <c r="A24" s="380" t="s">
        <v>2566</v>
      </c>
    </row>
    <row r="25" spans="1:1">
      <c r="A25" s="380" t="s">
        <v>2567</v>
      </c>
    </row>
    <row r="26" spans="1:1">
      <c r="A26" s="380" t="s">
        <v>2568</v>
      </c>
    </row>
    <row r="27" spans="1:1">
      <c r="A27" s="380" t="s">
        <v>2569</v>
      </c>
    </row>
    <row r="28" spans="1:1">
      <c r="A28" s="380" t="s">
        <v>2570</v>
      </c>
    </row>
    <row r="29" spans="1:1">
      <c r="A29" s="380" t="s">
        <v>2571</v>
      </c>
    </row>
    <row r="30" spans="1:1">
      <c r="A30" s="380" t="s">
        <v>2572</v>
      </c>
    </row>
    <row r="31" spans="1:1">
      <c r="A31" s="380" t="s">
        <v>2573</v>
      </c>
    </row>
    <row r="32" spans="1:1">
      <c r="A32" s="380" t="s">
        <v>2574</v>
      </c>
    </row>
    <row r="33" spans="1:1">
      <c r="A33" s="380" t="s">
        <v>2575</v>
      </c>
    </row>
    <row r="34" spans="1:1">
      <c r="A34" s="380" t="s">
        <v>2576</v>
      </c>
    </row>
    <row r="35" spans="1:1">
      <c r="A35" s="380" t="s">
        <v>2577</v>
      </c>
    </row>
    <row r="36" spans="1:1">
      <c r="A36" s="380" t="s">
        <v>2578</v>
      </c>
    </row>
    <row r="37" spans="1:1">
      <c r="A37" s="380" t="s">
        <v>2579</v>
      </c>
    </row>
    <row r="38" spans="1:1">
      <c r="A38" s="380" t="s">
        <v>2580</v>
      </c>
    </row>
    <row r="39" spans="1:1">
      <c r="A39" s="380" t="s">
        <v>2581</v>
      </c>
    </row>
    <row r="40" spans="1:1">
      <c r="A40" s="380" t="s">
        <v>2582</v>
      </c>
    </row>
    <row r="41" spans="1:1">
      <c r="A41" s="380" t="s">
        <v>2583</v>
      </c>
    </row>
    <row r="42" spans="1:1">
      <c r="A42" s="380" t="s">
        <v>2584</v>
      </c>
    </row>
    <row r="43" spans="1:1">
      <c r="A43" s="380" t="s">
        <v>2585</v>
      </c>
    </row>
    <row r="44" spans="1:1">
      <c r="A44" s="380" t="s">
        <v>2586</v>
      </c>
    </row>
    <row r="45" spans="1:1" s="381" customFormat="1">
      <c r="A45" s="381" t="s">
        <v>2587</v>
      </c>
    </row>
    <row r="46" spans="1:1" s="381" customFormat="1">
      <c r="A46" s="381" t="s">
        <v>2588</v>
      </c>
    </row>
    <row r="47" spans="1:1" s="381" customFormat="1">
      <c r="A47" s="381" t="s">
        <v>2589</v>
      </c>
    </row>
    <row r="48" spans="1:1" s="381" customFormat="1">
      <c r="A48" s="381" t="s">
        <v>2590</v>
      </c>
    </row>
    <row r="49" spans="1:1" s="381" customFormat="1">
      <c r="A49" s="381" t="s">
        <v>2591</v>
      </c>
    </row>
    <row r="50" spans="1:1" s="381" customFormat="1">
      <c r="A50" s="381" t="s">
        <v>2592</v>
      </c>
    </row>
    <row r="51" spans="1:1" s="381" customFormat="1">
      <c r="A51" s="381" t="s">
        <v>2593</v>
      </c>
    </row>
    <row r="52" spans="1:1" s="381" customFormat="1">
      <c r="A52" s="381" t="s">
        <v>2594</v>
      </c>
    </row>
    <row r="53" spans="1:1" s="381" customFormat="1">
      <c r="A53" s="381" t="s">
        <v>2595</v>
      </c>
    </row>
    <row r="54" spans="1:1" s="381" customFormat="1">
      <c r="A54" s="381" t="s">
        <v>2596</v>
      </c>
    </row>
    <row r="55" spans="1:1" s="381" customFormat="1">
      <c r="A55" s="381" t="s">
        <v>2597</v>
      </c>
    </row>
    <row r="56" spans="1:1" s="381" customFormat="1">
      <c r="A56" s="381" t="s">
        <v>2598</v>
      </c>
    </row>
    <row r="57" spans="1:1" s="381" customFormat="1">
      <c r="A57" s="381" t="s">
        <v>2599</v>
      </c>
    </row>
    <row r="58" spans="1:1" s="381" customFormat="1">
      <c r="A58" s="381" t="s">
        <v>2600</v>
      </c>
    </row>
    <row r="59" spans="1:1" s="381" customFormat="1">
      <c r="A59" s="381" t="s">
        <v>2601</v>
      </c>
    </row>
    <row r="60" spans="1:1" s="381" customFormat="1">
      <c r="A60" s="381" t="s">
        <v>2602</v>
      </c>
    </row>
    <row r="61" spans="1:1" s="381" customFormat="1">
      <c r="A61" s="381" t="s">
        <v>2603</v>
      </c>
    </row>
    <row r="62" spans="1:1" s="381" customFormat="1">
      <c r="A62" s="381" t="s">
        <v>2604</v>
      </c>
    </row>
    <row r="63" spans="1:1" s="381" customFormat="1">
      <c r="A63" s="381" t="s">
        <v>2605</v>
      </c>
    </row>
    <row r="64" spans="1:1" s="381" customFormat="1">
      <c r="A64" s="381" t="s">
        <v>2606</v>
      </c>
    </row>
    <row r="65" spans="1:1">
      <c r="A65" s="380" t="s">
        <v>2607</v>
      </c>
    </row>
    <row r="66" spans="1:1">
      <c r="A66" s="380" t="s">
        <v>2608</v>
      </c>
    </row>
    <row r="67" spans="1:1">
      <c r="A67" s="380" t="s">
        <v>2609</v>
      </c>
    </row>
    <row r="68" spans="1:1">
      <c r="A68" s="380" t="s">
        <v>2610</v>
      </c>
    </row>
    <row r="69" spans="1:1">
      <c r="A69" s="380" t="s">
        <v>2611</v>
      </c>
    </row>
    <row r="70" spans="1:1">
      <c r="A70" s="380" t="s">
        <v>2612</v>
      </c>
    </row>
    <row r="71" spans="1:1">
      <c r="A71" s="380" t="s">
        <v>2613</v>
      </c>
    </row>
    <row r="72" spans="1:1">
      <c r="A72" s="380" t="s">
        <v>2614</v>
      </c>
    </row>
    <row r="73" spans="1:1">
      <c r="A73" s="380" t="s">
        <v>2615</v>
      </c>
    </row>
    <row r="74" spans="1:1">
      <c r="A74" s="380" t="s">
        <v>2616</v>
      </c>
    </row>
    <row r="75" spans="1:1">
      <c r="A75" s="380" t="s">
        <v>2617</v>
      </c>
    </row>
    <row r="76" spans="1:1">
      <c r="A76" s="380" t="s">
        <v>2618</v>
      </c>
    </row>
    <row r="77" spans="1:1">
      <c r="A77" s="380" t="s">
        <v>2619</v>
      </c>
    </row>
    <row r="78" spans="1:1">
      <c r="A78" s="380" t="s">
        <v>2620</v>
      </c>
    </row>
    <row r="79" spans="1:1">
      <c r="A79" s="380" t="s">
        <v>2621</v>
      </c>
    </row>
    <row r="80" spans="1:1">
      <c r="A80" s="380" t="s">
        <v>2622</v>
      </c>
    </row>
    <row r="81" spans="1:1">
      <c r="A81" s="380" t="s">
        <v>2623</v>
      </c>
    </row>
    <row r="82" spans="1:1">
      <c r="A82" s="380" t="s">
        <v>2624</v>
      </c>
    </row>
    <row r="83" spans="1:1">
      <c r="A83" s="380" t="s">
        <v>2625</v>
      </c>
    </row>
    <row r="84" spans="1:1">
      <c r="A84" s="380" t="s">
        <v>2626</v>
      </c>
    </row>
    <row r="85" spans="1:1">
      <c r="A85" s="380" t="s">
        <v>2627</v>
      </c>
    </row>
    <row r="86" spans="1:1">
      <c r="A86" s="380" t="s">
        <v>2628</v>
      </c>
    </row>
    <row r="87" spans="1:1">
      <c r="A87" s="380" t="s">
        <v>2629</v>
      </c>
    </row>
    <row r="88" spans="1:1">
      <c r="A88" s="380" t="s">
        <v>2630</v>
      </c>
    </row>
    <row r="89" spans="1:1">
      <c r="A89" s="380" t="s">
        <v>2631</v>
      </c>
    </row>
    <row r="90" spans="1:1">
      <c r="A90" s="380" t="s">
        <v>2632</v>
      </c>
    </row>
    <row r="91" spans="1:1">
      <c r="A91" s="380" t="s">
        <v>2633</v>
      </c>
    </row>
    <row r="92" spans="1:1">
      <c r="A92" s="380" t="s">
        <v>2634</v>
      </c>
    </row>
    <row r="93" spans="1:1">
      <c r="A93" s="380" t="s">
        <v>2635</v>
      </c>
    </row>
    <row r="94" spans="1:1">
      <c r="A94" s="380" t="s">
        <v>2636</v>
      </c>
    </row>
    <row r="95" spans="1:1">
      <c r="A95" s="380" t="s">
        <v>2637</v>
      </c>
    </row>
    <row r="96" spans="1:1">
      <c r="A96" s="380" t="s">
        <v>2638</v>
      </c>
    </row>
    <row r="97" spans="1:1">
      <c r="A97" s="380" t="s">
        <v>2639</v>
      </c>
    </row>
    <row r="98" spans="1:1">
      <c r="A98" s="380" t="s">
        <v>2640</v>
      </c>
    </row>
    <row r="99" spans="1:1">
      <c r="A99" s="380" t="s">
        <v>2641</v>
      </c>
    </row>
    <row r="100" spans="1:1">
      <c r="A100" s="380" t="s">
        <v>2642</v>
      </c>
    </row>
    <row r="101" spans="1:1">
      <c r="A101" s="380" t="s">
        <v>2643</v>
      </c>
    </row>
    <row r="103" spans="1:1">
      <c r="A103" s="380" t="s">
        <v>2644</v>
      </c>
    </row>
    <row r="104" spans="1:1">
      <c r="A104" s="380" t="s">
        <v>1032</v>
      </c>
    </row>
    <row r="105" spans="1:1">
      <c r="A105" s="380" t="s">
        <v>2645</v>
      </c>
    </row>
    <row r="106" spans="1:1">
      <c r="A106" s="380" t="s">
        <v>865</v>
      </c>
    </row>
    <row r="107" spans="1:1">
      <c r="A107" s="380" t="s">
        <v>2646</v>
      </c>
    </row>
    <row r="108" spans="1:1">
      <c r="A108" s="380" t="s">
        <v>867</v>
      </c>
    </row>
    <row r="109" spans="1:1">
      <c r="A109" s="380" t="s">
        <v>2647</v>
      </c>
    </row>
    <row r="110" spans="1:1">
      <c r="A110" s="380" t="s">
        <v>869</v>
      </c>
    </row>
    <row r="111" spans="1:1">
      <c r="A111" s="380" t="s">
        <v>870</v>
      </c>
    </row>
    <row r="112" spans="1:1">
      <c r="A112" s="380" t="s">
        <v>871</v>
      </c>
    </row>
    <row r="113" spans="1:1">
      <c r="A113" s="380" t="s">
        <v>872</v>
      </c>
    </row>
    <row r="114" spans="1:1">
      <c r="A114" s="380" t="s">
        <v>873</v>
      </c>
    </row>
    <row r="115" spans="1:1">
      <c r="A115" s="380" t="s">
        <v>874</v>
      </c>
    </row>
    <row r="116" spans="1:1">
      <c r="A116" s="380" t="s">
        <v>875</v>
      </c>
    </row>
    <row r="117" spans="1:1">
      <c r="A117" s="380" t="s">
        <v>876</v>
      </c>
    </row>
    <row r="118" spans="1:1">
      <c r="A118" s="380" t="s">
        <v>877</v>
      </c>
    </row>
    <row r="119" spans="1:1">
      <c r="A119" s="380" t="s">
        <v>878</v>
      </c>
    </row>
    <row r="120" spans="1:1">
      <c r="A120" s="380" t="s">
        <v>2648</v>
      </c>
    </row>
    <row r="121" spans="1:1">
      <c r="A121" s="380" t="s">
        <v>880</v>
      </c>
    </row>
    <row r="122" spans="1:1">
      <c r="A122" s="380" t="s">
        <v>881</v>
      </c>
    </row>
    <row r="123" spans="1:1">
      <c r="A123" s="380" t="s">
        <v>882</v>
      </c>
    </row>
    <row r="124" spans="1:1">
      <c r="A124" s="380" t="s">
        <v>883</v>
      </c>
    </row>
    <row r="125" spans="1:1">
      <c r="A125" s="380" t="s">
        <v>884</v>
      </c>
    </row>
    <row r="126" spans="1:1">
      <c r="A126" s="380" t="s">
        <v>885</v>
      </c>
    </row>
    <row r="127" spans="1:1">
      <c r="A127" s="380" t="s">
        <v>886</v>
      </c>
    </row>
    <row r="128" spans="1:1">
      <c r="A128" s="380" t="s">
        <v>887</v>
      </c>
    </row>
    <row r="129" spans="1:1">
      <c r="A129" s="380" t="s">
        <v>888</v>
      </c>
    </row>
    <row r="130" spans="1:1">
      <c r="A130" s="380" t="s">
        <v>889</v>
      </c>
    </row>
    <row r="131" spans="1:1">
      <c r="A131" s="380" t="s">
        <v>890</v>
      </c>
    </row>
    <row r="132" spans="1:1">
      <c r="A132" s="380" t="s">
        <v>891</v>
      </c>
    </row>
    <row r="133" spans="1:1">
      <c r="A133" s="380" t="s">
        <v>892</v>
      </c>
    </row>
    <row r="134" spans="1:1">
      <c r="A134" s="380" t="s">
        <v>893</v>
      </c>
    </row>
    <row r="135" spans="1:1">
      <c r="A135" s="380" t="s">
        <v>894</v>
      </c>
    </row>
    <row r="136" spans="1:1">
      <c r="A136" s="380" t="s">
        <v>895</v>
      </c>
    </row>
    <row r="137" spans="1:1">
      <c r="A137" s="380" t="s">
        <v>896</v>
      </c>
    </row>
    <row r="138" spans="1:1">
      <c r="A138" s="380" t="s">
        <v>897</v>
      </c>
    </row>
    <row r="139" spans="1:1">
      <c r="A139" s="380" t="s">
        <v>898</v>
      </c>
    </row>
    <row r="140" spans="1:1">
      <c r="A140" s="380" t="s">
        <v>899</v>
      </c>
    </row>
    <row r="141" spans="1:1">
      <c r="A141" s="380" t="s">
        <v>2649</v>
      </c>
    </row>
    <row r="142" spans="1:1">
      <c r="A142" s="380" t="s">
        <v>901</v>
      </c>
    </row>
    <row r="143" spans="1:1">
      <c r="A143" s="380" t="s">
        <v>2650</v>
      </c>
    </row>
    <row r="144" spans="1:1">
      <c r="A144" s="380" t="s">
        <v>903</v>
      </c>
    </row>
    <row r="145" spans="1:1" s="381" customFormat="1">
      <c r="A145" s="381" t="s">
        <v>1038</v>
      </c>
    </row>
    <row r="146" spans="1:1" s="381" customFormat="1">
      <c r="A146" s="381" t="s">
        <v>905</v>
      </c>
    </row>
    <row r="147" spans="1:1" s="381" customFormat="1">
      <c r="A147" s="381" t="s">
        <v>906</v>
      </c>
    </row>
    <row r="148" spans="1:1" s="381" customFormat="1">
      <c r="A148" s="381" t="s">
        <v>907</v>
      </c>
    </row>
    <row r="149" spans="1:1" s="381" customFormat="1">
      <c r="A149" s="381" t="s">
        <v>908</v>
      </c>
    </row>
    <row r="150" spans="1:1" s="381" customFormat="1">
      <c r="A150" s="381" t="s">
        <v>909</v>
      </c>
    </row>
    <row r="151" spans="1:1" s="381" customFormat="1">
      <c r="A151" s="381" t="s">
        <v>910</v>
      </c>
    </row>
    <row r="152" spans="1:1" s="381" customFormat="1">
      <c r="A152" s="381" t="s">
        <v>911</v>
      </c>
    </row>
    <row r="153" spans="1:1" s="381" customFormat="1">
      <c r="A153" s="381" t="s">
        <v>912</v>
      </c>
    </row>
    <row r="154" spans="1:1" s="381" customFormat="1">
      <c r="A154" s="381" t="s">
        <v>913</v>
      </c>
    </row>
    <row r="155" spans="1:1" s="381" customFormat="1">
      <c r="A155" s="381" t="s">
        <v>914</v>
      </c>
    </row>
    <row r="156" spans="1:1" s="381" customFormat="1">
      <c r="A156" s="381" t="s">
        <v>915</v>
      </c>
    </row>
    <row r="157" spans="1:1" s="381" customFormat="1">
      <c r="A157" s="381" t="s">
        <v>916</v>
      </c>
    </row>
    <row r="158" spans="1:1" s="381" customFormat="1">
      <c r="A158" s="381" t="s">
        <v>2651</v>
      </c>
    </row>
  </sheetData>
  <phoneticPr fontId="3"/>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
    <tabColor rgb="FFFFFF00"/>
  </sheetPr>
  <dimension ref="B3:K28"/>
  <sheetViews>
    <sheetView zoomScale="90" zoomScaleNormal="90" workbookViewId="0">
      <selection activeCell="O9" sqref="O9"/>
    </sheetView>
  </sheetViews>
  <sheetFormatPr defaultRowHeight="12.75"/>
  <sheetData>
    <row r="3" spans="2:11">
      <c r="B3" t="s">
        <v>47</v>
      </c>
    </row>
    <row r="4" spans="2:11">
      <c r="B4" s="6" t="s">
        <v>24</v>
      </c>
    </row>
    <row r="6" spans="2:11">
      <c r="B6" s="7"/>
      <c r="C6" s="2"/>
      <c r="D6" s="2"/>
      <c r="E6" s="2"/>
      <c r="F6" s="2"/>
      <c r="G6" s="2"/>
      <c r="H6" s="2"/>
      <c r="I6" s="2"/>
      <c r="J6" s="2"/>
      <c r="K6" s="2"/>
    </row>
    <row r="7" spans="2:11">
      <c r="B7" s="2"/>
      <c r="C7" s="2"/>
      <c r="D7" s="2"/>
      <c r="E7" s="2"/>
      <c r="F7" s="2"/>
      <c r="G7" s="2"/>
      <c r="H7" s="2"/>
      <c r="I7" s="2"/>
      <c r="J7" s="2"/>
      <c r="K7" s="2"/>
    </row>
    <row r="8" spans="2:11">
      <c r="B8" s="8"/>
      <c r="C8" s="4"/>
      <c r="D8" s="4"/>
      <c r="E8" s="4"/>
      <c r="F8" s="4"/>
      <c r="G8" s="4"/>
      <c r="H8" s="4"/>
      <c r="I8" s="4"/>
      <c r="J8" s="4"/>
      <c r="K8" s="4"/>
    </row>
    <row r="9" spans="2:11">
      <c r="B9" s="4"/>
      <c r="C9" s="4"/>
      <c r="D9" s="4"/>
      <c r="E9" s="4"/>
      <c r="F9" s="4"/>
      <c r="G9" s="4"/>
      <c r="H9" s="4" t="s">
        <v>22</v>
      </c>
      <c r="I9" s="4"/>
      <c r="J9" s="4"/>
      <c r="K9" s="4"/>
    </row>
    <row r="10" spans="2:11">
      <c r="B10" s="3"/>
      <c r="C10" s="3"/>
      <c r="D10" s="3"/>
      <c r="E10" s="3"/>
      <c r="F10" s="3"/>
      <c r="G10" s="3"/>
      <c r="H10" s="3"/>
      <c r="I10" s="3"/>
      <c r="J10" s="3"/>
      <c r="K10" s="3"/>
    </row>
    <row r="11" spans="2:11">
      <c r="B11" s="3"/>
      <c r="C11" s="3"/>
      <c r="D11" s="3"/>
      <c r="E11" s="3"/>
      <c r="F11" s="3"/>
      <c r="G11" s="3"/>
      <c r="H11" s="3"/>
      <c r="I11" s="3"/>
      <c r="J11" s="3"/>
      <c r="K11" s="3"/>
    </row>
    <row r="12" spans="2:11">
      <c r="B12" s="3"/>
      <c r="C12" s="5" t="s">
        <v>28</v>
      </c>
      <c r="D12" s="3"/>
      <c r="E12" s="3"/>
      <c r="F12" s="3"/>
      <c r="G12" s="3"/>
      <c r="H12" s="3"/>
      <c r="I12" s="3"/>
      <c r="J12" s="3"/>
      <c r="K12" s="3"/>
    </row>
    <row r="13" spans="2:11">
      <c r="B13" s="3"/>
      <c r="C13" s="3"/>
      <c r="D13" s="3"/>
      <c r="E13" s="3"/>
      <c r="F13" s="3"/>
      <c r="G13" s="3"/>
      <c r="H13" s="3"/>
      <c r="I13" s="3"/>
      <c r="J13" s="3"/>
      <c r="K13" s="3"/>
    </row>
    <row r="14" spans="2:11">
      <c r="B14" s="3"/>
      <c r="C14" s="3"/>
      <c r="D14" s="3"/>
      <c r="E14" s="3"/>
      <c r="F14" s="3"/>
      <c r="G14" s="3"/>
      <c r="H14" s="3"/>
      <c r="I14" s="3"/>
      <c r="J14" s="3"/>
      <c r="K14" s="3"/>
    </row>
    <row r="15" spans="2:11">
      <c r="B15" s="3"/>
      <c r="C15" s="3"/>
      <c r="D15" s="3"/>
      <c r="E15" s="3"/>
      <c r="F15" s="3"/>
      <c r="G15" s="3"/>
      <c r="H15" s="3"/>
      <c r="I15" s="3"/>
      <c r="J15" s="3"/>
      <c r="K15" s="3"/>
    </row>
    <row r="22" spans="2:3">
      <c r="B22" t="s">
        <v>26</v>
      </c>
    </row>
    <row r="23" spans="2:3">
      <c r="C23" t="s">
        <v>27</v>
      </c>
    </row>
    <row r="24" spans="2:3">
      <c r="B24" s="1"/>
    </row>
    <row r="25" spans="2:3">
      <c r="B25" t="s">
        <v>52</v>
      </c>
    </row>
    <row r="26" spans="2:3">
      <c r="C26" t="s">
        <v>29</v>
      </c>
    </row>
    <row r="27" spans="2:3">
      <c r="C27" t="s">
        <v>49</v>
      </c>
    </row>
    <row r="28" spans="2:3">
      <c r="C28" t="s">
        <v>50</v>
      </c>
    </row>
  </sheetData>
  <phoneticPr fontId="3"/>
  <pageMargins left="0.7" right="0.7" top="0.75" bottom="0.75" header="0.3" footer="0.3"/>
  <pageSetup paperSize="9" orientation="portrait" r:id="rId1"/>
  <headerFooter>
    <oddHeader xml:space="preserve">&amp;R&amp;"ＭＳ Ｐゴシック"&amp;11 &amp;"ＭＳ Ｐゴシック"&amp;9 【社外秘B】&amp;"ＭＳ Ｐゴシック,標準"&amp;11 
</oddHeader>
    <oddFooter xml:space="preserve">&amp;C&amp;"ＭＳ Ｐゴシック"&amp;11 &amp;"ＭＳ Ｐゴシック"&amp;9 KDDI情報システム開発PJ関係各社　情報システム開発関係者のみ&amp;"ＭＳ Ｐゴシック,標準"&amp;11 
</oddFooter>
  </headerFooter>
  <drawing r:id="rId2"/>
  <legacyDrawing r:id="rId3"/>
  <controls>
    <mc:AlternateContent xmlns:mc="http://schemas.openxmlformats.org/markup-compatibility/2006">
      <mc:Choice Requires="x14">
        <control shapeId="2049" r:id="rId4" name="CommandButton1">
          <controlPr autoLine="0" autoPict="0" r:id="rId5">
            <anchor moveWithCells="1">
              <from>
                <xdr:col>1</xdr:col>
                <xdr:colOff>0</xdr:colOff>
                <xdr:row>15</xdr:row>
                <xdr:rowOff>61913</xdr:rowOff>
              </from>
              <to>
                <xdr:col>2</xdr:col>
                <xdr:colOff>285750</xdr:colOff>
                <xdr:row>17</xdr:row>
                <xdr:rowOff>100013</xdr:rowOff>
              </to>
            </anchor>
          </controlPr>
        </control>
      </mc:Choice>
      <mc:Fallback>
        <control shapeId="2049" r:id="rId4" name="CommandButton1"/>
      </mc:Fallback>
    </mc:AlternateContent>
    <mc:AlternateContent xmlns:mc="http://schemas.openxmlformats.org/markup-compatibility/2006">
      <mc:Choice Requires="x14">
        <control shapeId="2050" r:id="rId6" name="ISheet">
          <controlPr defaultSize="0" autoLine="0" r:id="rId7">
            <anchor moveWithCells="1">
              <from>
                <xdr:col>2</xdr:col>
                <xdr:colOff>280988</xdr:colOff>
                <xdr:row>5</xdr:row>
                <xdr:rowOff>100013</xdr:rowOff>
              </from>
              <to>
                <xdr:col>3</xdr:col>
                <xdr:colOff>604838</xdr:colOff>
                <xdr:row>6</xdr:row>
                <xdr:rowOff>157163</xdr:rowOff>
              </to>
            </anchor>
          </controlPr>
        </control>
      </mc:Choice>
      <mc:Fallback>
        <control shapeId="2050" r:id="rId6" name="ISheet"/>
      </mc:Fallback>
    </mc:AlternateContent>
    <mc:AlternateContent xmlns:mc="http://schemas.openxmlformats.org/markup-compatibility/2006">
      <mc:Choice Requires="x14">
        <control shapeId="2051" r:id="rId8" name="OPath">
          <controlPr defaultSize="0" autoLine="0" r:id="rId9">
            <anchor moveWithCells="1">
              <from>
                <xdr:col>2</xdr:col>
                <xdr:colOff>504825</xdr:colOff>
                <xdr:row>7</xdr:row>
                <xdr:rowOff>90488</xdr:rowOff>
              </from>
              <to>
                <xdr:col>7</xdr:col>
                <xdr:colOff>142875</xdr:colOff>
                <xdr:row>9</xdr:row>
                <xdr:rowOff>4763</xdr:rowOff>
              </to>
            </anchor>
          </controlPr>
        </control>
      </mc:Choice>
      <mc:Fallback>
        <control shapeId="2051" r:id="rId8" name="OPath"/>
      </mc:Fallback>
    </mc:AlternateContent>
    <mc:AlternateContent xmlns:mc="http://schemas.openxmlformats.org/markup-compatibility/2006">
      <mc:Choice Requires="x14">
        <control shapeId="2052" r:id="rId10" name="Label1">
          <controlPr defaultSize="0" autoLine="0" r:id="rId11">
            <anchor moveWithCells="1">
              <from>
                <xdr:col>1</xdr:col>
                <xdr:colOff>0</xdr:colOff>
                <xdr:row>5</xdr:row>
                <xdr:rowOff>133350</xdr:rowOff>
              </from>
              <to>
                <xdr:col>2</xdr:col>
                <xdr:colOff>285750</xdr:colOff>
                <xdr:row>6</xdr:row>
                <xdr:rowOff>123825</xdr:rowOff>
              </to>
            </anchor>
          </controlPr>
        </control>
      </mc:Choice>
      <mc:Fallback>
        <control shapeId="2052" r:id="rId10" name="Label1"/>
      </mc:Fallback>
    </mc:AlternateContent>
    <mc:AlternateContent xmlns:mc="http://schemas.openxmlformats.org/markup-compatibility/2006">
      <mc:Choice Requires="x14">
        <control shapeId="2053" r:id="rId12" name="Label2">
          <controlPr defaultSize="0" autoLine="0" autoPict="0" r:id="rId13">
            <anchor moveWithCells="1">
              <from>
                <xdr:col>1</xdr:col>
                <xdr:colOff>9525</xdr:colOff>
                <xdr:row>7</xdr:row>
                <xdr:rowOff>123825</xdr:rowOff>
              </from>
              <to>
                <xdr:col>2</xdr:col>
                <xdr:colOff>447675</xdr:colOff>
                <xdr:row>8</xdr:row>
                <xdr:rowOff>119063</xdr:rowOff>
              </to>
            </anchor>
          </controlPr>
        </control>
      </mc:Choice>
      <mc:Fallback>
        <control shapeId="2053" r:id="rId12" name="Label2"/>
      </mc:Fallback>
    </mc:AlternateContent>
    <mc:AlternateContent xmlns:mc="http://schemas.openxmlformats.org/markup-compatibility/2006">
      <mc:Choice Requires="x14">
        <control shapeId="2054" r:id="rId14" name="CommandButton2">
          <controlPr autoLine="0" r:id="rId15">
            <anchor moveWithCells="1">
              <from>
                <xdr:col>2</xdr:col>
                <xdr:colOff>423863</xdr:colOff>
                <xdr:row>15</xdr:row>
                <xdr:rowOff>61913</xdr:rowOff>
              </from>
              <to>
                <xdr:col>4</xdr:col>
                <xdr:colOff>61913</xdr:colOff>
                <xdr:row>17</xdr:row>
                <xdr:rowOff>109538</xdr:rowOff>
              </to>
            </anchor>
          </controlPr>
        </control>
      </mc:Choice>
      <mc:Fallback>
        <control shapeId="2054" r:id="rId14" name="CommandButton2"/>
      </mc:Fallback>
    </mc:AlternateContent>
    <mc:AlternateContent xmlns:mc="http://schemas.openxmlformats.org/markup-compatibility/2006">
      <mc:Choice Requires="x14">
        <control shapeId="2055" r:id="rId16" name="Label3">
          <controlPr defaultSize="0" autoLine="0" r:id="rId17">
            <anchor moveWithCells="1">
              <from>
                <xdr:col>1</xdr:col>
                <xdr:colOff>9525</xdr:colOff>
                <xdr:row>12</xdr:row>
                <xdr:rowOff>100013</xdr:rowOff>
              </from>
              <to>
                <xdr:col>2</xdr:col>
                <xdr:colOff>514350</xdr:colOff>
                <xdr:row>13</xdr:row>
                <xdr:rowOff>128588</xdr:rowOff>
              </to>
            </anchor>
          </controlPr>
        </control>
      </mc:Choice>
      <mc:Fallback>
        <control shapeId="2055" r:id="rId16" name="Label3"/>
      </mc:Fallback>
    </mc:AlternateContent>
    <mc:AlternateContent xmlns:mc="http://schemas.openxmlformats.org/markup-compatibility/2006">
      <mc:Choice Requires="x14">
        <control shapeId="2056" r:id="rId18" name="OStream">
          <controlPr defaultSize="0" autoLine="0" r:id="rId19">
            <anchor moveWithCells="1">
              <from>
                <xdr:col>2</xdr:col>
                <xdr:colOff>447675</xdr:colOff>
                <xdr:row>12</xdr:row>
                <xdr:rowOff>100013</xdr:rowOff>
              </from>
              <to>
                <xdr:col>11</xdr:col>
                <xdr:colOff>238125</xdr:colOff>
                <xdr:row>14</xdr:row>
                <xdr:rowOff>14288</xdr:rowOff>
              </to>
            </anchor>
          </controlPr>
        </control>
      </mc:Choice>
      <mc:Fallback>
        <control shapeId="2056" r:id="rId18" name="OStream"/>
      </mc:Fallback>
    </mc:AlternateContent>
    <mc:AlternateContent xmlns:mc="http://schemas.openxmlformats.org/markup-compatibility/2006">
      <mc:Choice Requires="x14">
        <control shapeId="2058" r:id="rId20" name="Label4">
          <controlPr defaultSize="0" autoLine="0" r:id="rId21">
            <anchor moveWithCells="1">
              <from>
                <xdr:col>3</xdr:col>
                <xdr:colOff>638175</xdr:colOff>
                <xdr:row>5</xdr:row>
                <xdr:rowOff>119063</xdr:rowOff>
              </from>
              <to>
                <xdr:col>4</xdr:col>
                <xdr:colOff>542925</xdr:colOff>
                <xdr:row>6</xdr:row>
                <xdr:rowOff>157163</xdr:rowOff>
              </to>
            </anchor>
          </controlPr>
        </control>
      </mc:Choice>
      <mc:Fallback>
        <control shapeId="2058" r:id="rId20" name="Label4"/>
      </mc:Fallback>
    </mc:AlternateContent>
    <mc:AlternateContent xmlns:mc="http://schemas.openxmlformats.org/markup-compatibility/2006">
      <mc:Choice Requires="x14">
        <control shapeId="2059" r:id="rId22" name="CaseNo">
          <controlPr defaultSize="0" autoLine="0" autoPict="0" r:id="rId23">
            <anchor moveWithCells="1">
              <from>
                <xdr:col>4</xdr:col>
                <xdr:colOff>495300</xdr:colOff>
                <xdr:row>5</xdr:row>
                <xdr:rowOff>100013</xdr:rowOff>
              </from>
              <to>
                <xdr:col>5</xdr:col>
                <xdr:colOff>476250</xdr:colOff>
                <xdr:row>6</xdr:row>
                <xdr:rowOff>152400</xdr:rowOff>
              </to>
            </anchor>
          </controlPr>
        </control>
      </mc:Choice>
      <mc:Fallback>
        <control shapeId="2059" r:id="rId22" name="CaseNo"/>
      </mc:Fallback>
    </mc:AlternateContent>
    <mc:AlternateContent xmlns:mc="http://schemas.openxmlformats.org/markup-compatibility/2006">
      <mc:Choice Requires="x14">
        <control shapeId="2062" r:id="rId24" name="Label6">
          <controlPr defaultSize="0" autoLine="0" r:id="rId25">
            <anchor moveWithCells="1">
              <from>
                <xdr:col>1</xdr:col>
                <xdr:colOff>9525</xdr:colOff>
                <xdr:row>9</xdr:row>
                <xdr:rowOff>52388</xdr:rowOff>
              </from>
              <to>
                <xdr:col>2</xdr:col>
                <xdr:colOff>542925</xdr:colOff>
                <xdr:row>10</xdr:row>
                <xdr:rowOff>90488</xdr:rowOff>
              </to>
            </anchor>
          </controlPr>
        </control>
      </mc:Choice>
      <mc:Fallback>
        <control shapeId="2062" r:id="rId24" name="Label6"/>
      </mc:Fallback>
    </mc:AlternateContent>
    <mc:AlternateContent xmlns:mc="http://schemas.openxmlformats.org/markup-compatibility/2006">
      <mc:Choice Requires="x14">
        <control shapeId="2063" r:id="rId26" name="IFile">
          <controlPr defaultSize="0" autoLine="0" autoPict="0" r:id="rId27">
            <anchor moveWithCells="1">
              <from>
                <xdr:col>2</xdr:col>
                <xdr:colOff>504825</xdr:colOff>
                <xdr:row>9</xdr:row>
                <xdr:rowOff>42863</xdr:rowOff>
              </from>
              <to>
                <xdr:col>9</xdr:col>
                <xdr:colOff>109538</xdr:colOff>
                <xdr:row>10</xdr:row>
                <xdr:rowOff>90488</xdr:rowOff>
              </to>
            </anchor>
          </controlPr>
        </control>
      </mc:Choice>
      <mc:Fallback>
        <control shapeId="2063" r:id="rId26" name="IFile"/>
      </mc:Fallback>
    </mc:AlternateContent>
    <mc:AlternateContent xmlns:mc="http://schemas.openxmlformats.org/markup-compatibility/2006">
      <mc:Choice Requires="x14">
        <control shapeId="2064" r:id="rId28" name="Label7">
          <controlPr defaultSize="0" autoLine="0" r:id="rId29">
            <anchor moveWithCells="1">
              <from>
                <xdr:col>8</xdr:col>
                <xdr:colOff>442913</xdr:colOff>
                <xdr:row>5</xdr:row>
                <xdr:rowOff>109538</xdr:rowOff>
              </from>
              <to>
                <xdr:col>10</xdr:col>
                <xdr:colOff>80963</xdr:colOff>
                <xdr:row>6</xdr:row>
                <xdr:rowOff>109538</xdr:rowOff>
              </to>
            </anchor>
          </controlPr>
        </control>
      </mc:Choice>
      <mc:Fallback>
        <control shapeId="2064" r:id="rId28" name="Label7"/>
      </mc:Fallback>
    </mc:AlternateContent>
    <mc:AlternateContent xmlns:mc="http://schemas.openxmlformats.org/markup-compatibility/2006">
      <mc:Choice Requires="x14">
        <control shapeId="2065" r:id="rId30" name="caseCol">
          <controlPr autoLine="0" r:id="rId31">
            <anchor moveWithCells="1">
              <from>
                <xdr:col>10</xdr:col>
                <xdr:colOff>61913</xdr:colOff>
                <xdr:row>5</xdr:row>
                <xdr:rowOff>80963</xdr:rowOff>
              </from>
              <to>
                <xdr:col>10</xdr:col>
                <xdr:colOff>623888</xdr:colOff>
                <xdr:row>6</xdr:row>
                <xdr:rowOff>147638</xdr:rowOff>
              </to>
            </anchor>
          </controlPr>
        </control>
      </mc:Choice>
      <mc:Fallback>
        <control shapeId="2065" r:id="rId30" name="caseCol"/>
      </mc:Fallback>
    </mc:AlternateContent>
    <mc:AlternateContent xmlns:mc="http://schemas.openxmlformats.org/markup-compatibility/2006">
      <mc:Choice Requires="x14">
        <control shapeId="2067" r:id="rId32" name="CommandButton4">
          <controlPr autoLine="0" autoPict="0" r:id="rId33">
            <anchor moveWithCells="1">
              <from>
                <xdr:col>4</xdr:col>
                <xdr:colOff>90488</xdr:colOff>
                <xdr:row>15</xdr:row>
                <xdr:rowOff>71438</xdr:rowOff>
              </from>
              <to>
                <xdr:col>5</xdr:col>
                <xdr:colOff>295275</xdr:colOff>
                <xdr:row>17</xdr:row>
                <xdr:rowOff>71438</xdr:rowOff>
              </to>
            </anchor>
          </controlPr>
        </control>
      </mc:Choice>
      <mc:Fallback>
        <control shapeId="2067" r:id="rId32" name="CommandButton4"/>
      </mc:Fallback>
    </mc:AlternateContent>
    <mc:AlternateContent xmlns:mc="http://schemas.openxmlformats.org/markup-compatibility/2006">
      <mc:Choice Requires="x14">
        <control shapeId="2068" r:id="rId34" name="CommandButton3">
          <controlPr autoLine="0" r:id="rId35">
            <anchor moveWithCells="1">
              <from>
                <xdr:col>8</xdr:col>
                <xdr:colOff>476250</xdr:colOff>
                <xdr:row>17</xdr:row>
                <xdr:rowOff>133350</xdr:rowOff>
              </from>
              <to>
                <xdr:col>11</xdr:col>
                <xdr:colOff>142875</xdr:colOff>
                <xdr:row>19</xdr:row>
                <xdr:rowOff>114300</xdr:rowOff>
              </to>
            </anchor>
          </controlPr>
        </control>
      </mc:Choice>
      <mc:Fallback>
        <control shapeId="2068" r:id="rId34" name="CommandButton3"/>
      </mc:Fallback>
    </mc:AlternateContent>
    <mc:AlternateContent xmlns:mc="http://schemas.openxmlformats.org/markup-compatibility/2006">
      <mc:Choice Requires="x14">
        <control shapeId="2069" r:id="rId36" name="CommandButton5">
          <controlPr autoLine="0" r:id="rId37">
            <anchor moveWithCells="1">
              <from>
                <xdr:col>8</xdr:col>
                <xdr:colOff>466725</xdr:colOff>
                <xdr:row>15</xdr:row>
                <xdr:rowOff>71438</xdr:rowOff>
              </from>
              <to>
                <xdr:col>11</xdr:col>
                <xdr:colOff>38100</xdr:colOff>
                <xdr:row>17</xdr:row>
                <xdr:rowOff>52388</xdr:rowOff>
              </to>
            </anchor>
          </controlPr>
        </control>
      </mc:Choice>
      <mc:Fallback>
        <control shapeId="2069" r:id="rId36" name="CommandButton5"/>
      </mc:Fallback>
    </mc:AlternateContent>
    <mc:AlternateContent xmlns:mc="http://schemas.openxmlformats.org/markup-compatibility/2006">
      <mc:Choice Requires="x14">
        <control shapeId="2484" r:id="rId38" name="CommandButton6">
          <controlPr autoLine="0" r:id="rId39">
            <anchor moveWithCells="1">
              <from>
                <xdr:col>6</xdr:col>
                <xdr:colOff>514350</xdr:colOff>
                <xdr:row>15</xdr:row>
                <xdr:rowOff>80963</xdr:rowOff>
              </from>
              <to>
                <xdr:col>8</xdr:col>
                <xdr:colOff>257175</xdr:colOff>
                <xdr:row>17</xdr:row>
                <xdr:rowOff>61913</xdr:rowOff>
              </to>
            </anchor>
          </controlPr>
        </control>
      </mc:Choice>
      <mc:Fallback>
        <control shapeId="2484" r:id="rId38" name="CommandButton6"/>
      </mc:Fallback>
    </mc:AlternateContent>
    <mc:AlternateContent xmlns:mc="http://schemas.openxmlformats.org/markup-compatibility/2006">
      <mc:Choice Requires="x14">
        <control shapeId="2485" r:id="rId40" name="CommandButton7">
          <controlPr autoLine="0" r:id="rId41">
            <anchor moveWithCells="1">
              <from>
                <xdr:col>6</xdr:col>
                <xdr:colOff>504825</xdr:colOff>
                <xdr:row>17</xdr:row>
                <xdr:rowOff>109538</xdr:rowOff>
              </from>
              <to>
                <xdr:col>8</xdr:col>
                <xdr:colOff>314325</xdr:colOff>
                <xdr:row>19</xdr:row>
                <xdr:rowOff>90488</xdr:rowOff>
              </to>
            </anchor>
          </controlPr>
        </control>
      </mc:Choice>
      <mc:Fallback>
        <control shapeId="2485" r:id="rId40" name="CommandButton7"/>
      </mc:Fallback>
    </mc:AlternateContent>
    <mc:AlternateContent xmlns:mc="http://schemas.openxmlformats.org/markup-compatibility/2006">
      <mc:Choice Requires="x14">
        <control shapeId="2486" r:id="rId42" name="CommandButton8">
          <controlPr autoLine="0" r:id="rId43">
            <anchor moveWithCells="1">
              <from>
                <xdr:col>2</xdr:col>
                <xdr:colOff>414338</xdr:colOff>
                <xdr:row>18</xdr:row>
                <xdr:rowOff>9525</xdr:rowOff>
              </from>
              <to>
                <xdr:col>4</xdr:col>
                <xdr:colOff>366713</xdr:colOff>
                <xdr:row>20</xdr:row>
                <xdr:rowOff>57150</xdr:rowOff>
              </to>
            </anchor>
          </controlPr>
        </control>
      </mc:Choice>
      <mc:Fallback>
        <control shapeId="2486" r:id="rId42" name="CommandButton8"/>
      </mc:Fallback>
    </mc:AlternateContent>
  </control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rgb="FFFFFF00"/>
  </sheetPr>
  <dimension ref="A1:GX85"/>
  <sheetViews>
    <sheetView topLeftCell="A55" zoomScale="85" zoomScaleNormal="85" workbookViewId="0">
      <selection activeCell="J71" sqref="J71"/>
    </sheetView>
  </sheetViews>
  <sheetFormatPr defaultColWidth="9" defaultRowHeight="12.75"/>
  <cols>
    <col min="1" max="1" width="3.46484375" style="172" customWidth="1"/>
    <col min="2" max="2" width="3.3984375" style="172" customWidth="1"/>
    <col min="3" max="7" width="1.73046875" style="172" customWidth="1"/>
    <col min="8" max="8" width="24.86328125" style="172" customWidth="1"/>
    <col min="9" max="9" width="3.59765625" style="172" customWidth="1"/>
    <col min="10" max="10" width="3.46484375" style="172" bestFit="1" customWidth="1"/>
    <col min="11" max="12" width="5" style="172" bestFit="1" customWidth="1"/>
    <col min="13" max="13" width="49.86328125" style="172" customWidth="1"/>
    <col min="14" max="14" width="7.86328125" style="172" customWidth="1"/>
    <col min="15" max="15" width="15.1328125" style="172" customWidth="1"/>
    <col min="16" max="22" width="9" style="172" customWidth="1"/>
    <col min="23" max="23" width="3.3984375" style="172" customWidth="1"/>
    <col min="24" max="24" width="21.86328125" style="172" customWidth="1"/>
    <col min="25" max="25" width="4.46484375" style="172" customWidth="1"/>
    <col min="26" max="26" width="5.59765625" style="172" customWidth="1"/>
    <col min="27" max="27" width="4.46484375" style="172" customWidth="1"/>
    <col min="28" max="28" width="4.59765625" style="172" customWidth="1"/>
    <col min="29" max="29" width="12.59765625" style="172" customWidth="1"/>
    <col min="30" max="32" width="12.46484375" style="172" customWidth="1"/>
    <col min="33" max="33" width="7.59765625" style="172" customWidth="1"/>
    <col min="34" max="36" width="12.46484375" style="172" customWidth="1"/>
    <col min="37" max="37" width="7.59765625" style="172" customWidth="1"/>
    <col min="38" max="40" width="12.46484375" style="172" customWidth="1"/>
    <col min="41" max="41" width="7.59765625" style="172" customWidth="1"/>
    <col min="42" max="44" width="12.46484375" style="172" customWidth="1"/>
    <col min="45" max="45" width="7.59765625" style="172" customWidth="1"/>
    <col min="46" max="48" width="12.46484375" style="172" customWidth="1"/>
    <col min="49" max="49" width="7.59765625" style="172" customWidth="1"/>
    <col min="50" max="52" width="12.46484375" style="172" customWidth="1"/>
    <col min="53" max="53" width="7.59765625" style="172" customWidth="1"/>
    <col min="54" max="56" width="12.46484375" style="172" customWidth="1"/>
    <col min="57" max="57" width="7.59765625" style="172" customWidth="1"/>
    <col min="58" max="60" width="12.46484375" style="172" customWidth="1"/>
    <col min="61" max="61" width="7.59765625" style="172" customWidth="1"/>
    <col min="62" max="64" width="12.46484375" style="172" customWidth="1"/>
    <col min="65" max="65" width="7.59765625" style="172" customWidth="1"/>
    <col min="66" max="68" width="12.46484375" style="172" customWidth="1"/>
    <col min="69" max="69" width="7.59765625" style="172" customWidth="1"/>
    <col min="70" max="72" width="12.46484375" style="172" customWidth="1"/>
    <col min="73" max="73" width="7.59765625" style="172" customWidth="1"/>
    <col min="74" max="76" width="12.46484375" style="172" customWidth="1"/>
    <col min="77" max="77" width="7.59765625" style="172" customWidth="1"/>
    <col min="78" max="80" width="12.46484375" style="172" customWidth="1"/>
    <col min="81" max="81" width="7.59765625" style="172" customWidth="1"/>
    <col min="82" max="84" width="12.46484375" style="172" customWidth="1"/>
    <col min="85" max="85" width="7.59765625" style="172" customWidth="1"/>
    <col min="86" max="88" width="12.46484375" style="172" customWidth="1"/>
    <col min="89" max="89" width="7.59765625" style="172" customWidth="1"/>
    <col min="90" max="92" width="12.46484375" style="172" customWidth="1"/>
    <col min="93" max="93" width="7.59765625" style="172" customWidth="1"/>
    <col min="94" max="96" width="12.46484375" style="172" customWidth="1"/>
    <col min="97" max="97" width="7.59765625" style="172" customWidth="1"/>
    <col min="98" max="100" width="12.46484375" style="172" customWidth="1"/>
    <col min="101" max="101" width="7.59765625" style="172" customWidth="1"/>
    <col min="102" max="104" width="12.46484375" style="172" customWidth="1"/>
    <col min="105" max="105" width="7.59765625" style="172" customWidth="1"/>
    <col min="106" max="108" width="12.46484375" style="172" customWidth="1"/>
    <col min="109" max="109" width="7.59765625" style="172" customWidth="1"/>
    <col min="110" max="112" width="12.46484375" style="172" customWidth="1"/>
    <col min="113" max="113" width="7.59765625" style="172" customWidth="1"/>
    <col min="114" max="116" width="12.46484375" style="172" customWidth="1"/>
    <col min="117" max="117" width="7.59765625" style="172" customWidth="1"/>
    <col min="118" max="120" width="12.46484375" style="172" customWidth="1"/>
    <col min="121" max="121" width="7.59765625" style="172" customWidth="1"/>
    <col min="122" max="124" width="12.46484375" style="172" customWidth="1"/>
    <col min="125" max="125" width="7.59765625" style="172" customWidth="1"/>
    <col min="126" max="128" width="12.46484375" style="172" customWidth="1"/>
    <col min="129" max="129" width="7.59765625" style="172" customWidth="1"/>
    <col min="130" max="132" width="12.46484375" style="172" customWidth="1"/>
    <col min="133" max="133" width="7.59765625" style="172" customWidth="1"/>
    <col min="134" max="136" width="12.46484375" style="172" customWidth="1"/>
    <col min="137" max="137" width="7.59765625" style="172" customWidth="1"/>
    <col min="138" max="140" width="12.46484375" style="172" customWidth="1"/>
    <col min="141" max="141" width="7.59765625" style="172" customWidth="1"/>
    <col min="142" max="144" width="12.46484375" style="172" customWidth="1"/>
    <col min="145" max="145" width="7.59765625" style="172" customWidth="1"/>
    <col min="146" max="148" width="12.46484375" style="172" customWidth="1"/>
    <col min="149" max="149" width="7.59765625" style="172" customWidth="1"/>
    <col min="150" max="152" width="12.46484375" style="172" customWidth="1"/>
    <col min="153" max="153" width="7.59765625" style="172" customWidth="1"/>
    <col min="154" max="156" width="12.46484375" style="172" customWidth="1"/>
    <col min="157" max="157" width="7.59765625" style="172" customWidth="1"/>
    <col min="158" max="160" width="12.46484375" style="172" customWidth="1"/>
    <col min="161" max="161" width="7.59765625" style="172" customWidth="1"/>
    <col min="162" max="164" width="12.46484375" style="172" customWidth="1"/>
    <col min="165" max="165" width="7.59765625" style="172" customWidth="1"/>
    <col min="166" max="168" width="12.46484375" style="172" customWidth="1"/>
    <col min="169" max="169" width="7.59765625" style="172" customWidth="1"/>
    <col min="170" max="172" width="12.46484375" style="172" customWidth="1"/>
    <col min="173" max="173" width="7.59765625" style="172" customWidth="1"/>
    <col min="174" max="176" width="12.46484375" style="172" customWidth="1"/>
    <col min="177" max="177" width="7.59765625" style="172" customWidth="1"/>
    <col min="178" max="180" width="12.46484375" style="172" customWidth="1"/>
    <col min="181" max="181" width="7.59765625" style="172" customWidth="1"/>
    <col min="182" max="184" width="12.46484375" style="172" customWidth="1"/>
    <col min="185" max="185" width="7.59765625" style="172" customWidth="1"/>
    <col min="186" max="188" width="12.46484375" style="172" customWidth="1"/>
    <col min="189" max="189" width="7.59765625" style="172" customWidth="1"/>
    <col min="190" max="192" width="12.46484375" style="172" customWidth="1"/>
    <col min="193" max="193" width="7.59765625" style="172" customWidth="1"/>
    <col min="194" max="196" width="12.46484375" style="172" customWidth="1"/>
    <col min="197" max="197" width="7.59765625" style="172" customWidth="1"/>
    <col min="198" max="200" width="12.46484375" style="172" customWidth="1"/>
    <col min="201" max="201" width="7.59765625" style="172" customWidth="1"/>
    <col min="202" max="202" width="2" style="172" customWidth="1"/>
    <col min="203" max="203" width="1.86328125" style="172" customWidth="1"/>
    <col min="204" max="16384" width="9" style="172"/>
  </cols>
  <sheetData>
    <row r="1" spans="1:206" ht="13.15" thickBot="1">
      <c r="A1" s="173"/>
      <c r="B1" s="397" t="s">
        <v>500</v>
      </c>
      <c r="C1" s="397"/>
      <c r="D1" s="397"/>
      <c r="E1" s="397"/>
      <c r="F1" s="397"/>
      <c r="G1" s="397"/>
      <c r="H1" s="397"/>
      <c r="I1" s="397"/>
      <c r="J1" s="397"/>
      <c r="K1" s="397"/>
      <c r="L1" s="397"/>
      <c r="M1" s="397"/>
      <c r="N1" s="397"/>
      <c r="O1" s="397"/>
      <c r="P1" s="397"/>
      <c r="Q1" s="397"/>
      <c r="R1" s="397"/>
      <c r="S1" s="397"/>
      <c r="T1" s="397"/>
      <c r="U1" s="397"/>
      <c r="V1" s="397"/>
      <c r="W1" s="397"/>
      <c r="X1" s="397"/>
      <c r="Y1" s="397"/>
      <c r="Z1" s="397"/>
      <c r="AA1" s="173"/>
      <c r="AB1" s="173"/>
      <c r="AC1" s="173"/>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c r="BO1" s="201"/>
      <c r="BP1" s="201"/>
      <c r="BQ1" s="201"/>
      <c r="BR1" s="201"/>
      <c r="BS1" s="201"/>
      <c r="BT1" s="201"/>
      <c r="BU1" s="201"/>
      <c r="BV1" s="201"/>
      <c r="BW1" s="201"/>
      <c r="BX1" s="201"/>
      <c r="BY1" s="201"/>
      <c r="BZ1" s="201"/>
      <c r="CA1" s="201"/>
      <c r="CB1" s="201"/>
      <c r="CC1" s="201"/>
      <c r="CD1" s="201"/>
      <c r="CE1" s="201"/>
      <c r="CF1" s="201"/>
      <c r="CG1" s="201"/>
      <c r="CH1" s="201"/>
      <c r="CI1" s="201"/>
      <c r="CJ1" s="201"/>
      <c r="CK1" s="201"/>
      <c r="CL1" s="201"/>
      <c r="CM1" s="201"/>
      <c r="CN1" s="201"/>
      <c r="CO1" s="201"/>
      <c r="CP1" s="201"/>
      <c r="CQ1" s="201"/>
      <c r="CR1" s="201"/>
      <c r="CS1" s="201"/>
      <c r="CT1" s="201"/>
      <c r="CU1" s="201"/>
      <c r="CV1" s="201"/>
      <c r="CW1" s="201"/>
      <c r="CX1" s="201"/>
      <c r="CY1" s="201"/>
      <c r="CZ1" s="201"/>
      <c r="DA1" s="201"/>
      <c r="DB1" s="201"/>
      <c r="DC1" s="201"/>
      <c r="DD1" s="201"/>
      <c r="DE1" s="201"/>
      <c r="DF1" s="201"/>
      <c r="DG1" s="201"/>
      <c r="DH1" s="201"/>
      <c r="DI1" s="201"/>
      <c r="DJ1" s="201"/>
      <c r="DK1" s="201"/>
      <c r="DL1" s="201"/>
      <c r="DM1" s="201"/>
      <c r="DN1" s="201"/>
      <c r="DO1" s="201"/>
      <c r="DP1" s="201"/>
      <c r="DQ1" s="201"/>
      <c r="DR1" s="201"/>
      <c r="DS1" s="201"/>
      <c r="DT1" s="201"/>
      <c r="DU1" s="201"/>
      <c r="DV1" s="201"/>
      <c r="DW1" s="201"/>
      <c r="DX1" s="201"/>
      <c r="DY1" s="201"/>
      <c r="DZ1" s="201"/>
      <c r="EA1" s="201"/>
      <c r="EB1" s="201"/>
      <c r="EC1" s="201"/>
      <c r="ED1" s="201"/>
      <c r="EE1" s="201"/>
      <c r="EF1" s="201"/>
      <c r="EG1" s="201"/>
      <c r="EH1" s="201"/>
      <c r="EI1" s="201"/>
      <c r="EJ1" s="201"/>
      <c r="EK1" s="201"/>
      <c r="EL1" s="201"/>
      <c r="EM1" s="201"/>
      <c r="EN1" s="201"/>
      <c r="EO1" s="201"/>
      <c r="EP1" s="201"/>
      <c r="EQ1" s="201"/>
      <c r="ER1" s="201"/>
      <c r="ES1" s="201"/>
      <c r="ET1" s="201"/>
      <c r="EU1" s="201"/>
      <c r="EV1" s="201"/>
      <c r="EW1" s="201"/>
      <c r="EX1" s="201"/>
      <c r="EY1" s="201"/>
      <c r="EZ1" s="201"/>
      <c r="FA1" s="201"/>
      <c r="FB1" s="201"/>
      <c r="FC1" s="201"/>
      <c r="FD1" s="201"/>
      <c r="FE1" s="201"/>
      <c r="FF1" s="201"/>
      <c r="FG1" s="201"/>
      <c r="FH1" s="201"/>
      <c r="FI1" s="201"/>
      <c r="FJ1" s="201"/>
      <c r="FK1" s="201"/>
      <c r="FL1" s="201"/>
      <c r="FM1" s="201"/>
      <c r="FN1" s="201"/>
      <c r="FO1" s="201"/>
      <c r="FP1" s="201"/>
      <c r="FQ1" s="201"/>
      <c r="FR1" s="201"/>
      <c r="FS1" s="201"/>
      <c r="FT1" s="201"/>
      <c r="FU1" s="201"/>
      <c r="FV1" s="201"/>
      <c r="FW1" s="201"/>
      <c r="FX1" s="201"/>
      <c r="FY1" s="201"/>
      <c r="FZ1" s="201"/>
      <c r="GA1" s="201"/>
      <c r="GB1" s="201"/>
      <c r="GC1" s="201"/>
      <c r="GD1" s="201"/>
      <c r="GE1" s="201"/>
      <c r="GF1" s="201"/>
      <c r="GG1" s="201"/>
      <c r="GH1" s="201"/>
      <c r="GI1" s="201"/>
      <c r="GJ1" s="201"/>
      <c r="GK1" s="201"/>
      <c r="GL1" s="201"/>
      <c r="GM1" s="201"/>
      <c r="GN1" s="201"/>
      <c r="GO1" s="201"/>
      <c r="GP1" s="201"/>
      <c r="GQ1" s="201"/>
      <c r="GR1" s="201"/>
      <c r="GS1" s="201"/>
      <c r="GT1" s="201"/>
      <c r="GU1" s="201"/>
      <c r="GV1" s="173"/>
      <c r="GW1" s="173"/>
      <c r="GX1" s="173"/>
    </row>
    <row r="2" spans="1:206" ht="14.65" thickBot="1">
      <c r="A2" s="173"/>
      <c r="B2" s="398" t="s">
        <v>499</v>
      </c>
      <c r="C2" s="398"/>
      <c r="D2" s="398"/>
      <c r="E2" s="398"/>
      <c r="F2" s="399" t="s">
        <v>498</v>
      </c>
      <c r="G2" s="400"/>
      <c r="H2" s="401"/>
      <c r="I2" s="402" t="s">
        <v>5</v>
      </c>
      <c r="J2" s="402"/>
      <c r="K2" s="402"/>
      <c r="L2" s="371" t="s">
        <v>497</v>
      </c>
      <c r="M2" s="370"/>
      <c r="N2" s="370"/>
      <c r="O2" s="370"/>
      <c r="P2" s="403" t="s">
        <v>6</v>
      </c>
      <c r="Q2" s="404"/>
      <c r="R2" s="404"/>
      <c r="S2" s="405"/>
      <c r="T2" s="406" t="s">
        <v>496</v>
      </c>
      <c r="U2" s="407"/>
      <c r="V2" s="408"/>
      <c r="W2" s="173"/>
      <c r="X2" s="369" t="s">
        <v>495</v>
      </c>
      <c r="Y2" s="200" t="s">
        <v>494</v>
      </c>
      <c r="Z2" s="173"/>
      <c r="AA2" s="173"/>
      <c r="AB2" s="173"/>
      <c r="AC2" s="173"/>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c r="BJ2" s="201"/>
      <c r="BK2" s="201"/>
      <c r="BL2" s="201"/>
      <c r="BM2" s="201"/>
      <c r="BN2" s="201"/>
      <c r="BO2" s="201"/>
      <c r="BP2" s="201"/>
      <c r="BQ2" s="201"/>
      <c r="BR2" s="201"/>
      <c r="BS2" s="201"/>
      <c r="BT2" s="201"/>
      <c r="BU2" s="201"/>
      <c r="BV2" s="201"/>
      <c r="BW2" s="201"/>
      <c r="BX2" s="201"/>
      <c r="BY2" s="201"/>
      <c r="BZ2" s="201"/>
      <c r="CA2" s="201"/>
      <c r="CB2" s="201"/>
      <c r="CC2" s="201"/>
      <c r="CD2" s="201"/>
      <c r="CE2" s="201"/>
      <c r="CF2" s="201"/>
      <c r="CG2" s="201"/>
      <c r="CH2" s="201"/>
      <c r="CI2" s="201"/>
      <c r="CJ2" s="201"/>
      <c r="CK2" s="201"/>
      <c r="CL2" s="201"/>
      <c r="CM2" s="201"/>
      <c r="CN2" s="201"/>
      <c r="CO2" s="201"/>
      <c r="CP2" s="201"/>
      <c r="CQ2" s="201"/>
      <c r="CR2" s="201"/>
      <c r="CS2" s="201"/>
      <c r="CT2" s="201"/>
      <c r="CU2" s="201"/>
      <c r="CV2" s="201"/>
      <c r="CW2" s="201"/>
      <c r="CX2" s="201"/>
      <c r="CY2" s="201"/>
      <c r="CZ2" s="201"/>
      <c r="DA2" s="201"/>
      <c r="DB2" s="201"/>
      <c r="DC2" s="201"/>
      <c r="DD2" s="201"/>
      <c r="DE2" s="201"/>
      <c r="DF2" s="201"/>
      <c r="DG2" s="201"/>
      <c r="DH2" s="201"/>
      <c r="DI2" s="201"/>
      <c r="DJ2" s="201"/>
      <c r="DK2" s="201"/>
      <c r="DL2" s="201"/>
      <c r="DM2" s="201"/>
      <c r="DN2" s="201"/>
      <c r="DO2" s="201"/>
      <c r="DP2" s="201"/>
      <c r="DQ2" s="201"/>
      <c r="DR2" s="201"/>
      <c r="DS2" s="201"/>
      <c r="DT2" s="201"/>
      <c r="DU2" s="201"/>
      <c r="DV2" s="201"/>
      <c r="DW2" s="201"/>
      <c r="DX2" s="201"/>
      <c r="DY2" s="201"/>
      <c r="DZ2" s="201"/>
      <c r="EA2" s="201"/>
      <c r="EB2" s="201"/>
      <c r="EC2" s="201"/>
      <c r="ED2" s="201"/>
      <c r="EE2" s="201"/>
      <c r="EF2" s="201"/>
      <c r="EG2" s="201"/>
      <c r="EH2" s="201"/>
      <c r="EI2" s="201"/>
      <c r="EJ2" s="201"/>
      <c r="EK2" s="201"/>
      <c r="EL2" s="201"/>
      <c r="EM2" s="201"/>
      <c r="EN2" s="201"/>
      <c r="EO2" s="201"/>
      <c r="EP2" s="201"/>
      <c r="EQ2" s="201"/>
      <c r="ER2" s="201"/>
      <c r="ES2" s="201"/>
      <c r="ET2" s="201"/>
      <c r="EU2" s="201"/>
      <c r="EV2" s="201"/>
      <c r="EW2" s="201"/>
      <c r="EX2" s="201"/>
      <c r="EY2" s="201"/>
      <c r="EZ2" s="201"/>
      <c r="FA2" s="201"/>
      <c r="FB2" s="201"/>
      <c r="FC2" s="201"/>
      <c r="FD2" s="201"/>
      <c r="FE2" s="201"/>
      <c r="FF2" s="201"/>
      <c r="FG2" s="201"/>
      <c r="FH2" s="201"/>
      <c r="FI2" s="201"/>
      <c r="FJ2" s="201"/>
      <c r="FK2" s="201"/>
      <c r="FL2" s="201"/>
      <c r="FM2" s="201"/>
      <c r="FN2" s="201"/>
      <c r="FO2" s="201"/>
      <c r="FP2" s="201"/>
      <c r="FQ2" s="201"/>
      <c r="FR2" s="201"/>
      <c r="FS2" s="201"/>
      <c r="FT2" s="201"/>
      <c r="FU2" s="201"/>
      <c r="FV2" s="201"/>
      <c r="FW2" s="201"/>
      <c r="FX2" s="201"/>
      <c r="FY2" s="201"/>
      <c r="FZ2" s="201"/>
      <c r="GA2" s="201"/>
      <c r="GB2" s="201"/>
      <c r="GC2" s="201"/>
      <c r="GD2" s="201"/>
      <c r="GE2" s="201"/>
      <c r="GF2" s="201"/>
      <c r="GG2" s="201"/>
      <c r="GH2" s="201"/>
      <c r="GI2" s="201"/>
      <c r="GJ2" s="201"/>
      <c r="GK2" s="201"/>
      <c r="GL2" s="201"/>
      <c r="GM2" s="201"/>
      <c r="GN2" s="201"/>
      <c r="GO2" s="201"/>
      <c r="GP2" s="201"/>
      <c r="GQ2" s="201"/>
      <c r="GR2" s="201"/>
      <c r="GS2" s="201"/>
      <c r="GT2" s="201"/>
      <c r="GU2" s="201"/>
      <c r="GV2" s="173"/>
      <c r="GW2" s="173"/>
      <c r="GX2" s="173"/>
    </row>
    <row r="3" spans="1:206" ht="13.15" thickBot="1">
      <c r="A3" s="173"/>
      <c r="B3" s="412" t="s">
        <v>493</v>
      </c>
      <c r="C3" s="413"/>
      <c r="D3" s="413"/>
      <c r="E3" s="413"/>
      <c r="F3" s="413"/>
      <c r="G3" s="413"/>
      <c r="H3" s="413"/>
      <c r="I3" s="413"/>
      <c r="J3" s="413"/>
      <c r="K3" s="414"/>
      <c r="L3" s="415" t="s">
        <v>492</v>
      </c>
      <c r="M3" s="416"/>
      <c r="N3" s="416"/>
      <c r="O3" s="416"/>
      <c r="P3" s="416"/>
      <c r="Q3" s="416"/>
      <c r="R3" s="416"/>
      <c r="S3" s="416"/>
      <c r="T3" s="416"/>
      <c r="U3" s="416"/>
      <c r="V3" s="416"/>
      <c r="W3" s="417"/>
      <c r="X3" s="368"/>
      <c r="Y3" s="200" t="s">
        <v>491</v>
      </c>
      <c r="Z3" s="173"/>
      <c r="AA3" s="173"/>
      <c r="AB3" s="173"/>
      <c r="AC3" s="173"/>
      <c r="AD3" s="201"/>
      <c r="AE3" s="201"/>
      <c r="AF3" s="201"/>
      <c r="AG3" s="201"/>
      <c r="AH3" s="201"/>
      <c r="AI3" s="201"/>
      <c r="AJ3" s="201"/>
      <c r="AK3" s="201"/>
      <c r="AL3" s="201"/>
      <c r="AM3" s="201"/>
      <c r="AN3" s="201"/>
      <c r="AO3" s="201"/>
      <c r="AP3" s="201"/>
      <c r="AQ3" s="201"/>
      <c r="AR3" s="201"/>
      <c r="AS3" s="201"/>
      <c r="AT3" s="201"/>
      <c r="AU3" s="201"/>
      <c r="AV3" s="201"/>
      <c r="AW3" s="201"/>
      <c r="AX3" s="201"/>
      <c r="AY3" s="201"/>
      <c r="AZ3" s="201"/>
      <c r="BA3" s="201"/>
      <c r="BB3" s="201"/>
      <c r="BC3" s="201"/>
      <c r="BD3" s="201"/>
      <c r="BE3" s="201"/>
      <c r="BF3" s="201"/>
      <c r="BG3" s="201"/>
      <c r="BH3" s="201"/>
      <c r="BI3" s="201"/>
      <c r="BJ3" s="201"/>
      <c r="BK3" s="201"/>
      <c r="BL3" s="201"/>
      <c r="BM3" s="201"/>
      <c r="BN3" s="201"/>
      <c r="BO3" s="201"/>
      <c r="BP3" s="201"/>
      <c r="BQ3" s="201"/>
      <c r="BR3" s="201"/>
      <c r="BS3" s="201"/>
      <c r="BT3" s="201"/>
      <c r="BU3" s="201"/>
      <c r="BV3" s="201"/>
      <c r="BW3" s="201"/>
      <c r="BX3" s="201"/>
      <c r="BY3" s="201"/>
      <c r="BZ3" s="201"/>
      <c r="CA3" s="201"/>
      <c r="CB3" s="201"/>
      <c r="CC3" s="201"/>
      <c r="CD3" s="201"/>
      <c r="CE3" s="201"/>
      <c r="CF3" s="201"/>
      <c r="CG3" s="201"/>
      <c r="CH3" s="201"/>
      <c r="CI3" s="201"/>
      <c r="CJ3" s="201"/>
      <c r="CK3" s="201"/>
      <c r="CL3" s="201"/>
      <c r="CM3" s="201"/>
      <c r="CN3" s="201"/>
      <c r="CO3" s="201"/>
      <c r="CP3" s="201"/>
      <c r="CQ3" s="201"/>
      <c r="CR3" s="201"/>
      <c r="CS3" s="201"/>
      <c r="CT3" s="201"/>
      <c r="CU3" s="201"/>
      <c r="CV3" s="201"/>
      <c r="CW3" s="201"/>
      <c r="CX3" s="201"/>
      <c r="CY3" s="201"/>
      <c r="CZ3" s="201"/>
      <c r="DA3" s="201"/>
      <c r="DB3" s="201"/>
      <c r="DC3" s="201"/>
      <c r="DD3" s="201"/>
      <c r="DE3" s="201"/>
      <c r="DF3" s="201"/>
      <c r="DG3" s="201"/>
      <c r="DH3" s="201"/>
      <c r="DI3" s="201"/>
      <c r="DJ3" s="201"/>
      <c r="DK3" s="201"/>
      <c r="DL3" s="201"/>
      <c r="DM3" s="201"/>
      <c r="DN3" s="201"/>
      <c r="DO3" s="201"/>
      <c r="DP3" s="201"/>
      <c r="DQ3" s="201"/>
      <c r="DR3" s="201"/>
      <c r="DS3" s="201"/>
      <c r="DT3" s="201"/>
      <c r="DU3" s="201"/>
      <c r="DV3" s="201"/>
      <c r="DW3" s="201"/>
      <c r="DX3" s="201"/>
      <c r="DY3" s="201"/>
      <c r="DZ3" s="201"/>
      <c r="EA3" s="201"/>
      <c r="EB3" s="201"/>
      <c r="EC3" s="201"/>
      <c r="ED3" s="201"/>
      <c r="EE3" s="201"/>
      <c r="EF3" s="201"/>
      <c r="EG3" s="201"/>
      <c r="EH3" s="201"/>
      <c r="EI3" s="201"/>
      <c r="EJ3" s="201"/>
      <c r="EK3" s="201"/>
      <c r="EL3" s="201"/>
      <c r="EM3" s="201"/>
      <c r="EN3" s="201"/>
      <c r="EO3" s="201"/>
      <c r="EP3" s="201"/>
      <c r="EQ3" s="201"/>
      <c r="ER3" s="201"/>
      <c r="ES3" s="201"/>
      <c r="ET3" s="201"/>
      <c r="EU3" s="201"/>
      <c r="EV3" s="201"/>
      <c r="EW3" s="201"/>
      <c r="EX3" s="201"/>
      <c r="EY3" s="201"/>
      <c r="EZ3" s="201"/>
      <c r="FA3" s="201"/>
      <c r="FB3" s="201"/>
      <c r="FC3" s="201"/>
      <c r="FD3" s="201"/>
      <c r="FE3" s="201"/>
      <c r="FF3" s="201"/>
      <c r="FG3" s="201"/>
      <c r="FH3" s="201"/>
      <c r="FI3" s="201"/>
      <c r="FJ3" s="201"/>
      <c r="FK3" s="201"/>
      <c r="FL3" s="201"/>
      <c r="FM3" s="201"/>
      <c r="FN3" s="201"/>
      <c r="FO3" s="201"/>
      <c r="FP3" s="201"/>
      <c r="FQ3" s="201"/>
      <c r="FR3" s="201"/>
      <c r="FS3" s="201"/>
      <c r="FT3" s="201"/>
      <c r="FU3" s="201"/>
      <c r="FV3" s="201"/>
      <c r="FW3" s="201"/>
      <c r="FX3" s="201"/>
      <c r="FY3" s="201"/>
      <c r="FZ3" s="201"/>
      <c r="GA3" s="201"/>
      <c r="GB3" s="201"/>
      <c r="GC3" s="201"/>
      <c r="GD3" s="201"/>
      <c r="GE3" s="201"/>
      <c r="GF3" s="201"/>
      <c r="GG3" s="201"/>
      <c r="GH3" s="201"/>
      <c r="GI3" s="201"/>
      <c r="GJ3" s="201"/>
      <c r="GK3" s="201"/>
      <c r="GL3" s="201"/>
      <c r="GM3" s="201"/>
      <c r="GN3" s="201"/>
      <c r="GO3" s="201"/>
      <c r="GP3" s="201"/>
      <c r="GQ3" s="201"/>
      <c r="GR3" s="201"/>
      <c r="GS3" s="201"/>
      <c r="GT3" s="201"/>
      <c r="GU3" s="201"/>
      <c r="GV3" s="173"/>
      <c r="GW3" s="173"/>
      <c r="GX3" s="173"/>
    </row>
    <row r="4" spans="1:206" ht="13.15" thickBot="1">
      <c r="A4" s="173"/>
      <c r="B4" s="412" t="s">
        <v>490</v>
      </c>
      <c r="C4" s="413"/>
      <c r="D4" s="413"/>
      <c r="E4" s="413"/>
      <c r="F4" s="413"/>
      <c r="G4" s="413"/>
      <c r="H4" s="413"/>
      <c r="I4" s="413"/>
      <c r="J4" s="413"/>
      <c r="K4" s="414"/>
      <c r="L4" s="415" t="s">
        <v>489</v>
      </c>
      <c r="M4" s="416"/>
      <c r="N4" s="416"/>
      <c r="O4" s="416"/>
      <c r="P4" s="416"/>
      <c r="Q4" s="416"/>
      <c r="R4" s="416"/>
      <c r="S4" s="416"/>
      <c r="T4" s="416"/>
      <c r="U4" s="416"/>
      <c r="V4" s="416"/>
      <c r="W4" s="417"/>
      <c r="X4" s="173"/>
      <c r="Y4" s="173"/>
      <c r="Z4" s="173"/>
      <c r="AA4" s="173"/>
      <c r="AB4" s="173"/>
      <c r="AC4" s="173"/>
      <c r="AD4" s="201"/>
      <c r="AE4" s="201"/>
      <c r="AF4" s="201"/>
      <c r="AG4" s="201"/>
      <c r="AH4" s="201"/>
      <c r="AI4" s="201"/>
      <c r="AJ4" s="201"/>
      <c r="AK4" s="201"/>
      <c r="AL4" s="201"/>
      <c r="AM4" s="201"/>
      <c r="AN4" s="201"/>
      <c r="AO4" s="201"/>
      <c r="AP4" s="201"/>
      <c r="AQ4" s="201"/>
      <c r="AR4" s="201"/>
      <c r="AS4" s="201"/>
      <c r="AT4" s="201"/>
      <c r="AU4" s="201"/>
      <c r="AV4" s="201"/>
      <c r="AW4" s="201"/>
      <c r="AX4" s="201"/>
      <c r="AY4" s="201"/>
      <c r="AZ4" s="201"/>
      <c r="BA4" s="201"/>
      <c r="BB4" s="201"/>
      <c r="BC4" s="201"/>
      <c r="BD4" s="201"/>
      <c r="BE4" s="201"/>
      <c r="BF4" s="201"/>
      <c r="BG4" s="201"/>
      <c r="BH4" s="201"/>
      <c r="BI4" s="201"/>
      <c r="BJ4" s="201"/>
      <c r="BK4" s="201"/>
      <c r="BL4" s="201"/>
      <c r="BM4" s="201"/>
      <c r="BN4" s="201"/>
      <c r="BO4" s="201"/>
      <c r="BP4" s="201"/>
      <c r="BQ4" s="201"/>
      <c r="BR4" s="201"/>
      <c r="BS4" s="201"/>
      <c r="BT4" s="201"/>
      <c r="BU4" s="201"/>
      <c r="BV4" s="201"/>
      <c r="BW4" s="201"/>
      <c r="BX4" s="201"/>
      <c r="BY4" s="201"/>
      <c r="BZ4" s="201"/>
      <c r="CA4" s="201"/>
      <c r="CB4" s="201"/>
      <c r="CC4" s="201"/>
      <c r="CD4" s="201"/>
      <c r="CE4" s="201"/>
      <c r="CF4" s="201"/>
      <c r="CG4" s="201"/>
      <c r="CH4" s="201"/>
      <c r="CI4" s="201"/>
      <c r="CJ4" s="201"/>
      <c r="CK4" s="201"/>
      <c r="CL4" s="201"/>
      <c r="CM4" s="201"/>
      <c r="CN4" s="201"/>
      <c r="CO4" s="201"/>
      <c r="CP4" s="201"/>
      <c r="CQ4" s="201"/>
      <c r="CR4" s="201"/>
      <c r="CS4" s="201"/>
      <c r="CT4" s="201"/>
      <c r="CU4" s="201"/>
      <c r="CV4" s="201"/>
      <c r="CW4" s="201"/>
      <c r="CX4" s="201"/>
      <c r="CY4" s="201"/>
      <c r="CZ4" s="201"/>
      <c r="DA4" s="201"/>
      <c r="DB4" s="201"/>
      <c r="DC4" s="201"/>
      <c r="DD4" s="201"/>
      <c r="DE4" s="201"/>
      <c r="DF4" s="201"/>
      <c r="DG4" s="201"/>
      <c r="DH4" s="201"/>
      <c r="DI4" s="201"/>
      <c r="DJ4" s="201"/>
      <c r="DK4" s="201"/>
      <c r="DL4" s="201"/>
      <c r="DM4" s="201"/>
      <c r="DN4" s="201"/>
      <c r="DO4" s="201"/>
      <c r="DP4" s="201"/>
      <c r="DQ4" s="201"/>
      <c r="DR4" s="201"/>
      <c r="DS4" s="201"/>
      <c r="DT4" s="201"/>
      <c r="DU4" s="201"/>
      <c r="DV4" s="201"/>
      <c r="DW4" s="201"/>
      <c r="DX4" s="201"/>
      <c r="DY4" s="201"/>
      <c r="DZ4" s="201"/>
      <c r="EA4" s="201"/>
      <c r="EB4" s="201"/>
      <c r="EC4" s="201"/>
      <c r="ED4" s="201"/>
      <c r="EE4" s="201"/>
      <c r="EF4" s="201"/>
      <c r="EG4" s="201"/>
      <c r="EH4" s="201"/>
      <c r="EI4" s="201"/>
      <c r="EJ4" s="201"/>
      <c r="EK4" s="201"/>
      <c r="EL4" s="201"/>
      <c r="EM4" s="201"/>
      <c r="EN4" s="201"/>
      <c r="EO4" s="201"/>
      <c r="EP4" s="201"/>
      <c r="EQ4" s="201"/>
      <c r="ER4" s="201"/>
      <c r="ES4" s="201"/>
      <c r="ET4" s="201"/>
      <c r="EU4" s="201"/>
      <c r="EV4" s="201"/>
      <c r="EW4" s="201"/>
      <c r="EX4" s="201"/>
      <c r="EY4" s="201"/>
      <c r="EZ4" s="201"/>
      <c r="FA4" s="201"/>
      <c r="FB4" s="201"/>
      <c r="FC4" s="201"/>
      <c r="FD4" s="201"/>
      <c r="FE4" s="201"/>
      <c r="FF4" s="201"/>
      <c r="FG4" s="201"/>
      <c r="FH4" s="201"/>
      <c r="FI4" s="201"/>
      <c r="FJ4" s="201"/>
      <c r="FK4" s="201"/>
      <c r="FL4" s="201"/>
      <c r="FM4" s="201"/>
      <c r="FN4" s="201"/>
      <c r="FO4" s="201"/>
      <c r="FP4" s="201"/>
      <c r="FQ4" s="201"/>
      <c r="FR4" s="201"/>
      <c r="FS4" s="201"/>
      <c r="FT4" s="201"/>
      <c r="FU4" s="201"/>
      <c r="FV4" s="201"/>
      <c r="FW4" s="201"/>
      <c r="FX4" s="201"/>
      <c r="FY4" s="201"/>
      <c r="FZ4" s="201"/>
      <c r="GA4" s="201"/>
      <c r="GB4" s="201"/>
      <c r="GC4" s="201"/>
      <c r="GD4" s="201"/>
      <c r="GE4" s="201"/>
      <c r="GF4" s="201"/>
      <c r="GG4" s="201"/>
      <c r="GH4" s="201"/>
      <c r="GI4" s="201"/>
      <c r="GJ4" s="201"/>
      <c r="GK4" s="201"/>
      <c r="GL4" s="201"/>
      <c r="GM4" s="201"/>
      <c r="GN4" s="201"/>
      <c r="GO4" s="201"/>
      <c r="GP4" s="201"/>
      <c r="GQ4" s="201"/>
      <c r="GR4" s="201"/>
      <c r="GS4" s="201"/>
      <c r="GT4" s="201"/>
      <c r="GU4" s="201"/>
      <c r="GV4" s="173"/>
      <c r="GW4" s="173"/>
      <c r="GX4" s="173"/>
    </row>
    <row r="5" spans="1:206" ht="13.15" thickBot="1">
      <c r="A5" s="173"/>
      <c r="B5" s="177"/>
      <c r="C5" s="177"/>
      <c r="D5" s="175"/>
      <c r="E5" s="175"/>
      <c r="F5" s="173"/>
      <c r="G5" s="173"/>
      <c r="H5" s="173"/>
      <c r="I5" s="173"/>
      <c r="J5" s="173"/>
      <c r="K5" s="173"/>
      <c r="L5" s="173"/>
      <c r="M5" s="173"/>
      <c r="N5" s="173"/>
      <c r="O5" s="175"/>
      <c r="P5" s="175"/>
      <c r="Q5" s="175"/>
      <c r="R5" s="175"/>
      <c r="S5" s="175"/>
      <c r="T5" s="175"/>
      <c r="U5" s="175"/>
      <c r="V5" s="175"/>
      <c r="W5" s="175"/>
      <c r="X5" s="175"/>
      <c r="Y5" s="175"/>
      <c r="Z5" s="173"/>
      <c r="AA5" s="175"/>
      <c r="AB5" s="173"/>
      <c r="AC5" s="173"/>
      <c r="AD5" s="201"/>
      <c r="AE5" s="201"/>
      <c r="AF5" s="201"/>
      <c r="AG5" s="201"/>
      <c r="AH5" s="201"/>
      <c r="AI5" s="201"/>
      <c r="AJ5" s="201"/>
      <c r="AK5" s="201"/>
      <c r="AL5" s="201"/>
      <c r="AM5" s="201"/>
      <c r="AN5" s="201"/>
      <c r="AO5" s="201"/>
      <c r="AP5" s="201"/>
      <c r="AQ5" s="201"/>
      <c r="AR5" s="201"/>
      <c r="AS5" s="201"/>
      <c r="AT5" s="201"/>
      <c r="AU5" s="201"/>
      <c r="AV5" s="201"/>
      <c r="AW5" s="201"/>
      <c r="AX5" s="201"/>
      <c r="AY5" s="201"/>
      <c r="AZ5" s="201"/>
      <c r="BA5" s="201"/>
      <c r="BB5" s="201"/>
      <c r="BC5" s="201"/>
      <c r="BD5" s="201"/>
      <c r="BE5" s="201"/>
      <c r="BF5" s="201"/>
      <c r="BG5" s="201"/>
      <c r="BH5" s="201"/>
      <c r="BI5" s="201"/>
      <c r="BJ5" s="201"/>
      <c r="BK5" s="201"/>
      <c r="BL5" s="201"/>
      <c r="BM5" s="201"/>
      <c r="BN5" s="201"/>
      <c r="BO5" s="201"/>
      <c r="BP5" s="201"/>
      <c r="BQ5" s="201"/>
      <c r="BR5" s="201"/>
      <c r="BS5" s="201"/>
      <c r="BT5" s="201"/>
      <c r="BU5" s="201"/>
      <c r="BV5" s="201"/>
      <c r="BW5" s="201"/>
      <c r="BX5" s="201"/>
      <c r="BY5" s="201"/>
      <c r="BZ5" s="201"/>
      <c r="CA5" s="201"/>
      <c r="CB5" s="201"/>
      <c r="CC5" s="201"/>
      <c r="CD5" s="201"/>
      <c r="CE5" s="201"/>
      <c r="CF5" s="201"/>
      <c r="CG5" s="201"/>
      <c r="CH5" s="201"/>
      <c r="CI5" s="201"/>
      <c r="CJ5" s="201"/>
      <c r="CK5" s="201"/>
      <c r="CL5" s="201"/>
      <c r="CM5" s="201"/>
      <c r="CN5" s="201"/>
      <c r="CO5" s="201"/>
      <c r="CP5" s="201"/>
      <c r="CQ5" s="201"/>
      <c r="CR5" s="201"/>
      <c r="CS5" s="201"/>
      <c r="CT5" s="201"/>
      <c r="CU5" s="201"/>
      <c r="CV5" s="201"/>
      <c r="CW5" s="201"/>
      <c r="CX5" s="201"/>
      <c r="CY5" s="201"/>
      <c r="CZ5" s="201"/>
      <c r="DA5" s="201"/>
      <c r="DB5" s="201"/>
      <c r="DC5" s="201"/>
      <c r="DD5" s="201"/>
      <c r="DE5" s="201"/>
      <c r="DF5" s="201"/>
      <c r="DG5" s="201"/>
      <c r="DH5" s="201"/>
      <c r="DI5" s="201"/>
      <c r="DJ5" s="201"/>
      <c r="DK5" s="201"/>
      <c r="DL5" s="201"/>
      <c r="DM5" s="201"/>
      <c r="DN5" s="201"/>
      <c r="DO5" s="201"/>
      <c r="DP5" s="201"/>
      <c r="DQ5" s="201"/>
      <c r="DR5" s="201"/>
      <c r="DS5" s="201"/>
      <c r="DT5" s="201"/>
      <c r="DU5" s="201"/>
      <c r="DV5" s="201"/>
      <c r="DW5" s="201"/>
      <c r="DX5" s="201"/>
      <c r="DY5" s="201"/>
      <c r="DZ5" s="201"/>
      <c r="EA5" s="201"/>
      <c r="EB5" s="201"/>
      <c r="EC5" s="201"/>
      <c r="ED5" s="201"/>
      <c r="EE5" s="201"/>
      <c r="EF5" s="201"/>
      <c r="EG5" s="201"/>
      <c r="EH5" s="201"/>
      <c r="EI5" s="201"/>
      <c r="EJ5" s="201"/>
      <c r="EK5" s="201"/>
      <c r="EL5" s="201"/>
      <c r="EM5" s="201"/>
      <c r="EN5" s="201"/>
      <c r="EO5" s="201"/>
      <c r="EP5" s="201"/>
      <c r="EQ5" s="201"/>
      <c r="ER5" s="201"/>
      <c r="ES5" s="201"/>
      <c r="ET5" s="201"/>
      <c r="EU5" s="201"/>
      <c r="EV5" s="201"/>
      <c r="EW5" s="201"/>
      <c r="EX5" s="201"/>
      <c r="EY5" s="201"/>
      <c r="EZ5" s="201"/>
      <c r="FA5" s="201"/>
      <c r="FB5" s="201"/>
      <c r="FC5" s="201"/>
      <c r="FD5" s="201"/>
      <c r="FE5" s="201"/>
      <c r="FF5" s="201"/>
      <c r="FG5" s="201"/>
      <c r="FH5" s="201"/>
      <c r="FI5" s="201"/>
      <c r="FJ5" s="201"/>
      <c r="FK5" s="201"/>
      <c r="FL5" s="201"/>
      <c r="FM5" s="201"/>
      <c r="FN5" s="201"/>
      <c r="FO5" s="201"/>
      <c r="FP5" s="201"/>
      <c r="FQ5" s="201"/>
      <c r="FR5" s="201"/>
      <c r="FS5" s="201"/>
      <c r="FT5" s="201"/>
      <c r="FU5" s="201"/>
      <c r="FV5" s="201"/>
      <c r="FW5" s="201"/>
      <c r="FX5" s="201"/>
      <c r="FY5" s="201"/>
      <c r="FZ5" s="201"/>
      <c r="GA5" s="201"/>
      <c r="GB5" s="201"/>
      <c r="GC5" s="201"/>
      <c r="GD5" s="201"/>
      <c r="GE5" s="201"/>
      <c r="GF5" s="201"/>
      <c r="GG5" s="201"/>
      <c r="GH5" s="201"/>
      <c r="GI5" s="201"/>
      <c r="GJ5" s="201"/>
      <c r="GK5" s="201"/>
      <c r="GL5" s="201"/>
      <c r="GM5" s="201"/>
      <c r="GN5" s="201"/>
      <c r="GO5" s="201"/>
      <c r="GP5" s="201"/>
      <c r="GQ5" s="201"/>
      <c r="GR5" s="201"/>
      <c r="GS5" s="201"/>
      <c r="GT5" s="201"/>
      <c r="GU5" s="201"/>
      <c r="GV5" s="173"/>
      <c r="GW5" s="173"/>
      <c r="GX5" s="173"/>
    </row>
    <row r="6" spans="1:206">
      <c r="A6" s="173"/>
      <c r="B6" s="418" t="s">
        <v>15</v>
      </c>
      <c r="C6" s="419"/>
      <c r="D6" s="419"/>
      <c r="E6" s="419"/>
      <c r="F6" s="419"/>
      <c r="G6" s="419"/>
      <c r="H6" s="419"/>
      <c r="I6" s="419"/>
      <c r="J6" s="419"/>
      <c r="K6" s="419"/>
      <c r="L6" s="419"/>
      <c r="M6" s="419"/>
      <c r="N6" s="419"/>
      <c r="O6" s="420"/>
      <c r="P6" s="421" t="s">
        <v>16</v>
      </c>
      <c r="Q6" s="422"/>
      <c r="R6" s="422"/>
      <c r="S6" s="422"/>
      <c r="T6" s="422"/>
      <c r="U6" s="422"/>
      <c r="V6" s="422"/>
      <c r="W6" s="423" t="s">
        <v>17</v>
      </c>
      <c r="X6" s="424"/>
      <c r="Y6" s="424"/>
      <c r="Z6" s="424"/>
      <c r="AA6" s="424"/>
      <c r="AB6" s="424"/>
      <c r="AC6" s="425"/>
      <c r="AD6" s="394" t="s">
        <v>630</v>
      </c>
      <c r="AE6" s="395"/>
      <c r="AF6" s="395"/>
      <c r="AG6" s="396"/>
      <c r="AH6" s="394" t="s">
        <v>631</v>
      </c>
      <c r="AI6" s="395"/>
      <c r="AJ6" s="395"/>
      <c r="AK6" s="396"/>
      <c r="AL6" s="394" t="s">
        <v>632</v>
      </c>
      <c r="AM6" s="395"/>
      <c r="AN6" s="395"/>
      <c r="AO6" s="396"/>
      <c r="AP6" s="394" t="s">
        <v>633</v>
      </c>
      <c r="AQ6" s="395"/>
      <c r="AR6" s="395"/>
      <c r="AS6" s="396"/>
      <c r="AT6" s="394" t="s">
        <v>634</v>
      </c>
      <c r="AU6" s="395"/>
      <c r="AV6" s="395"/>
      <c r="AW6" s="396"/>
      <c r="AX6" s="394" t="s">
        <v>635</v>
      </c>
      <c r="AY6" s="395"/>
      <c r="AZ6" s="395"/>
      <c r="BA6" s="396"/>
      <c r="BB6" s="394" t="s">
        <v>636</v>
      </c>
      <c r="BC6" s="395"/>
      <c r="BD6" s="395"/>
      <c r="BE6" s="396"/>
      <c r="BF6" s="394" t="s">
        <v>637</v>
      </c>
      <c r="BG6" s="395"/>
      <c r="BH6" s="395"/>
      <c r="BI6" s="396"/>
      <c r="BJ6" s="394" t="s">
        <v>638</v>
      </c>
      <c r="BK6" s="395"/>
      <c r="BL6" s="395"/>
      <c r="BM6" s="396"/>
      <c r="BN6" s="394" t="s">
        <v>639</v>
      </c>
      <c r="BO6" s="395"/>
      <c r="BP6" s="395"/>
      <c r="BQ6" s="396"/>
      <c r="BR6" s="394" t="s">
        <v>640</v>
      </c>
      <c r="BS6" s="395"/>
      <c r="BT6" s="395"/>
      <c r="BU6" s="396"/>
      <c r="BV6" s="394" t="s">
        <v>641</v>
      </c>
      <c r="BW6" s="395"/>
      <c r="BX6" s="395"/>
      <c r="BY6" s="396"/>
      <c r="BZ6" s="394" t="s">
        <v>642</v>
      </c>
      <c r="CA6" s="395"/>
      <c r="CB6" s="395"/>
      <c r="CC6" s="396"/>
      <c r="CD6" s="394" t="s">
        <v>643</v>
      </c>
      <c r="CE6" s="395"/>
      <c r="CF6" s="395"/>
      <c r="CG6" s="396"/>
      <c r="CH6" s="394" t="s">
        <v>644</v>
      </c>
      <c r="CI6" s="395"/>
      <c r="CJ6" s="395"/>
      <c r="CK6" s="396"/>
      <c r="CL6" s="394" t="s">
        <v>645</v>
      </c>
      <c r="CM6" s="395"/>
      <c r="CN6" s="395"/>
      <c r="CO6" s="396"/>
      <c r="CP6" s="394" t="s">
        <v>646</v>
      </c>
      <c r="CQ6" s="395"/>
      <c r="CR6" s="395"/>
      <c r="CS6" s="396"/>
      <c r="CT6" s="394" t="s">
        <v>647</v>
      </c>
      <c r="CU6" s="395"/>
      <c r="CV6" s="395"/>
      <c r="CW6" s="396"/>
      <c r="CX6" s="394" t="s">
        <v>648</v>
      </c>
      <c r="CY6" s="395"/>
      <c r="CZ6" s="395"/>
      <c r="DA6" s="396"/>
      <c r="DB6" s="394" t="s">
        <v>649</v>
      </c>
      <c r="DC6" s="395"/>
      <c r="DD6" s="395"/>
      <c r="DE6" s="396"/>
      <c r="DF6" s="394" t="s">
        <v>650</v>
      </c>
      <c r="DG6" s="395"/>
      <c r="DH6" s="395"/>
      <c r="DI6" s="396"/>
      <c r="DJ6" s="394" t="s">
        <v>651</v>
      </c>
      <c r="DK6" s="395"/>
      <c r="DL6" s="395"/>
      <c r="DM6" s="396"/>
      <c r="DN6" s="394" t="s">
        <v>652</v>
      </c>
      <c r="DO6" s="395"/>
      <c r="DP6" s="395"/>
      <c r="DQ6" s="396"/>
      <c r="DR6" s="394" t="s">
        <v>653</v>
      </c>
      <c r="DS6" s="395"/>
      <c r="DT6" s="395"/>
      <c r="DU6" s="396"/>
      <c r="DV6" s="394" t="s">
        <v>654</v>
      </c>
      <c r="DW6" s="395"/>
      <c r="DX6" s="395"/>
      <c r="DY6" s="396"/>
      <c r="DZ6" s="394" t="s">
        <v>655</v>
      </c>
      <c r="EA6" s="395"/>
      <c r="EB6" s="395"/>
      <c r="EC6" s="396"/>
      <c r="ED6" s="394" t="s">
        <v>656</v>
      </c>
      <c r="EE6" s="395"/>
      <c r="EF6" s="395"/>
      <c r="EG6" s="396"/>
      <c r="EH6" s="394" t="s">
        <v>657</v>
      </c>
      <c r="EI6" s="395"/>
      <c r="EJ6" s="395"/>
      <c r="EK6" s="396"/>
      <c r="EL6" s="394" t="s">
        <v>658</v>
      </c>
      <c r="EM6" s="395"/>
      <c r="EN6" s="395"/>
      <c r="EO6" s="396"/>
      <c r="EP6" s="394" t="s">
        <v>659</v>
      </c>
      <c r="EQ6" s="395"/>
      <c r="ER6" s="395"/>
      <c r="ES6" s="396"/>
      <c r="ET6" s="394" t="s">
        <v>660</v>
      </c>
      <c r="EU6" s="395"/>
      <c r="EV6" s="395"/>
      <c r="EW6" s="396"/>
      <c r="EX6" s="394" t="s">
        <v>661</v>
      </c>
      <c r="EY6" s="395"/>
      <c r="EZ6" s="395"/>
      <c r="FA6" s="396"/>
      <c r="FB6" s="394" t="s">
        <v>662</v>
      </c>
      <c r="FC6" s="395"/>
      <c r="FD6" s="395"/>
      <c r="FE6" s="396"/>
      <c r="FF6" s="394" t="s">
        <v>663</v>
      </c>
      <c r="FG6" s="395"/>
      <c r="FH6" s="395"/>
      <c r="FI6" s="396"/>
      <c r="FJ6" s="394" t="s">
        <v>664</v>
      </c>
      <c r="FK6" s="395"/>
      <c r="FL6" s="395"/>
      <c r="FM6" s="396"/>
      <c r="FN6" s="394" t="s">
        <v>665</v>
      </c>
      <c r="FO6" s="395"/>
      <c r="FP6" s="395"/>
      <c r="FQ6" s="396"/>
      <c r="FR6" s="394" t="s">
        <v>666</v>
      </c>
      <c r="FS6" s="395"/>
      <c r="FT6" s="395"/>
      <c r="FU6" s="396"/>
      <c r="FV6" s="394" t="s">
        <v>667</v>
      </c>
      <c r="FW6" s="395"/>
      <c r="FX6" s="395"/>
      <c r="FY6" s="396"/>
      <c r="FZ6" s="394" t="s">
        <v>668</v>
      </c>
      <c r="GA6" s="395"/>
      <c r="GB6" s="395"/>
      <c r="GC6" s="396"/>
      <c r="GD6" s="394" t="s">
        <v>669</v>
      </c>
      <c r="GE6" s="395"/>
      <c r="GF6" s="395"/>
      <c r="GG6" s="396"/>
      <c r="GH6" s="394" t="s">
        <v>670</v>
      </c>
      <c r="GI6" s="395"/>
      <c r="GJ6" s="395"/>
      <c r="GK6" s="396"/>
      <c r="GL6" s="394" t="s">
        <v>671</v>
      </c>
      <c r="GM6" s="395"/>
      <c r="GN6" s="395"/>
      <c r="GO6" s="396"/>
      <c r="GP6" s="394" t="s">
        <v>672</v>
      </c>
      <c r="GQ6" s="395"/>
      <c r="GR6" s="395"/>
      <c r="GS6" s="396"/>
      <c r="GT6" s="367"/>
      <c r="GU6" s="367"/>
      <c r="GV6" s="173"/>
      <c r="GW6" s="173"/>
      <c r="GX6" s="173"/>
    </row>
    <row r="7" spans="1:206" ht="77.650000000000006" thickBot="1">
      <c r="A7" s="173"/>
      <c r="B7" s="366" t="s">
        <v>7</v>
      </c>
      <c r="C7" s="409" t="s">
        <v>1</v>
      </c>
      <c r="D7" s="410"/>
      <c r="E7" s="410"/>
      <c r="F7" s="410"/>
      <c r="G7" s="410"/>
      <c r="H7" s="411"/>
      <c r="I7" s="365" t="s">
        <v>9</v>
      </c>
      <c r="J7" s="365" t="s">
        <v>10</v>
      </c>
      <c r="K7" s="363" t="s">
        <v>4</v>
      </c>
      <c r="L7" s="363" t="s">
        <v>18</v>
      </c>
      <c r="M7" s="364" t="s">
        <v>12</v>
      </c>
      <c r="N7" s="363" t="s">
        <v>488</v>
      </c>
      <c r="O7" s="363" t="s">
        <v>0</v>
      </c>
      <c r="P7" s="362" t="s">
        <v>19</v>
      </c>
      <c r="Q7" s="361" t="s">
        <v>487</v>
      </c>
      <c r="R7" s="360" t="s">
        <v>486</v>
      </c>
      <c r="S7" s="359" t="s">
        <v>20</v>
      </c>
      <c r="T7" s="359" t="s">
        <v>21</v>
      </c>
      <c r="U7" s="358" t="s">
        <v>485</v>
      </c>
      <c r="V7" s="357" t="s">
        <v>13</v>
      </c>
      <c r="W7" s="356" t="s">
        <v>8</v>
      </c>
      <c r="X7" s="354" t="s">
        <v>11</v>
      </c>
      <c r="Y7" s="355" t="s">
        <v>2</v>
      </c>
      <c r="Z7" s="355" t="s">
        <v>3</v>
      </c>
      <c r="AA7" s="354" t="s">
        <v>486</v>
      </c>
      <c r="AB7" s="353" t="s">
        <v>485</v>
      </c>
      <c r="AC7" s="352" t="s">
        <v>13</v>
      </c>
      <c r="AD7" s="351" t="str">
        <f>MID(AD6,5,4)&amp;"_in"</f>
        <v>1_in</v>
      </c>
      <c r="AE7" s="350" t="str">
        <f>MID(AD6,5,4)&amp;"_out"</f>
        <v>1_out</v>
      </c>
      <c r="AF7" s="349" t="s">
        <v>484</v>
      </c>
      <c r="AG7" s="348" t="s">
        <v>483</v>
      </c>
      <c r="AH7" s="351" t="str">
        <f>MID(AH6,5,4)&amp;"_in"</f>
        <v>2_in</v>
      </c>
      <c r="AI7" s="350" t="str">
        <f>MID(AH6,5,4)&amp;"_out"</f>
        <v>2_out</v>
      </c>
      <c r="AJ7" s="349" t="s">
        <v>484</v>
      </c>
      <c r="AK7" s="348" t="s">
        <v>483</v>
      </c>
      <c r="AL7" s="351" t="str">
        <f>MID(AL6,5,4)&amp;"_in"</f>
        <v>3_in</v>
      </c>
      <c r="AM7" s="350" t="str">
        <f>MID(AL6,5,4)&amp;"_out"</f>
        <v>3_out</v>
      </c>
      <c r="AN7" s="349" t="s">
        <v>484</v>
      </c>
      <c r="AO7" s="348" t="s">
        <v>483</v>
      </c>
      <c r="AP7" s="351" t="str">
        <f>MID(AP6,5,4)&amp;"_in"</f>
        <v>4_in</v>
      </c>
      <c r="AQ7" s="350" t="str">
        <f>MID(AP6,5,4)&amp;"_out"</f>
        <v>4_out</v>
      </c>
      <c r="AR7" s="349" t="s">
        <v>484</v>
      </c>
      <c r="AS7" s="348" t="s">
        <v>483</v>
      </c>
      <c r="AT7" s="351" t="str">
        <f>MID(AT6,5,4)&amp;"_in"</f>
        <v>5_in</v>
      </c>
      <c r="AU7" s="350" t="str">
        <f>MID(AT6,5,4)&amp;"_out"</f>
        <v>5_out</v>
      </c>
      <c r="AV7" s="349" t="s">
        <v>484</v>
      </c>
      <c r="AW7" s="348" t="s">
        <v>483</v>
      </c>
      <c r="AX7" s="351" t="str">
        <f>MID(AX6,5,4)&amp;"_in"</f>
        <v>6_in</v>
      </c>
      <c r="AY7" s="350" t="str">
        <f>MID(AX6,5,4)&amp;"_out"</f>
        <v>6_out</v>
      </c>
      <c r="AZ7" s="349" t="s">
        <v>484</v>
      </c>
      <c r="BA7" s="348" t="s">
        <v>483</v>
      </c>
      <c r="BB7" s="351" t="str">
        <f>MID(BB6,5,4)&amp;"_in"</f>
        <v>7_in</v>
      </c>
      <c r="BC7" s="350" t="str">
        <f>MID(BB6,5,4)&amp;"_out"</f>
        <v>7_out</v>
      </c>
      <c r="BD7" s="349" t="s">
        <v>484</v>
      </c>
      <c r="BE7" s="348" t="s">
        <v>483</v>
      </c>
      <c r="BF7" s="351" t="str">
        <f>MID(BF6,5,4)&amp;"_in"</f>
        <v>8_in</v>
      </c>
      <c r="BG7" s="350" t="str">
        <f>MID(BF6,5,4)&amp;"_out"</f>
        <v>8_out</v>
      </c>
      <c r="BH7" s="349" t="s">
        <v>484</v>
      </c>
      <c r="BI7" s="348" t="s">
        <v>483</v>
      </c>
      <c r="BJ7" s="351" t="str">
        <f>MID(BJ6,5,4)&amp;"_in"</f>
        <v>9_in</v>
      </c>
      <c r="BK7" s="350" t="str">
        <f>MID(BJ6,5,4)&amp;"_out"</f>
        <v>9_out</v>
      </c>
      <c r="BL7" s="349" t="s">
        <v>484</v>
      </c>
      <c r="BM7" s="348" t="s">
        <v>483</v>
      </c>
      <c r="BN7" s="351" t="str">
        <f>MID(BN6,5,4)&amp;"_in"</f>
        <v>10_in</v>
      </c>
      <c r="BO7" s="350" t="str">
        <f>MID(BN6,5,4)&amp;"_out"</f>
        <v>10_out</v>
      </c>
      <c r="BP7" s="349" t="s">
        <v>484</v>
      </c>
      <c r="BQ7" s="348" t="s">
        <v>483</v>
      </c>
      <c r="BR7" s="351" t="str">
        <f>MID(BR6,5,4)&amp;"_in"</f>
        <v>11_in</v>
      </c>
      <c r="BS7" s="350" t="str">
        <f>MID(BR6,5,4)&amp;"_out"</f>
        <v>11_out</v>
      </c>
      <c r="BT7" s="349" t="s">
        <v>484</v>
      </c>
      <c r="BU7" s="348" t="s">
        <v>483</v>
      </c>
      <c r="BV7" s="351" t="str">
        <f>MID(BV6,5,4)&amp;"_in"</f>
        <v>12_in</v>
      </c>
      <c r="BW7" s="350" t="str">
        <f>MID(BV6,5,4)&amp;"_out"</f>
        <v>12_out</v>
      </c>
      <c r="BX7" s="349" t="s">
        <v>484</v>
      </c>
      <c r="BY7" s="348" t="s">
        <v>483</v>
      </c>
      <c r="BZ7" s="351" t="str">
        <f>MID(BZ6,5,4)&amp;"_in"</f>
        <v>13_in</v>
      </c>
      <c r="CA7" s="350" t="str">
        <f>MID(BZ6,5,4)&amp;"_out"</f>
        <v>13_out</v>
      </c>
      <c r="CB7" s="349" t="s">
        <v>484</v>
      </c>
      <c r="CC7" s="348" t="s">
        <v>483</v>
      </c>
      <c r="CD7" s="351" t="str">
        <f>MID(CD6,5,4)&amp;"_in"</f>
        <v>14_in</v>
      </c>
      <c r="CE7" s="350" t="str">
        <f>MID(CD6,5,4)&amp;"_out"</f>
        <v>14_out</v>
      </c>
      <c r="CF7" s="349" t="s">
        <v>484</v>
      </c>
      <c r="CG7" s="348" t="s">
        <v>483</v>
      </c>
      <c r="CH7" s="351" t="str">
        <f>MID(CH6,5,4)&amp;"_in"</f>
        <v>15_in</v>
      </c>
      <c r="CI7" s="350" t="str">
        <f>MID(CH6,5,4)&amp;"_out"</f>
        <v>15_out</v>
      </c>
      <c r="CJ7" s="349" t="s">
        <v>484</v>
      </c>
      <c r="CK7" s="348" t="s">
        <v>483</v>
      </c>
      <c r="CL7" s="351" t="str">
        <f>MID(CL6,5,4)&amp;"_in"</f>
        <v>16_in</v>
      </c>
      <c r="CM7" s="350" t="str">
        <f>MID(CL6,5,4)&amp;"_out"</f>
        <v>16_out</v>
      </c>
      <c r="CN7" s="349" t="s">
        <v>484</v>
      </c>
      <c r="CO7" s="348" t="s">
        <v>483</v>
      </c>
      <c r="CP7" s="351" t="str">
        <f>MID(CP6,5,4)&amp;"_in"</f>
        <v>17_in</v>
      </c>
      <c r="CQ7" s="350" t="str">
        <f>MID(CP6,5,4)&amp;"_out"</f>
        <v>17_out</v>
      </c>
      <c r="CR7" s="349" t="s">
        <v>484</v>
      </c>
      <c r="CS7" s="348" t="s">
        <v>483</v>
      </c>
      <c r="CT7" s="351" t="str">
        <f>MID(CT6,5,4)&amp;"_in"</f>
        <v>18_in</v>
      </c>
      <c r="CU7" s="350" t="str">
        <f>MID(CT6,5,4)&amp;"_out"</f>
        <v>18_out</v>
      </c>
      <c r="CV7" s="349" t="s">
        <v>484</v>
      </c>
      <c r="CW7" s="348" t="s">
        <v>483</v>
      </c>
      <c r="CX7" s="351" t="str">
        <f>MID(CX6,5,4)&amp;"_in"</f>
        <v>19_in</v>
      </c>
      <c r="CY7" s="350" t="str">
        <f>MID(CX6,5,4)&amp;"_out"</f>
        <v>19_out</v>
      </c>
      <c r="CZ7" s="349" t="s">
        <v>484</v>
      </c>
      <c r="DA7" s="348" t="s">
        <v>483</v>
      </c>
      <c r="DB7" s="351" t="str">
        <f>MID(DB6,5,4)&amp;"_in"</f>
        <v>20_in</v>
      </c>
      <c r="DC7" s="350" t="str">
        <f>MID(DB6,5,4)&amp;"_out"</f>
        <v>20_out</v>
      </c>
      <c r="DD7" s="349" t="s">
        <v>484</v>
      </c>
      <c r="DE7" s="348" t="s">
        <v>483</v>
      </c>
      <c r="DF7" s="351" t="str">
        <f>MID(DF6,5,4)&amp;"_in"</f>
        <v>21_in</v>
      </c>
      <c r="DG7" s="350" t="str">
        <f>MID(DF6,5,4)&amp;"_out"</f>
        <v>21_out</v>
      </c>
      <c r="DH7" s="349" t="s">
        <v>484</v>
      </c>
      <c r="DI7" s="348" t="s">
        <v>483</v>
      </c>
      <c r="DJ7" s="351" t="str">
        <f>MID(DJ6,5,4)&amp;"_in"</f>
        <v>22_in</v>
      </c>
      <c r="DK7" s="350" t="str">
        <f>MID(DJ6,5,4)&amp;"_out"</f>
        <v>22_out</v>
      </c>
      <c r="DL7" s="349" t="s">
        <v>484</v>
      </c>
      <c r="DM7" s="348" t="s">
        <v>483</v>
      </c>
      <c r="DN7" s="351" t="str">
        <f>MID(DN6,5,4)&amp;"_in"</f>
        <v>23_in</v>
      </c>
      <c r="DO7" s="350" t="str">
        <f>MID(DN6,5,4)&amp;"_out"</f>
        <v>23_out</v>
      </c>
      <c r="DP7" s="349" t="s">
        <v>484</v>
      </c>
      <c r="DQ7" s="348" t="s">
        <v>483</v>
      </c>
      <c r="DR7" s="351" t="str">
        <f>MID(DR6,5,4)&amp;"_in"</f>
        <v>24_in</v>
      </c>
      <c r="DS7" s="350" t="str">
        <f>MID(DR6,5,4)&amp;"_out"</f>
        <v>24_out</v>
      </c>
      <c r="DT7" s="349" t="s">
        <v>484</v>
      </c>
      <c r="DU7" s="348" t="s">
        <v>483</v>
      </c>
      <c r="DV7" s="351" t="str">
        <f>MID(DV6,5,4)&amp;"_in"</f>
        <v>25_in</v>
      </c>
      <c r="DW7" s="350" t="str">
        <f>MID(DV6,5,4)&amp;"_out"</f>
        <v>25_out</v>
      </c>
      <c r="DX7" s="349" t="s">
        <v>484</v>
      </c>
      <c r="DY7" s="348" t="s">
        <v>483</v>
      </c>
      <c r="DZ7" s="351" t="str">
        <f>MID(DZ6,5,4)&amp;"_in"</f>
        <v>26_in</v>
      </c>
      <c r="EA7" s="350" t="str">
        <f>MID(DZ6,5,4)&amp;"_out"</f>
        <v>26_out</v>
      </c>
      <c r="EB7" s="349" t="s">
        <v>484</v>
      </c>
      <c r="EC7" s="348" t="s">
        <v>483</v>
      </c>
      <c r="ED7" s="351" t="str">
        <f>MID(ED6,5,4)&amp;"_in"</f>
        <v>27_in</v>
      </c>
      <c r="EE7" s="350" t="str">
        <f>MID(ED6,5,4)&amp;"_out"</f>
        <v>27_out</v>
      </c>
      <c r="EF7" s="349" t="s">
        <v>484</v>
      </c>
      <c r="EG7" s="348" t="s">
        <v>483</v>
      </c>
      <c r="EH7" s="351" t="str">
        <f>MID(EH6,5,4)&amp;"_in"</f>
        <v>28_in</v>
      </c>
      <c r="EI7" s="350" t="str">
        <f>MID(EH6,5,4)&amp;"_out"</f>
        <v>28_out</v>
      </c>
      <c r="EJ7" s="349" t="s">
        <v>484</v>
      </c>
      <c r="EK7" s="348" t="s">
        <v>483</v>
      </c>
      <c r="EL7" s="351" t="str">
        <f>MID(EL6,5,4)&amp;"_in"</f>
        <v>29_in</v>
      </c>
      <c r="EM7" s="350" t="str">
        <f>MID(EL6,5,4)&amp;"_out"</f>
        <v>29_out</v>
      </c>
      <c r="EN7" s="349" t="s">
        <v>484</v>
      </c>
      <c r="EO7" s="348" t="s">
        <v>483</v>
      </c>
      <c r="EP7" s="351" t="str">
        <f>MID(EP6,5,4)&amp;"_in"</f>
        <v>30_in</v>
      </c>
      <c r="EQ7" s="350" t="str">
        <f>MID(EP6,5,4)&amp;"_out"</f>
        <v>30_out</v>
      </c>
      <c r="ER7" s="349" t="s">
        <v>484</v>
      </c>
      <c r="ES7" s="348" t="s">
        <v>483</v>
      </c>
      <c r="ET7" s="351" t="str">
        <f>MID(ET6,5,4)&amp;"_in"</f>
        <v>31_in</v>
      </c>
      <c r="EU7" s="350" t="str">
        <f>MID(ET6,5,4)&amp;"_out"</f>
        <v>31_out</v>
      </c>
      <c r="EV7" s="349" t="s">
        <v>484</v>
      </c>
      <c r="EW7" s="348" t="s">
        <v>483</v>
      </c>
      <c r="EX7" s="351" t="str">
        <f>MID(EX6,5,4)&amp;"_in"</f>
        <v>32_in</v>
      </c>
      <c r="EY7" s="350" t="str">
        <f>MID(EX6,5,4)&amp;"_out"</f>
        <v>32_out</v>
      </c>
      <c r="EZ7" s="349" t="s">
        <v>484</v>
      </c>
      <c r="FA7" s="348" t="s">
        <v>483</v>
      </c>
      <c r="FB7" s="351" t="str">
        <f>MID(FB6,5,4)&amp;"_in"</f>
        <v>33_in</v>
      </c>
      <c r="FC7" s="350" t="str">
        <f>MID(FB6,5,4)&amp;"_out"</f>
        <v>33_out</v>
      </c>
      <c r="FD7" s="349" t="s">
        <v>484</v>
      </c>
      <c r="FE7" s="348" t="s">
        <v>483</v>
      </c>
      <c r="FF7" s="351" t="str">
        <f>MID(FF6,5,4)&amp;"_in"</f>
        <v>34_in</v>
      </c>
      <c r="FG7" s="350" t="str">
        <f>MID(FF6,5,4)&amp;"_out"</f>
        <v>34_out</v>
      </c>
      <c r="FH7" s="349" t="s">
        <v>484</v>
      </c>
      <c r="FI7" s="348" t="s">
        <v>483</v>
      </c>
      <c r="FJ7" s="351" t="str">
        <f>MID(FJ6,5,4)&amp;"_in"</f>
        <v>35_in</v>
      </c>
      <c r="FK7" s="350" t="str">
        <f>MID(FJ6,5,4)&amp;"_out"</f>
        <v>35_out</v>
      </c>
      <c r="FL7" s="349" t="s">
        <v>484</v>
      </c>
      <c r="FM7" s="348" t="s">
        <v>483</v>
      </c>
      <c r="FN7" s="351" t="str">
        <f>MID(FN6,5,4)&amp;"_in"</f>
        <v>36_in</v>
      </c>
      <c r="FO7" s="350" t="str">
        <f>MID(FN6,5,4)&amp;"_out"</f>
        <v>36_out</v>
      </c>
      <c r="FP7" s="349" t="s">
        <v>484</v>
      </c>
      <c r="FQ7" s="348" t="s">
        <v>483</v>
      </c>
      <c r="FR7" s="351" t="str">
        <f>MID(FR6,5,4)&amp;"_in"</f>
        <v>37_in</v>
      </c>
      <c r="FS7" s="350" t="str">
        <f>MID(FR6,5,4)&amp;"_out"</f>
        <v>37_out</v>
      </c>
      <c r="FT7" s="349" t="s">
        <v>484</v>
      </c>
      <c r="FU7" s="348" t="s">
        <v>483</v>
      </c>
      <c r="FV7" s="351" t="str">
        <f>MID(FV6,5,4)&amp;"_in"</f>
        <v>38_in</v>
      </c>
      <c r="FW7" s="350" t="str">
        <f>MID(FV6,5,4)&amp;"_out"</f>
        <v>38_out</v>
      </c>
      <c r="FX7" s="349" t="s">
        <v>484</v>
      </c>
      <c r="FY7" s="348" t="s">
        <v>483</v>
      </c>
      <c r="FZ7" s="351" t="str">
        <f>MID(FZ6,5,4)&amp;"_in"</f>
        <v>39_in</v>
      </c>
      <c r="GA7" s="350" t="str">
        <f>MID(FZ6,5,4)&amp;"_out"</f>
        <v>39_out</v>
      </c>
      <c r="GB7" s="349" t="s">
        <v>484</v>
      </c>
      <c r="GC7" s="348" t="s">
        <v>483</v>
      </c>
      <c r="GD7" s="351" t="str">
        <f>MID(GD6,5,4)&amp;"_in"</f>
        <v>40_in</v>
      </c>
      <c r="GE7" s="350" t="str">
        <f>MID(GD6,5,4)&amp;"_out"</f>
        <v>40_out</v>
      </c>
      <c r="GF7" s="349" t="s">
        <v>484</v>
      </c>
      <c r="GG7" s="348" t="s">
        <v>483</v>
      </c>
      <c r="GH7" s="351" t="str">
        <f>MID(GH6,5,4)&amp;"_in"</f>
        <v>41_in</v>
      </c>
      <c r="GI7" s="350" t="str">
        <f>MID(GH6,5,4)&amp;"_out"</f>
        <v>41_out</v>
      </c>
      <c r="GJ7" s="349" t="s">
        <v>484</v>
      </c>
      <c r="GK7" s="348" t="s">
        <v>483</v>
      </c>
      <c r="GL7" s="351" t="str">
        <f>MID(GL6,5,4)&amp;"_in"</f>
        <v>42_in</v>
      </c>
      <c r="GM7" s="350" t="str">
        <f>MID(GL6,5,4)&amp;"_out"</f>
        <v>42_out</v>
      </c>
      <c r="GN7" s="349" t="s">
        <v>484</v>
      </c>
      <c r="GO7" s="348" t="s">
        <v>483</v>
      </c>
      <c r="GP7" s="351" t="str">
        <f>MID(GP6,5,4)&amp;"_in"</f>
        <v>43_in</v>
      </c>
      <c r="GQ7" s="350" t="str">
        <f>MID(GP6,5,4)&amp;"_out"</f>
        <v>43_out</v>
      </c>
      <c r="GR7" s="349" t="s">
        <v>484</v>
      </c>
      <c r="GS7" s="348" t="s">
        <v>483</v>
      </c>
      <c r="GT7" s="347" t="s">
        <v>482</v>
      </c>
      <c r="GU7" s="347" t="s">
        <v>482</v>
      </c>
      <c r="GV7" s="173"/>
      <c r="GW7" s="173"/>
      <c r="GX7" s="173"/>
    </row>
    <row r="8" spans="1:206" ht="13.15" thickTop="1">
      <c r="A8" s="200" t="s">
        <v>336</v>
      </c>
      <c r="B8" s="346">
        <v>1</v>
      </c>
      <c r="C8" s="345" t="s">
        <v>30</v>
      </c>
      <c r="D8" s="344"/>
      <c r="E8" s="344"/>
      <c r="F8" s="344"/>
      <c r="G8" s="344"/>
      <c r="H8" s="343"/>
      <c r="I8" s="341"/>
      <c r="J8" s="341" t="s">
        <v>336</v>
      </c>
      <c r="K8" s="274"/>
      <c r="L8" s="274"/>
      <c r="M8" s="339" t="s">
        <v>481</v>
      </c>
      <c r="N8" s="274"/>
      <c r="O8" s="340"/>
      <c r="P8" s="342"/>
      <c r="Q8" s="339"/>
      <c r="R8" s="341"/>
      <c r="S8" s="339"/>
      <c r="T8" s="339"/>
      <c r="U8" s="341"/>
      <c r="V8" s="340"/>
      <c r="W8" s="292" t="str">
        <f t="shared" ref="W8:W18" si="0">IF(C8&lt;&gt;"","0",IF(D8&lt;&gt;"","1",IF(E8&lt;&gt;"","2",IF(F8&lt;&gt;"","3",IF(G8&lt;&gt;"","4",IF(H8&lt;&gt;"","5"))))))</f>
        <v>0</v>
      </c>
      <c r="X8" s="275" t="s">
        <v>480</v>
      </c>
      <c r="Y8" s="275"/>
      <c r="Z8" s="275"/>
      <c r="AA8" s="274"/>
      <c r="AB8" s="274" t="s">
        <v>479</v>
      </c>
      <c r="AC8" s="339"/>
      <c r="AD8" s="338"/>
      <c r="AE8" s="337"/>
      <c r="AF8" s="336" t="str">
        <f t="shared" ref="AF8:AF13" si="1">IF($AA8="","",IF(AD8="","",AD8))</f>
        <v/>
      </c>
      <c r="AG8" s="335" t="str">
        <f t="shared" ref="AG8:AG39" si="2">IF(OR(AE$8="判定対象外",AF8="-"),"-",IF(AE8=AF8,"OK","NG"))</f>
        <v>OK</v>
      </c>
      <c r="AH8" s="338"/>
      <c r="AI8" s="337"/>
      <c r="AJ8" s="336" t="str">
        <f t="shared" ref="AJ8:AJ13" si="3">IF($AA8="","",IF(AH8="","",AH8))</f>
        <v/>
      </c>
      <c r="AK8" s="335" t="str">
        <f t="shared" ref="AK8:AK39" si="4">IF(OR(AI$8="判定対象外",AJ8="-"),"-",IF(AI8=AJ8,"OK","NG"))</f>
        <v>OK</v>
      </c>
      <c r="AL8" s="338"/>
      <c r="AM8" s="337"/>
      <c r="AN8" s="336" t="str">
        <f t="shared" ref="AN8:AN13" si="5">IF($AA8="","",IF(AL8="","",AL8))</f>
        <v/>
      </c>
      <c r="AO8" s="335" t="str">
        <f t="shared" ref="AO8:AO39" si="6">IF(OR(AM$8="判定対象外",AN8="-"),"-",IF(AM8=AN8,"OK","NG"))</f>
        <v>OK</v>
      </c>
      <c r="AP8" s="338"/>
      <c r="AQ8" s="337"/>
      <c r="AR8" s="336" t="str">
        <f t="shared" ref="AR8:AR13" si="7">IF($AA8="","",IF(AP8="","",AP8))</f>
        <v/>
      </c>
      <c r="AS8" s="335" t="str">
        <f t="shared" ref="AS8:AS71" si="8">IF(OR(AQ$8="判定対象外",AR8="-"),"-",IF(AQ8=AR8,"OK","NG"))</f>
        <v>OK</v>
      </c>
      <c r="AT8" s="338"/>
      <c r="AU8" s="337"/>
      <c r="AV8" s="336" t="str">
        <f t="shared" ref="AV8:AV13" si="9">IF($AA8="","",IF(AT8="","",AT8))</f>
        <v/>
      </c>
      <c r="AW8" s="335" t="str">
        <f t="shared" ref="AW8:AW71" si="10">IF(OR(AU$8="判定対象外",AV8="-"),"-",IF(AU8=AV8,"OK","NG"))</f>
        <v>OK</v>
      </c>
      <c r="AX8" s="338"/>
      <c r="AY8" s="337"/>
      <c r="AZ8" s="336" t="str">
        <f t="shared" ref="AZ8:AZ13" si="11">IF($AA8="","",IF(AX8="","",AX8))</f>
        <v/>
      </c>
      <c r="BA8" s="335" t="str">
        <f t="shared" ref="BA8:BA71" si="12">IF(OR(AY$8="判定対象外",AZ8="-"),"-",IF(AY8=AZ8,"OK","NG"))</f>
        <v>OK</v>
      </c>
      <c r="BB8" s="338"/>
      <c r="BC8" s="337"/>
      <c r="BD8" s="336" t="str">
        <f t="shared" ref="BD8:BD13" si="13">IF($AA8="","",IF(BB8="","",BB8))</f>
        <v/>
      </c>
      <c r="BE8" s="335" t="str">
        <f t="shared" ref="BE8:BE71" si="14">IF(OR(BC$8="判定対象外",BD8="-"),"-",IF(BC8=BD8,"OK","NG"))</f>
        <v>OK</v>
      </c>
      <c r="BF8" s="338"/>
      <c r="BG8" s="337"/>
      <c r="BH8" s="336" t="str">
        <f t="shared" ref="BH8:BH13" si="15">IF($AA8="","",IF(BF8="","",BF8))</f>
        <v/>
      </c>
      <c r="BI8" s="335" t="str">
        <f t="shared" ref="BI8:BI71" si="16">IF(OR(BG$8="判定対象外",BH8="-"),"-",IF(BG8=BH8,"OK","NG"))</f>
        <v>OK</v>
      </c>
      <c r="BJ8" s="338"/>
      <c r="BK8" s="337"/>
      <c r="BL8" s="336" t="str">
        <f t="shared" ref="BL8:BL13" si="17">IF($AA8="","",IF(BJ8="","",BJ8))</f>
        <v/>
      </c>
      <c r="BM8" s="335" t="str">
        <f t="shared" ref="BM8:BM71" si="18">IF(OR(BK$8="判定対象外",BL8="-"),"-",IF(BK8=BL8,"OK","NG"))</f>
        <v>OK</v>
      </c>
      <c r="BN8" s="338"/>
      <c r="BO8" s="337"/>
      <c r="BP8" s="336" t="str">
        <f t="shared" ref="BP8:BP13" si="19">IF($AA8="","",IF(BN8="","",BN8))</f>
        <v/>
      </c>
      <c r="BQ8" s="335" t="str">
        <f t="shared" ref="BQ8:BQ71" si="20">IF(OR(BO$8="判定対象外",BP8="-"),"-",IF(BO8=BP8,"OK","NG"))</f>
        <v>OK</v>
      </c>
      <c r="BR8" s="338"/>
      <c r="BS8" s="337"/>
      <c r="BT8" s="336" t="str">
        <f t="shared" ref="BT8:BT13" si="21">IF($AA8="","",IF(BR8="","",BR8))</f>
        <v/>
      </c>
      <c r="BU8" s="335" t="str">
        <f t="shared" ref="BU8:BU71" si="22">IF(OR(BS$8="判定対象外",BT8="-"),"-",IF(BS8=BT8,"OK","NG"))</f>
        <v>OK</v>
      </c>
      <c r="BV8" s="338"/>
      <c r="BW8" s="337"/>
      <c r="BX8" s="336" t="str">
        <f t="shared" ref="BX8:BX13" si="23">IF($AA8="","",IF(BV8="","",BV8))</f>
        <v/>
      </c>
      <c r="BY8" s="335" t="str">
        <f t="shared" ref="BY8:BY71" si="24">IF(OR(BW$8="判定対象外",BX8="-"),"-",IF(BW8=BX8,"OK","NG"))</f>
        <v>OK</v>
      </c>
      <c r="BZ8" s="338"/>
      <c r="CA8" s="337"/>
      <c r="CB8" s="336" t="str">
        <f t="shared" ref="CB8:CB13" si="25">IF($AA8="","",IF(BZ8="","",BZ8))</f>
        <v/>
      </c>
      <c r="CC8" s="335" t="str">
        <f t="shared" ref="CC8:CC59" si="26">IF(OR(CA$8="判定対象外",CB8="-"),"-",IF(CA8=CB8,"OK","NG"))</f>
        <v>OK</v>
      </c>
      <c r="CD8" s="338"/>
      <c r="CE8" s="337"/>
      <c r="CF8" s="336" t="str">
        <f t="shared" ref="CF8:CF13" si="27">IF($AA8="","",IF(CD8="","",CD8))</f>
        <v/>
      </c>
      <c r="CG8" s="335" t="str">
        <f t="shared" ref="CG8:CG59" si="28">IF(OR(CE$8="判定対象外",CF8="-"),"-",IF(CE8=CF8,"OK","NG"))</f>
        <v>OK</v>
      </c>
      <c r="CH8" s="338"/>
      <c r="CI8" s="337"/>
      <c r="CJ8" s="336" t="str">
        <f t="shared" ref="CJ8:CJ13" si="29">IF($AA8="","",IF(CH8="","",CH8))</f>
        <v/>
      </c>
      <c r="CK8" s="335" t="str">
        <f t="shared" ref="CK8:CK71" si="30">IF(OR(CI$8="判定対象外",CJ8="-"),"-",IF(CI8=CJ8,"OK","NG"))</f>
        <v>OK</v>
      </c>
      <c r="CL8" s="338"/>
      <c r="CM8" s="337"/>
      <c r="CN8" s="336" t="str">
        <f t="shared" ref="CN8:CN13" si="31">IF($AA8="","",IF(CL8="","",CL8))</f>
        <v/>
      </c>
      <c r="CO8" s="335" t="str">
        <f t="shared" ref="CO8:CO59" si="32">IF(OR(CM$8="判定対象外",CN8="-"),"-",IF(CM8=CN8,"OK","NG"))</f>
        <v>OK</v>
      </c>
      <c r="CP8" s="338"/>
      <c r="CQ8" s="337"/>
      <c r="CR8" s="336" t="str">
        <f t="shared" ref="CR8:CR13" si="33">IF($AA8="","",IF(CP8="","",CP8))</f>
        <v/>
      </c>
      <c r="CS8" s="335" t="str">
        <f t="shared" ref="CS8:CS59" si="34">IF(OR(CQ$8="判定対象外",CR8="-"),"-",IF(CQ8=CR8,"OK","NG"))</f>
        <v>OK</v>
      </c>
      <c r="CT8" s="338"/>
      <c r="CU8" s="337"/>
      <c r="CV8" s="336" t="str">
        <f t="shared" ref="CV8:CV13" si="35">IF($AA8="","",IF(CT8="","",CT8))</f>
        <v/>
      </c>
      <c r="CW8" s="335" t="str">
        <f t="shared" ref="CW8:CW71" si="36">IF(OR(CU$8="判定対象外",CV8="-"),"-",IF(CU8=CV8,"OK","NG"))</f>
        <v>OK</v>
      </c>
      <c r="CX8" s="338"/>
      <c r="CY8" s="337"/>
      <c r="CZ8" s="336" t="str">
        <f t="shared" ref="CZ8:CZ13" si="37">IF($AA8="","",IF(CX8="","",CX8))</f>
        <v/>
      </c>
      <c r="DA8" s="335" t="str">
        <f t="shared" ref="DA8:DA59" si="38">IF(OR(CY$8="判定対象外",CZ8="-"),"-",IF(CY8=CZ8,"OK","NG"))</f>
        <v>OK</v>
      </c>
      <c r="DB8" s="338"/>
      <c r="DC8" s="337"/>
      <c r="DD8" s="336" t="str">
        <f t="shared" ref="DD8:DD13" si="39">IF($AA8="","",IF(DB8="","",DB8))</f>
        <v/>
      </c>
      <c r="DE8" s="335" t="str">
        <f t="shared" ref="DE8:DE59" si="40">IF(OR(DC$8="判定対象外",DD8="-"),"-",IF(DC8=DD8,"OK","NG"))</f>
        <v>OK</v>
      </c>
      <c r="DF8" s="338"/>
      <c r="DG8" s="337"/>
      <c r="DH8" s="336" t="str">
        <f t="shared" ref="DH8:DH13" si="41">IF($AA8="","",IF(DF8="","",DF8))</f>
        <v/>
      </c>
      <c r="DI8" s="335" t="str">
        <f t="shared" ref="DI8:DI71" si="42">IF(OR(DG$8="判定対象外",DH8="-"),"-",IF(DG8=DH8,"OK","NG"))</f>
        <v>OK</v>
      </c>
      <c r="DJ8" s="338"/>
      <c r="DK8" s="337"/>
      <c r="DL8" s="336" t="str">
        <f t="shared" ref="DL8:DL13" si="43">IF($AA8="","",IF(DJ8="","",DJ8))</f>
        <v/>
      </c>
      <c r="DM8" s="335" t="str">
        <f t="shared" ref="DM8:DM59" si="44">IF(OR(DK$8="判定対象外",DL8="-"),"-",IF(DK8=DL8,"OK","NG"))</f>
        <v>OK</v>
      </c>
      <c r="DN8" s="338"/>
      <c r="DO8" s="337"/>
      <c r="DP8" s="336" t="str">
        <f t="shared" ref="DP8:DP13" si="45">IF($AA8="","",IF(DN8="","",DN8))</f>
        <v/>
      </c>
      <c r="DQ8" s="335" t="str">
        <f t="shared" ref="DQ8:DQ59" si="46">IF(OR(DO$8="判定対象外",DP8="-"),"-",IF(DO8=DP8,"OK","NG"))</f>
        <v>OK</v>
      </c>
      <c r="DR8" s="338"/>
      <c r="DS8" s="337"/>
      <c r="DT8" s="336" t="str">
        <f t="shared" ref="DT8:DT13" si="47">IF($AA8="","",IF(DR8="","",DR8))</f>
        <v/>
      </c>
      <c r="DU8" s="335" t="str">
        <f t="shared" ref="DU8:DU71" si="48">IF(OR(DS$8="判定対象外",DT8="-"),"-",IF(DS8=DT8,"OK","NG"))</f>
        <v>OK</v>
      </c>
      <c r="DV8" s="338"/>
      <c r="DW8" s="337"/>
      <c r="DX8" s="336" t="str">
        <f t="shared" ref="DX8:DX13" si="49">IF($AA8="","",IF(DV8="","",DV8))</f>
        <v/>
      </c>
      <c r="DY8" s="335" t="str">
        <f t="shared" ref="DY8:DY59" si="50">IF(OR(DW$8="判定対象外",DX8="-"),"-",IF(DW8=DX8,"OK","NG"))</f>
        <v>OK</v>
      </c>
      <c r="DZ8" s="338"/>
      <c r="EA8" s="337"/>
      <c r="EB8" s="336" t="str">
        <f t="shared" ref="EB8:EB13" si="51">IF($AA8="","",IF(DZ8="","",DZ8))</f>
        <v/>
      </c>
      <c r="EC8" s="335" t="str">
        <f t="shared" ref="EC8:EC59" si="52">IF(OR(EA$8="判定対象外",EB8="-"),"-",IF(EA8=EB8,"OK","NG"))</f>
        <v>OK</v>
      </c>
      <c r="ED8" s="338"/>
      <c r="EE8" s="337"/>
      <c r="EF8" s="336" t="str">
        <f t="shared" ref="EF8:EF13" si="53">IF($AA8="","",IF(ED8="","",ED8))</f>
        <v/>
      </c>
      <c r="EG8" s="335" t="str">
        <f t="shared" ref="EG8:EG71" si="54">IF(OR(EE$8="判定対象外",EF8="-"),"-",IF(EE8=EF8,"OK","NG"))</f>
        <v>OK</v>
      </c>
      <c r="EH8" s="338"/>
      <c r="EI8" s="337"/>
      <c r="EJ8" s="336" t="str">
        <f t="shared" ref="EJ8:EJ13" si="55">IF($AA8="","",IF(EH8="","",EH8))</f>
        <v/>
      </c>
      <c r="EK8" s="335" t="str">
        <f t="shared" ref="EK8:EK59" si="56">IF(OR(EI$8="判定対象外",EJ8="-"),"-",IF(EI8=EJ8,"OK","NG"))</f>
        <v>OK</v>
      </c>
      <c r="EL8" s="338"/>
      <c r="EM8" s="337"/>
      <c r="EN8" s="336" t="str">
        <f t="shared" ref="EN8:EN13" si="57">IF($AA8="","",IF(EL8="","",EL8))</f>
        <v/>
      </c>
      <c r="EO8" s="335" t="str">
        <f t="shared" ref="EO8:EO59" si="58">IF(OR(EM$8="判定対象外",EN8="-"),"-",IF(EM8=EN8,"OK","NG"))</f>
        <v>OK</v>
      </c>
      <c r="EP8" s="338"/>
      <c r="EQ8" s="337"/>
      <c r="ER8" s="336" t="str">
        <f t="shared" ref="ER8:ER13" si="59">IF($AA8="","",IF(EP8="","",EP8))</f>
        <v/>
      </c>
      <c r="ES8" s="335" t="str">
        <f t="shared" ref="ES8:ES71" si="60">IF(OR(EQ$8="判定対象外",ER8="-"),"-",IF(EQ8=ER8,"OK","NG"))</f>
        <v>OK</v>
      </c>
      <c r="ET8" s="338"/>
      <c r="EU8" s="337"/>
      <c r="EV8" s="336" t="str">
        <f t="shared" ref="EV8:EV13" si="61">IF($AA8="","",IF(ET8="","",ET8))</f>
        <v/>
      </c>
      <c r="EW8" s="335" t="str">
        <f t="shared" ref="EW8:EW59" si="62">IF(OR(EU$8="判定対象外",EV8="-"),"-",IF(EU8=EV8,"OK","NG"))</f>
        <v>OK</v>
      </c>
      <c r="EX8" s="338"/>
      <c r="EY8" s="337"/>
      <c r="EZ8" s="336" t="str">
        <f t="shared" ref="EZ8:EZ13" si="63">IF($AA8="","",IF(EX8="","",EX8))</f>
        <v/>
      </c>
      <c r="FA8" s="335" t="str">
        <f t="shared" ref="FA8:FA59" si="64">IF(OR(EY$8="判定対象外",EZ8="-"),"-",IF(EY8=EZ8,"OK","NG"))</f>
        <v>OK</v>
      </c>
      <c r="FB8" s="338"/>
      <c r="FC8" s="337"/>
      <c r="FD8" s="336" t="str">
        <f t="shared" ref="FD8:FD13" si="65">IF($AA8="","",IF(FB8="","",FB8))</f>
        <v/>
      </c>
      <c r="FE8" s="335" t="str">
        <f t="shared" ref="FE8:FE71" si="66">IF(OR(FC$8="判定対象外",FD8="-"),"-",IF(FC8=FD8,"OK","NG"))</f>
        <v>OK</v>
      </c>
      <c r="FF8" s="338"/>
      <c r="FG8" s="337"/>
      <c r="FH8" s="336" t="str">
        <f t="shared" ref="FH8:FH13" si="67">IF($AA8="","",IF(FF8="","",FF8))</f>
        <v/>
      </c>
      <c r="FI8" s="335" t="str">
        <f t="shared" ref="FI8:FI59" si="68">IF(OR(FG$8="判定対象外",FH8="-"),"-",IF(FG8=FH8,"OK","NG"))</f>
        <v>OK</v>
      </c>
      <c r="FJ8" s="338"/>
      <c r="FK8" s="337"/>
      <c r="FL8" s="336" t="str">
        <f t="shared" ref="FL8:FL13" si="69">IF($AA8="","",IF(FJ8="","",FJ8))</f>
        <v/>
      </c>
      <c r="FM8" s="335" t="str">
        <f t="shared" ref="FM8:FM59" si="70">IF(OR(FK$8="判定対象外",FL8="-"),"-",IF(FK8=FL8,"OK","NG"))</f>
        <v>OK</v>
      </c>
      <c r="FN8" s="338"/>
      <c r="FO8" s="337"/>
      <c r="FP8" s="336" t="str">
        <f t="shared" ref="FP8:FP13" si="71">IF($AA8="","",IF(FN8="","",FN8))</f>
        <v/>
      </c>
      <c r="FQ8" s="335" t="str">
        <f t="shared" ref="FQ8:FQ71" si="72">IF(OR(FO$8="判定対象外",FP8="-"),"-",IF(FO8=FP8,"OK","NG"))</f>
        <v>OK</v>
      </c>
      <c r="FR8" s="338"/>
      <c r="FS8" s="337"/>
      <c r="FT8" s="336" t="str">
        <f t="shared" ref="FT8:FT13" si="73">IF($AA8="","",IF(FR8="","",FR8))</f>
        <v/>
      </c>
      <c r="FU8" s="335" t="str">
        <f t="shared" ref="FU8:FU59" si="74">IF(OR(FS$8="判定対象外",FT8="-"),"-",IF(FS8=FT8,"OK","NG"))</f>
        <v>OK</v>
      </c>
      <c r="FV8" s="338"/>
      <c r="FW8" s="337"/>
      <c r="FX8" s="336" t="str">
        <f t="shared" ref="FX8:FX13" si="75">IF($AA8="","",IF(FV8="","",FV8))</f>
        <v/>
      </c>
      <c r="FY8" s="335" t="str">
        <f t="shared" ref="FY8:FY59" si="76">IF(OR(FW$8="判定対象外",FX8="-"),"-",IF(FW8=FX8,"OK","NG"))</f>
        <v>OK</v>
      </c>
      <c r="FZ8" s="338"/>
      <c r="GA8" s="337"/>
      <c r="GB8" s="336" t="str">
        <f t="shared" ref="GB8:GB13" si="77">IF($AA8="","",IF(FZ8="","",FZ8))</f>
        <v/>
      </c>
      <c r="GC8" s="335" t="str">
        <f t="shared" ref="GC8:GC71" si="78">IF(OR(GA$8="判定対象外",GB8="-"),"-",IF(GA8=GB8,"OK","NG"))</f>
        <v>OK</v>
      </c>
      <c r="GD8" s="338"/>
      <c r="GE8" s="337"/>
      <c r="GF8" s="336" t="str">
        <f t="shared" ref="GF8:GF13" si="79">IF($AA8="","",IF(GD8="","",GD8))</f>
        <v/>
      </c>
      <c r="GG8" s="335" t="str">
        <f t="shared" ref="GG8:GG59" si="80">IF(OR(GE$8="判定対象外",GF8="-"),"-",IF(GE8=GF8,"OK","NG"))</f>
        <v>OK</v>
      </c>
      <c r="GH8" s="338"/>
      <c r="GI8" s="337"/>
      <c r="GJ8" s="336" t="str">
        <f t="shared" ref="GJ8:GJ13" si="81">IF($AA8="","",IF(GH8="","",GH8))</f>
        <v/>
      </c>
      <c r="GK8" s="335" t="str">
        <f t="shared" ref="GK8:GK59" si="82">IF(OR(GI$8="判定対象外",GJ8="-"),"-",IF(GI8=GJ8,"OK","NG"))</f>
        <v>OK</v>
      </c>
      <c r="GL8" s="338"/>
      <c r="GM8" s="337"/>
      <c r="GN8" s="336" t="str">
        <f t="shared" ref="GN8:GN13" si="83">IF($AA8="","",IF(GL8="","",GL8))</f>
        <v/>
      </c>
      <c r="GO8" s="335" t="str">
        <f t="shared" ref="GO8:GO71" si="84">IF(OR(GM$8="判定対象外",GN8="-"),"-",IF(GM8=GN8,"OK","NG"))</f>
        <v>OK</v>
      </c>
      <c r="GP8" s="338"/>
      <c r="GQ8" s="337"/>
      <c r="GR8" s="336" t="str">
        <f t="shared" ref="GR8:GR13" si="85">IF($AA8="","",IF(GP8="","",GP8))</f>
        <v/>
      </c>
      <c r="GS8" s="335" t="str">
        <f t="shared" ref="GS8:GS59" si="86">IF(OR(GQ$8="判定対象外",GR8="-"),"-",IF(GQ8=GR8,"OK","NG"))</f>
        <v>OK</v>
      </c>
      <c r="GT8" s="334"/>
      <c r="GU8" s="334"/>
      <c r="GV8" s="173"/>
      <c r="GW8" s="173"/>
      <c r="GX8" s="173"/>
    </row>
    <row r="9" spans="1:206">
      <c r="A9" s="200" t="s">
        <v>444</v>
      </c>
      <c r="B9" s="333">
        <v>1</v>
      </c>
      <c r="C9" s="228" t="s">
        <v>31</v>
      </c>
      <c r="D9" s="332"/>
      <c r="E9" s="258"/>
      <c r="F9" s="258"/>
      <c r="G9" s="258"/>
      <c r="H9" s="331"/>
      <c r="I9" s="329"/>
      <c r="J9" s="329" t="s">
        <v>23</v>
      </c>
      <c r="K9" s="208"/>
      <c r="L9" s="208"/>
      <c r="M9" s="327" t="s">
        <v>32</v>
      </c>
      <c r="N9" s="208"/>
      <c r="O9" s="328"/>
      <c r="P9" s="330"/>
      <c r="Q9" s="327"/>
      <c r="R9" s="329"/>
      <c r="S9" s="327"/>
      <c r="T9" s="327"/>
      <c r="U9" s="329"/>
      <c r="V9" s="328"/>
      <c r="W9" s="292" t="str">
        <f t="shared" si="0"/>
        <v>0</v>
      </c>
      <c r="X9" s="224" t="s">
        <v>25</v>
      </c>
      <c r="Y9" s="224"/>
      <c r="Z9" s="224"/>
      <c r="AA9" s="208"/>
      <c r="AB9" s="208" t="s">
        <v>446</v>
      </c>
      <c r="AC9" s="327"/>
      <c r="AD9" s="325"/>
      <c r="AE9" s="324"/>
      <c r="AF9" s="183" t="str">
        <f t="shared" si="1"/>
        <v/>
      </c>
      <c r="AG9" s="269" t="str">
        <f t="shared" si="2"/>
        <v>OK</v>
      </c>
      <c r="AH9" s="325"/>
      <c r="AI9" s="324"/>
      <c r="AJ9" s="183" t="str">
        <f t="shared" si="3"/>
        <v/>
      </c>
      <c r="AK9" s="269" t="str">
        <f t="shared" si="4"/>
        <v>OK</v>
      </c>
      <c r="AL9" s="325"/>
      <c r="AM9" s="324"/>
      <c r="AN9" s="183" t="str">
        <f t="shared" si="5"/>
        <v/>
      </c>
      <c r="AO9" s="269" t="str">
        <f t="shared" si="6"/>
        <v>OK</v>
      </c>
      <c r="AP9" s="325"/>
      <c r="AQ9" s="324"/>
      <c r="AR9" s="183" t="str">
        <f t="shared" si="7"/>
        <v/>
      </c>
      <c r="AS9" s="269" t="str">
        <f t="shared" si="8"/>
        <v>OK</v>
      </c>
      <c r="AT9" s="325"/>
      <c r="AU9" s="324"/>
      <c r="AV9" s="183" t="str">
        <f t="shared" si="9"/>
        <v/>
      </c>
      <c r="AW9" s="269" t="str">
        <f t="shared" si="10"/>
        <v>OK</v>
      </c>
      <c r="AX9" s="325"/>
      <c r="AY9" s="324"/>
      <c r="AZ9" s="183" t="str">
        <f t="shared" si="11"/>
        <v/>
      </c>
      <c r="BA9" s="269" t="str">
        <f t="shared" si="12"/>
        <v>OK</v>
      </c>
      <c r="BB9" s="325"/>
      <c r="BC9" s="324"/>
      <c r="BD9" s="183" t="str">
        <f t="shared" si="13"/>
        <v/>
      </c>
      <c r="BE9" s="269" t="str">
        <f t="shared" si="14"/>
        <v>OK</v>
      </c>
      <c r="BF9" s="325"/>
      <c r="BG9" s="324"/>
      <c r="BH9" s="183" t="str">
        <f t="shared" si="15"/>
        <v/>
      </c>
      <c r="BI9" s="269" t="str">
        <f t="shared" si="16"/>
        <v>OK</v>
      </c>
      <c r="BJ9" s="325"/>
      <c r="BK9" s="324"/>
      <c r="BL9" s="183" t="str">
        <f t="shared" si="17"/>
        <v/>
      </c>
      <c r="BM9" s="269" t="str">
        <f t="shared" si="18"/>
        <v>OK</v>
      </c>
      <c r="BN9" s="325"/>
      <c r="BO9" s="324"/>
      <c r="BP9" s="183" t="str">
        <f t="shared" si="19"/>
        <v/>
      </c>
      <c r="BQ9" s="269" t="str">
        <f t="shared" si="20"/>
        <v>OK</v>
      </c>
      <c r="BR9" s="325"/>
      <c r="BS9" s="324"/>
      <c r="BT9" s="183" t="str">
        <f t="shared" si="21"/>
        <v/>
      </c>
      <c r="BU9" s="269" t="str">
        <f t="shared" si="22"/>
        <v>OK</v>
      </c>
      <c r="BV9" s="325"/>
      <c r="BW9" s="324"/>
      <c r="BX9" s="183" t="str">
        <f t="shared" si="23"/>
        <v/>
      </c>
      <c r="BY9" s="269" t="str">
        <f t="shared" si="24"/>
        <v>OK</v>
      </c>
      <c r="BZ9" s="325"/>
      <c r="CA9" s="324"/>
      <c r="CB9" s="183" t="str">
        <f t="shared" si="25"/>
        <v/>
      </c>
      <c r="CC9" s="269" t="str">
        <f t="shared" si="26"/>
        <v>OK</v>
      </c>
      <c r="CD9" s="325"/>
      <c r="CE9" s="324"/>
      <c r="CF9" s="183" t="str">
        <f t="shared" si="27"/>
        <v/>
      </c>
      <c r="CG9" s="269" t="str">
        <f t="shared" si="28"/>
        <v>OK</v>
      </c>
      <c r="CH9" s="325"/>
      <c r="CI9" s="324"/>
      <c r="CJ9" s="183" t="str">
        <f t="shared" si="29"/>
        <v/>
      </c>
      <c r="CK9" s="269" t="str">
        <f t="shared" si="30"/>
        <v>OK</v>
      </c>
      <c r="CL9" s="325"/>
      <c r="CM9" s="324"/>
      <c r="CN9" s="183" t="str">
        <f t="shared" si="31"/>
        <v/>
      </c>
      <c r="CO9" s="269" t="str">
        <f t="shared" si="32"/>
        <v>OK</v>
      </c>
      <c r="CP9" s="325"/>
      <c r="CQ9" s="324"/>
      <c r="CR9" s="183" t="str">
        <f t="shared" si="33"/>
        <v/>
      </c>
      <c r="CS9" s="269" t="str">
        <f t="shared" si="34"/>
        <v>OK</v>
      </c>
      <c r="CT9" s="325"/>
      <c r="CU9" s="324"/>
      <c r="CV9" s="183" t="str">
        <f t="shared" si="35"/>
        <v/>
      </c>
      <c r="CW9" s="269" t="str">
        <f t="shared" si="36"/>
        <v>OK</v>
      </c>
      <c r="CX9" s="325"/>
      <c r="CY9" s="324"/>
      <c r="CZ9" s="183" t="str">
        <f t="shared" si="37"/>
        <v/>
      </c>
      <c r="DA9" s="269" t="str">
        <f t="shared" si="38"/>
        <v>OK</v>
      </c>
      <c r="DB9" s="325"/>
      <c r="DC9" s="324"/>
      <c r="DD9" s="183" t="str">
        <f t="shared" si="39"/>
        <v/>
      </c>
      <c r="DE9" s="269" t="str">
        <f t="shared" si="40"/>
        <v>OK</v>
      </c>
      <c r="DF9" s="325"/>
      <c r="DG9" s="324"/>
      <c r="DH9" s="183" t="str">
        <f t="shared" si="41"/>
        <v/>
      </c>
      <c r="DI9" s="269" t="str">
        <f t="shared" si="42"/>
        <v>OK</v>
      </c>
      <c r="DJ9" s="325"/>
      <c r="DK9" s="324"/>
      <c r="DL9" s="183" t="str">
        <f t="shared" si="43"/>
        <v/>
      </c>
      <c r="DM9" s="269" t="str">
        <f t="shared" si="44"/>
        <v>OK</v>
      </c>
      <c r="DN9" s="325"/>
      <c r="DO9" s="324"/>
      <c r="DP9" s="183" t="str">
        <f t="shared" si="45"/>
        <v/>
      </c>
      <c r="DQ9" s="269" t="str">
        <f t="shared" si="46"/>
        <v>OK</v>
      </c>
      <c r="DR9" s="325"/>
      <c r="DS9" s="324"/>
      <c r="DT9" s="183" t="str">
        <f t="shared" si="47"/>
        <v/>
      </c>
      <c r="DU9" s="269" t="str">
        <f t="shared" si="48"/>
        <v>OK</v>
      </c>
      <c r="DV9" s="325"/>
      <c r="DW9" s="324"/>
      <c r="DX9" s="183" t="str">
        <f t="shared" si="49"/>
        <v/>
      </c>
      <c r="DY9" s="269" t="str">
        <f t="shared" si="50"/>
        <v>OK</v>
      </c>
      <c r="DZ9" s="325"/>
      <c r="EA9" s="324"/>
      <c r="EB9" s="183" t="str">
        <f t="shared" si="51"/>
        <v/>
      </c>
      <c r="EC9" s="269" t="str">
        <f t="shared" si="52"/>
        <v>OK</v>
      </c>
      <c r="ED9" s="325"/>
      <c r="EE9" s="324"/>
      <c r="EF9" s="183" t="str">
        <f t="shared" si="53"/>
        <v/>
      </c>
      <c r="EG9" s="269" t="str">
        <f t="shared" si="54"/>
        <v>OK</v>
      </c>
      <c r="EH9" s="325"/>
      <c r="EI9" s="324"/>
      <c r="EJ9" s="183" t="str">
        <f t="shared" si="55"/>
        <v/>
      </c>
      <c r="EK9" s="269" t="str">
        <f t="shared" si="56"/>
        <v>OK</v>
      </c>
      <c r="EL9" s="325"/>
      <c r="EM9" s="324"/>
      <c r="EN9" s="183" t="str">
        <f t="shared" si="57"/>
        <v/>
      </c>
      <c r="EO9" s="269" t="str">
        <f t="shared" si="58"/>
        <v>OK</v>
      </c>
      <c r="EP9" s="325"/>
      <c r="EQ9" s="324"/>
      <c r="ER9" s="183" t="str">
        <f t="shared" si="59"/>
        <v/>
      </c>
      <c r="ES9" s="269" t="str">
        <f t="shared" si="60"/>
        <v>OK</v>
      </c>
      <c r="ET9" s="325"/>
      <c r="EU9" s="324"/>
      <c r="EV9" s="183" t="str">
        <f t="shared" si="61"/>
        <v/>
      </c>
      <c r="EW9" s="269" t="str">
        <f t="shared" si="62"/>
        <v>OK</v>
      </c>
      <c r="EX9" s="325"/>
      <c r="EY9" s="324"/>
      <c r="EZ9" s="183" t="str">
        <f t="shared" si="63"/>
        <v/>
      </c>
      <c r="FA9" s="269" t="str">
        <f t="shared" si="64"/>
        <v>OK</v>
      </c>
      <c r="FB9" s="325"/>
      <c r="FC9" s="324"/>
      <c r="FD9" s="183" t="str">
        <f t="shared" si="65"/>
        <v/>
      </c>
      <c r="FE9" s="269" t="str">
        <f t="shared" si="66"/>
        <v>OK</v>
      </c>
      <c r="FF9" s="325"/>
      <c r="FG9" s="324"/>
      <c r="FH9" s="183" t="str">
        <f t="shared" si="67"/>
        <v/>
      </c>
      <c r="FI9" s="269" t="str">
        <f t="shared" si="68"/>
        <v>OK</v>
      </c>
      <c r="FJ9" s="325"/>
      <c r="FK9" s="324"/>
      <c r="FL9" s="183" t="str">
        <f t="shared" si="69"/>
        <v/>
      </c>
      <c r="FM9" s="269" t="str">
        <f t="shared" si="70"/>
        <v>OK</v>
      </c>
      <c r="FN9" s="325"/>
      <c r="FO9" s="324"/>
      <c r="FP9" s="183" t="str">
        <f t="shared" si="71"/>
        <v/>
      </c>
      <c r="FQ9" s="269" t="str">
        <f t="shared" si="72"/>
        <v>OK</v>
      </c>
      <c r="FR9" s="325"/>
      <c r="FS9" s="324"/>
      <c r="FT9" s="183" t="str">
        <f t="shared" si="73"/>
        <v/>
      </c>
      <c r="FU9" s="269" t="str">
        <f t="shared" si="74"/>
        <v>OK</v>
      </c>
      <c r="FV9" s="325"/>
      <c r="FW9" s="324"/>
      <c r="FX9" s="183" t="str">
        <f t="shared" si="75"/>
        <v/>
      </c>
      <c r="FY9" s="269" t="str">
        <f t="shared" si="76"/>
        <v>OK</v>
      </c>
      <c r="FZ9" s="325"/>
      <c r="GA9" s="324"/>
      <c r="GB9" s="183" t="str">
        <f t="shared" si="77"/>
        <v/>
      </c>
      <c r="GC9" s="269" t="str">
        <f t="shared" si="78"/>
        <v>OK</v>
      </c>
      <c r="GD9" s="325"/>
      <c r="GE9" s="324"/>
      <c r="GF9" s="183" t="str">
        <f t="shared" si="79"/>
        <v/>
      </c>
      <c r="GG9" s="269" t="str">
        <f t="shared" si="80"/>
        <v>OK</v>
      </c>
      <c r="GH9" s="325"/>
      <c r="GI9" s="324"/>
      <c r="GJ9" s="183" t="str">
        <f t="shared" si="81"/>
        <v/>
      </c>
      <c r="GK9" s="269" t="str">
        <f t="shared" si="82"/>
        <v>OK</v>
      </c>
      <c r="GL9" s="325"/>
      <c r="GM9" s="324"/>
      <c r="GN9" s="183" t="str">
        <f t="shared" si="83"/>
        <v/>
      </c>
      <c r="GO9" s="269" t="str">
        <f t="shared" si="84"/>
        <v>OK</v>
      </c>
      <c r="GP9" s="325"/>
      <c r="GQ9" s="324"/>
      <c r="GR9" s="183" t="str">
        <f t="shared" si="85"/>
        <v/>
      </c>
      <c r="GS9" s="269" t="str">
        <f t="shared" si="86"/>
        <v>OK</v>
      </c>
      <c r="GT9" s="268"/>
      <c r="GU9" s="268"/>
      <c r="GV9" s="173"/>
      <c r="GW9" s="173"/>
      <c r="GX9" s="173"/>
    </row>
    <row r="10" spans="1:206">
      <c r="A10" s="200" t="s">
        <v>444</v>
      </c>
      <c r="B10" s="326">
        <v>2</v>
      </c>
      <c r="C10" s="229"/>
      <c r="D10" s="234" t="s">
        <v>33</v>
      </c>
      <c r="E10" s="221"/>
      <c r="F10" s="221"/>
      <c r="G10" s="221"/>
      <c r="H10" s="220"/>
      <c r="I10" s="309"/>
      <c r="J10" s="309" t="s">
        <v>444</v>
      </c>
      <c r="K10" s="209"/>
      <c r="L10" s="209"/>
      <c r="M10" s="296"/>
      <c r="N10" s="209"/>
      <c r="O10" s="315"/>
      <c r="P10" s="310"/>
      <c r="Q10" s="296"/>
      <c r="R10" s="309"/>
      <c r="S10" s="296"/>
      <c r="T10" s="296"/>
      <c r="U10" s="309"/>
      <c r="V10" s="315"/>
      <c r="W10" s="292" t="str">
        <f t="shared" si="0"/>
        <v>1</v>
      </c>
      <c r="X10" s="210" t="s">
        <v>478</v>
      </c>
      <c r="Y10" s="210"/>
      <c r="Z10" s="210"/>
      <c r="AA10" s="209"/>
      <c r="AB10" s="209" t="s">
        <v>450</v>
      </c>
      <c r="AC10" s="296"/>
      <c r="AD10" s="325"/>
      <c r="AE10" s="324"/>
      <c r="AF10" s="183" t="str">
        <f t="shared" si="1"/>
        <v/>
      </c>
      <c r="AG10" s="203" t="str">
        <f t="shared" si="2"/>
        <v>OK</v>
      </c>
      <c r="AH10" s="325"/>
      <c r="AI10" s="324"/>
      <c r="AJ10" s="183" t="str">
        <f t="shared" si="3"/>
        <v/>
      </c>
      <c r="AK10" s="203" t="str">
        <f t="shared" si="4"/>
        <v>OK</v>
      </c>
      <c r="AL10" s="325"/>
      <c r="AM10" s="324"/>
      <c r="AN10" s="183" t="str">
        <f t="shared" si="5"/>
        <v/>
      </c>
      <c r="AO10" s="203" t="str">
        <f t="shared" si="6"/>
        <v>OK</v>
      </c>
      <c r="AP10" s="325"/>
      <c r="AQ10" s="324"/>
      <c r="AR10" s="183" t="str">
        <f t="shared" si="7"/>
        <v/>
      </c>
      <c r="AS10" s="203" t="str">
        <f t="shared" si="8"/>
        <v>OK</v>
      </c>
      <c r="AT10" s="325"/>
      <c r="AU10" s="324"/>
      <c r="AV10" s="183" t="str">
        <f t="shared" si="9"/>
        <v/>
      </c>
      <c r="AW10" s="203" t="str">
        <f t="shared" si="10"/>
        <v>OK</v>
      </c>
      <c r="AX10" s="325"/>
      <c r="AY10" s="324"/>
      <c r="AZ10" s="183" t="str">
        <f t="shared" si="11"/>
        <v/>
      </c>
      <c r="BA10" s="203" t="str">
        <f t="shared" si="12"/>
        <v>OK</v>
      </c>
      <c r="BB10" s="325"/>
      <c r="BC10" s="324"/>
      <c r="BD10" s="183" t="str">
        <f t="shared" si="13"/>
        <v/>
      </c>
      <c r="BE10" s="203" t="str">
        <f t="shared" si="14"/>
        <v>OK</v>
      </c>
      <c r="BF10" s="325"/>
      <c r="BG10" s="324"/>
      <c r="BH10" s="183" t="str">
        <f t="shared" si="15"/>
        <v/>
      </c>
      <c r="BI10" s="203" t="str">
        <f t="shared" si="16"/>
        <v>OK</v>
      </c>
      <c r="BJ10" s="325"/>
      <c r="BK10" s="324"/>
      <c r="BL10" s="183" t="str">
        <f t="shared" si="17"/>
        <v/>
      </c>
      <c r="BM10" s="203" t="str">
        <f t="shared" si="18"/>
        <v>OK</v>
      </c>
      <c r="BN10" s="325"/>
      <c r="BO10" s="324"/>
      <c r="BP10" s="183" t="str">
        <f t="shared" si="19"/>
        <v/>
      </c>
      <c r="BQ10" s="203" t="str">
        <f t="shared" si="20"/>
        <v>OK</v>
      </c>
      <c r="BR10" s="325"/>
      <c r="BS10" s="324"/>
      <c r="BT10" s="183" t="str">
        <f t="shared" si="21"/>
        <v/>
      </c>
      <c r="BU10" s="203" t="str">
        <f t="shared" si="22"/>
        <v>OK</v>
      </c>
      <c r="BV10" s="325"/>
      <c r="BW10" s="324"/>
      <c r="BX10" s="183" t="str">
        <f t="shared" si="23"/>
        <v/>
      </c>
      <c r="BY10" s="203" t="str">
        <f t="shared" si="24"/>
        <v>OK</v>
      </c>
      <c r="BZ10" s="325"/>
      <c r="CA10" s="324"/>
      <c r="CB10" s="183" t="str">
        <f t="shared" si="25"/>
        <v/>
      </c>
      <c r="CC10" s="203" t="str">
        <f t="shared" si="26"/>
        <v>OK</v>
      </c>
      <c r="CD10" s="325"/>
      <c r="CE10" s="324"/>
      <c r="CF10" s="183" t="str">
        <f t="shared" si="27"/>
        <v/>
      </c>
      <c r="CG10" s="203" t="str">
        <f t="shared" si="28"/>
        <v>OK</v>
      </c>
      <c r="CH10" s="325"/>
      <c r="CI10" s="324"/>
      <c r="CJ10" s="183" t="str">
        <f t="shared" si="29"/>
        <v/>
      </c>
      <c r="CK10" s="203" t="str">
        <f t="shared" si="30"/>
        <v>OK</v>
      </c>
      <c r="CL10" s="325"/>
      <c r="CM10" s="324"/>
      <c r="CN10" s="183" t="str">
        <f t="shared" si="31"/>
        <v/>
      </c>
      <c r="CO10" s="203" t="str">
        <f t="shared" si="32"/>
        <v>OK</v>
      </c>
      <c r="CP10" s="325"/>
      <c r="CQ10" s="324"/>
      <c r="CR10" s="183" t="str">
        <f t="shared" si="33"/>
        <v/>
      </c>
      <c r="CS10" s="203" t="str">
        <f t="shared" si="34"/>
        <v>OK</v>
      </c>
      <c r="CT10" s="325"/>
      <c r="CU10" s="324"/>
      <c r="CV10" s="183" t="str">
        <f t="shared" si="35"/>
        <v/>
      </c>
      <c r="CW10" s="203" t="str">
        <f t="shared" si="36"/>
        <v>OK</v>
      </c>
      <c r="CX10" s="325"/>
      <c r="CY10" s="324"/>
      <c r="CZ10" s="183" t="str">
        <f t="shared" si="37"/>
        <v/>
      </c>
      <c r="DA10" s="203" t="str">
        <f t="shared" si="38"/>
        <v>OK</v>
      </c>
      <c r="DB10" s="325"/>
      <c r="DC10" s="324"/>
      <c r="DD10" s="183" t="str">
        <f t="shared" si="39"/>
        <v/>
      </c>
      <c r="DE10" s="203" t="str">
        <f t="shared" si="40"/>
        <v>OK</v>
      </c>
      <c r="DF10" s="325"/>
      <c r="DG10" s="324"/>
      <c r="DH10" s="183" t="str">
        <f t="shared" si="41"/>
        <v/>
      </c>
      <c r="DI10" s="203" t="str">
        <f t="shared" si="42"/>
        <v>OK</v>
      </c>
      <c r="DJ10" s="325"/>
      <c r="DK10" s="324"/>
      <c r="DL10" s="183" t="str">
        <f t="shared" si="43"/>
        <v/>
      </c>
      <c r="DM10" s="203" t="str">
        <f t="shared" si="44"/>
        <v>OK</v>
      </c>
      <c r="DN10" s="325"/>
      <c r="DO10" s="324"/>
      <c r="DP10" s="183" t="str">
        <f t="shared" si="45"/>
        <v/>
      </c>
      <c r="DQ10" s="203" t="str">
        <f t="shared" si="46"/>
        <v>OK</v>
      </c>
      <c r="DR10" s="325"/>
      <c r="DS10" s="324"/>
      <c r="DT10" s="183" t="str">
        <f t="shared" si="47"/>
        <v/>
      </c>
      <c r="DU10" s="203" t="str">
        <f t="shared" si="48"/>
        <v>OK</v>
      </c>
      <c r="DV10" s="325"/>
      <c r="DW10" s="324"/>
      <c r="DX10" s="183" t="str">
        <f t="shared" si="49"/>
        <v/>
      </c>
      <c r="DY10" s="203" t="str">
        <f t="shared" si="50"/>
        <v>OK</v>
      </c>
      <c r="DZ10" s="325"/>
      <c r="EA10" s="324"/>
      <c r="EB10" s="183" t="str">
        <f t="shared" si="51"/>
        <v/>
      </c>
      <c r="EC10" s="203" t="str">
        <f t="shared" si="52"/>
        <v>OK</v>
      </c>
      <c r="ED10" s="325"/>
      <c r="EE10" s="324"/>
      <c r="EF10" s="183" t="str">
        <f t="shared" si="53"/>
        <v/>
      </c>
      <c r="EG10" s="203" t="str">
        <f t="shared" si="54"/>
        <v>OK</v>
      </c>
      <c r="EH10" s="325"/>
      <c r="EI10" s="324"/>
      <c r="EJ10" s="183" t="str">
        <f t="shared" si="55"/>
        <v/>
      </c>
      <c r="EK10" s="203" t="str">
        <f t="shared" si="56"/>
        <v>OK</v>
      </c>
      <c r="EL10" s="325"/>
      <c r="EM10" s="324"/>
      <c r="EN10" s="183" t="str">
        <f t="shared" si="57"/>
        <v/>
      </c>
      <c r="EO10" s="203" t="str">
        <f t="shared" si="58"/>
        <v>OK</v>
      </c>
      <c r="EP10" s="325"/>
      <c r="EQ10" s="324"/>
      <c r="ER10" s="183" t="str">
        <f t="shared" si="59"/>
        <v/>
      </c>
      <c r="ES10" s="203" t="str">
        <f t="shared" si="60"/>
        <v>OK</v>
      </c>
      <c r="ET10" s="325"/>
      <c r="EU10" s="324"/>
      <c r="EV10" s="183" t="str">
        <f t="shared" si="61"/>
        <v/>
      </c>
      <c r="EW10" s="203" t="str">
        <f t="shared" si="62"/>
        <v>OK</v>
      </c>
      <c r="EX10" s="325"/>
      <c r="EY10" s="324"/>
      <c r="EZ10" s="183" t="str">
        <f t="shared" si="63"/>
        <v/>
      </c>
      <c r="FA10" s="203" t="str">
        <f t="shared" si="64"/>
        <v>OK</v>
      </c>
      <c r="FB10" s="325"/>
      <c r="FC10" s="324"/>
      <c r="FD10" s="183" t="str">
        <f t="shared" si="65"/>
        <v/>
      </c>
      <c r="FE10" s="203" t="str">
        <f t="shared" si="66"/>
        <v>OK</v>
      </c>
      <c r="FF10" s="325"/>
      <c r="FG10" s="324"/>
      <c r="FH10" s="183" t="str">
        <f t="shared" si="67"/>
        <v/>
      </c>
      <c r="FI10" s="203" t="str">
        <f t="shared" si="68"/>
        <v>OK</v>
      </c>
      <c r="FJ10" s="325"/>
      <c r="FK10" s="324"/>
      <c r="FL10" s="183" t="str">
        <f t="shared" si="69"/>
        <v/>
      </c>
      <c r="FM10" s="203" t="str">
        <f t="shared" si="70"/>
        <v>OK</v>
      </c>
      <c r="FN10" s="325"/>
      <c r="FO10" s="324"/>
      <c r="FP10" s="183" t="str">
        <f t="shared" si="71"/>
        <v/>
      </c>
      <c r="FQ10" s="203" t="str">
        <f t="shared" si="72"/>
        <v>OK</v>
      </c>
      <c r="FR10" s="325"/>
      <c r="FS10" s="324"/>
      <c r="FT10" s="183" t="str">
        <f t="shared" si="73"/>
        <v/>
      </c>
      <c r="FU10" s="203" t="str">
        <f t="shared" si="74"/>
        <v>OK</v>
      </c>
      <c r="FV10" s="325"/>
      <c r="FW10" s="324"/>
      <c r="FX10" s="183" t="str">
        <f t="shared" si="75"/>
        <v/>
      </c>
      <c r="FY10" s="203" t="str">
        <f t="shared" si="76"/>
        <v>OK</v>
      </c>
      <c r="FZ10" s="325"/>
      <c r="GA10" s="324"/>
      <c r="GB10" s="183" t="str">
        <f t="shared" si="77"/>
        <v/>
      </c>
      <c r="GC10" s="203" t="str">
        <f t="shared" si="78"/>
        <v>OK</v>
      </c>
      <c r="GD10" s="325"/>
      <c r="GE10" s="324"/>
      <c r="GF10" s="183" t="str">
        <f t="shared" si="79"/>
        <v/>
      </c>
      <c r="GG10" s="203" t="str">
        <f t="shared" si="80"/>
        <v>OK</v>
      </c>
      <c r="GH10" s="325"/>
      <c r="GI10" s="324"/>
      <c r="GJ10" s="183" t="str">
        <f t="shared" si="81"/>
        <v/>
      </c>
      <c r="GK10" s="203" t="str">
        <f t="shared" si="82"/>
        <v>OK</v>
      </c>
      <c r="GL10" s="325"/>
      <c r="GM10" s="324"/>
      <c r="GN10" s="183" t="str">
        <f t="shared" si="83"/>
        <v/>
      </c>
      <c r="GO10" s="203" t="str">
        <f t="shared" si="84"/>
        <v>OK</v>
      </c>
      <c r="GP10" s="325"/>
      <c r="GQ10" s="324"/>
      <c r="GR10" s="183" t="str">
        <f t="shared" si="85"/>
        <v/>
      </c>
      <c r="GS10" s="203" t="str">
        <f t="shared" si="86"/>
        <v>OK</v>
      </c>
      <c r="GT10" s="202"/>
      <c r="GU10" s="202"/>
      <c r="GV10" s="173"/>
      <c r="GW10" s="173"/>
      <c r="GX10" s="173"/>
    </row>
    <row r="11" spans="1:206" ht="26.25">
      <c r="A11" s="200" t="s">
        <v>444</v>
      </c>
      <c r="B11" s="225">
        <v>3</v>
      </c>
      <c r="C11" s="229"/>
      <c r="D11" s="229"/>
      <c r="E11" s="222" t="s">
        <v>477</v>
      </c>
      <c r="F11" s="221"/>
      <c r="G11" s="221"/>
      <c r="H11" s="220"/>
      <c r="I11" s="209"/>
      <c r="J11" s="209" t="s">
        <v>444</v>
      </c>
      <c r="K11" s="209"/>
      <c r="L11" s="209"/>
      <c r="M11" s="291" t="s">
        <v>476</v>
      </c>
      <c r="N11" s="209"/>
      <c r="O11" s="315"/>
      <c r="P11" s="310">
        <v>1</v>
      </c>
      <c r="Q11" s="296">
        <v>5</v>
      </c>
      <c r="R11" s="309" t="s">
        <v>447</v>
      </c>
      <c r="S11" s="296"/>
      <c r="T11" s="296"/>
      <c r="U11" s="309" t="s">
        <v>450</v>
      </c>
      <c r="V11" s="315" t="s">
        <v>34</v>
      </c>
      <c r="W11" s="292" t="str">
        <f t="shared" si="0"/>
        <v>2</v>
      </c>
      <c r="X11" s="210" t="s">
        <v>475</v>
      </c>
      <c r="Y11" s="210">
        <v>4</v>
      </c>
      <c r="Z11" s="210">
        <v>4</v>
      </c>
      <c r="AA11" s="209" t="s">
        <v>447</v>
      </c>
      <c r="AB11" s="209" t="s">
        <v>450</v>
      </c>
      <c r="AC11" s="296"/>
      <c r="AD11" s="231" t="s">
        <v>474</v>
      </c>
      <c r="AE11" s="307"/>
      <c r="AF11" s="183" t="str">
        <f t="shared" si="1"/>
        <v>M001</v>
      </c>
      <c r="AG11" s="203" t="str">
        <f t="shared" si="2"/>
        <v>NG</v>
      </c>
      <c r="AH11" s="231" t="s">
        <v>474</v>
      </c>
      <c r="AI11" s="307"/>
      <c r="AJ11" s="183" t="str">
        <f t="shared" si="3"/>
        <v>M001</v>
      </c>
      <c r="AK11" s="203" t="str">
        <f t="shared" si="4"/>
        <v>NG</v>
      </c>
      <c r="AL11" s="231" t="s">
        <v>474</v>
      </c>
      <c r="AM11" s="307"/>
      <c r="AN11" s="183" t="str">
        <f t="shared" si="5"/>
        <v>M001</v>
      </c>
      <c r="AO11" s="203" t="str">
        <f t="shared" si="6"/>
        <v>NG</v>
      </c>
      <c r="AP11" s="231" t="s">
        <v>474</v>
      </c>
      <c r="AQ11" s="307"/>
      <c r="AR11" s="183" t="str">
        <f t="shared" si="7"/>
        <v>M001</v>
      </c>
      <c r="AS11" s="203" t="str">
        <f t="shared" si="8"/>
        <v>NG</v>
      </c>
      <c r="AT11" s="231" t="s">
        <v>474</v>
      </c>
      <c r="AU11" s="307"/>
      <c r="AV11" s="183" t="str">
        <f t="shared" si="9"/>
        <v>M001</v>
      </c>
      <c r="AW11" s="203" t="str">
        <f t="shared" si="10"/>
        <v>NG</v>
      </c>
      <c r="AX11" s="231" t="s">
        <v>474</v>
      </c>
      <c r="AY11" s="307"/>
      <c r="AZ11" s="183" t="str">
        <f t="shared" si="11"/>
        <v>M001</v>
      </c>
      <c r="BA11" s="203" t="str">
        <f t="shared" si="12"/>
        <v>NG</v>
      </c>
      <c r="BB11" s="231" t="s">
        <v>474</v>
      </c>
      <c r="BC11" s="307"/>
      <c r="BD11" s="183" t="str">
        <f t="shared" si="13"/>
        <v>M001</v>
      </c>
      <c r="BE11" s="203" t="str">
        <f t="shared" si="14"/>
        <v>NG</v>
      </c>
      <c r="BF11" s="231" t="s">
        <v>474</v>
      </c>
      <c r="BG11" s="307"/>
      <c r="BH11" s="183" t="str">
        <f t="shared" si="15"/>
        <v>M001</v>
      </c>
      <c r="BI11" s="203" t="str">
        <f t="shared" si="16"/>
        <v>NG</v>
      </c>
      <c r="BJ11" s="231" t="s">
        <v>474</v>
      </c>
      <c r="BK11" s="307"/>
      <c r="BL11" s="183" t="str">
        <f t="shared" si="17"/>
        <v>M001</v>
      </c>
      <c r="BM11" s="203" t="str">
        <f t="shared" si="18"/>
        <v>NG</v>
      </c>
      <c r="BN11" s="231" t="s">
        <v>474</v>
      </c>
      <c r="BO11" s="307"/>
      <c r="BP11" s="183" t="str">
        <f t="shared" si="19"/>
        <v>M001</v>
      </c>
      <c r="BQ11" s="203" t="str">
        <f t="shared" si="20"/>
        <v>NG</v>
      </c>
      <c r="BR11" s="231" t="s">
        <v>474</v>
      </c>
      <c r="BS11" s="307"/>
      <c r="BT11" s="183" t="str">
        <f t="shared" si="21"/>
        <v>M001</v>
      </c>
      <c r="BU11" s="203" t="str">
        <f t="shared" si="22"/>
        <v>NG</v>
      </c>
      <c r="BV11" s="231" t="s">
        <v>474</v>
      </c>
      <c r="BW11" s="307"/>
      <c r="BX11" s="183" t="str">
        <f t="shared" si="23"/>
        <v>M001</v>
      </c>
      <c r="BY11" s="203" t="str">
        <f t="shared" si="24"/>
        <v>NG</v>
      </c>
      <c r="BZ11" s="231" t="s">
        <v>474</v>
      </c>
      <c r="CA11" s="307"/>
      <c r="CB11" s="183" t="str">
        <f t="shared" si="25"/>
        <v>M001</v>
      </c>
      <c r="CC11" s="203" t="str">
        <f t="shared" si="26"/>
        <v>NG</v>
      </c>
      <c r="CD11" s="231" t="s">
        <v>474</v>
      </c>
      <c r="CE11" s="307"/>
      <c r="CF11" s="183" t="str">
        <f t="shared" si="27"/>
        <v>M001</v>
      </c>
      <c r="CG11" s="203" t="str">
        <f t="shared" si="28"/>
        <v>NG</v>
      </c>
      <c r="CH11" s="231" t="s">
        <v>474</v>
      </c>
      <c r="CI11" s="307"/>
      <c r="CJ11" s="183" t="str">
        <f t="shared" si="29"/>
        <v>M001</v>
      </c>
      <c r="CK11" s="203" t="str">
        <f t="shared" si="30"/>
        <v>NG</v>
      </c>
      <c r="CL11" s="231" t="s">
        <v>474</v>
      </c>
      <c r="CM11" s="307"/>
      <c r="CN11" s="183" t="str">
        <f t="shared" si="31"/>
        <v>M001</v>
      </c>
      <c r="CO11" s="203" t="str">
        <f t="shared" si="32"/>
        <v>NG</v>
      </c>
      <c r="CP11" s="231" t="s">
        <v>474</v>
      </c>
      <c r="CQ11" s="307"/>
      <c r="CR11" s="183" t="str">
        <f t="shared" si="33"/>
        <v>M001</v>
      </c>
      <c r="CS11" s="203" t="str">
        <f t="shared" si="34"/>
        <v>NG</v>
      </c>
      <c r="CT11" s="231" t="s">
        <v>474</v>
      </c>
      <c r="CU11" s="307"/>
      <c r="CV11" s="183" t="str">
        <f t="shared" si="35"/>
        <v>M001</v>
      </c>
      <c r="CW11" s="203" t="str">
        <f t="shared" si="36"/>
        <v>NG</v>
      </c>
      <c r="CX11" s="231" t="s">
        <v>474</v>
      </c>
      <c r="CY11" s="307"/>
      <c r="CZ11" s="183" t="str">
        <f t="shared" si="37"/>
        <v>M001</v>
      </c>
      <c r="DA11" s="203" t="str">
        <f t="shared" si="38"/>
        <v>NG</v>
      </c>
      <c r="DB11" s="231" t="s">
        <v>474</v>
      </c>
      <c r="DC11" s="307"/>
      <c r="DD11" s="183" t="str">
        <f t="shared" si="39"/>
        <v>M001</v>
      </c>
      <c r="DE11" s="203" t="str">
        <f t="shared" si="40"/>
        <v>NG</v>
      </c>
      <c r="DF11" s="231" t="s">
        <v>474</v>
      </c>
      <c r="DG11" s="307"/>
      <c r="DH11" s="183" t="str">
        <f t="shared" si="41"/>
        <v>M001</v>
      </c>
      <c r="DI11" s="203" t="str">
        <f t="shared" si="42"/>
        <v>NG</v>
      </c>
      <c r="DJ11" s="231" t="s">
        <v>474</v>
      </c>
      <c r="DK11" s="307"/>
      <c r="DL11" s="183" t="str">
        <f t="shared" si="43"/>
        <v>M001</v>
      </c>
      <c r="DM11" s="203" t="str">
        <f t="shared" si="44"/>
        <v>NG</v>
      </c>
      <c r="DN11" s="231" t="s">
        <v>474</v>
      </c>
      <c r="DO11" s="307"/>
      <c r="DP11" s="183" t="str">
        <f t="shared" si="45"/>
        <v>M001</v>
      </c>
      <c r="DQ11" s="203" t="str">
        <f t="shared" si="46"/>
        <v>NG</v>
      </c>
      <c r="DR11" s="231" t="s">
        <v>474</v>
      </c>
      <c r="DS11" s="307"/>
      <c r="DT11" s="183" t="str">
        <f t="shared" si="47"/>
        <v>M001</v>
      </c>
      <c r="DU11" s="203" t="str">
        <f t="shared" si="48"/>
        <v>NG</v>
      </c>
      <c r="DV11" s="231" t="s">
        <v>474</v>
      </c>
      <c r="DW11" s="307"/>
      <c r="DX11" s="183" t="str">
        <f t="shared" si="49"/>
        <v>M001</v>
      </c>
      <c r="DY11" s="203" t="str">
        <f t="shared" si="50"/>
        <v>NG</v>
      </c>
      <c r="DZ11" s="231" t="s">
        <v>474</v>
      </c>
      <c r="EA11" s="307"/>
      <c r="EB11" s="183" t="str">
        <f t="shared" si="51"/>
        <v>M001</v>
      </c>
      <c r="EC11" s="203" t="str">
        <f t="shared" si="52"/>
        <v>NG</v>
      </c>
      <c r="ED11" s="231" t="s">
        <v>474</v>
      </c>
      <c r="EE11" s="307"/>
      <c r="EF11" s="183" t="str">
        <f t="shared" si="53"/>
        <v>M001</v>
      </c>
      <c r="EG11" s="203" t="str">
        <f t="shared" si="54"/>
        <v>NG</v>
      </c>
      <c r="EH11" s="231" t="s">
        <v>474</v>
      </c>
      <c r="EI11" s="307"/>
      <c r="EJ11" s="183" t="str">
        <f t="shared" si="55"/>
        <v>M001</v>
      </c>
      <c r="EK11" s="203" t="str">
        <f t="shared" si="56"/>
        <v>NG</v>
      </c>
      <c r="EL11" s="231" t="s">
        <v>474</v>
      </c>
      <c r="EM11" s="307"/>
      <c r="EN11" s="183" t="str">
        <f t="shared" si="57"/>
        <v>M001</v>
      </c>
      <c r="EO11" s="203" t="str">
        <f t="shared" si="58"/>
        <v>NG</v>
      </c>
      <c r="EP11" s="231" t="s">
        <v>474</v>
      </c>
      <c r="EQ11" s="307"/>
      <c r="ER11" s="183" t="str">
        <f t="shared" si="59"/>
        <v>M001</v>
      </c>
      <c r="ES11" s="203" t="str">
        <f t="shared" si="60"/>
        <v>NG</v>
      </c>
      <c r="ET11" s="231" t="s">
        <v>474</v>
      </c>
      <c r="EU11" s="307"/>
      <c r="EV11" s="183" t="str">
        <f t="shared" si="61"/>
        <v>M001</v>
      </c>
      <c r="EW11" s="203" t="str">
        <f t="shared" si="62"/>
        <v>NG</v>
      </c>
      <c r="EX11" s="231" t="s">
        <v>474</v>
      </c>
      <c r="EY11" s="307"/>
      <c r="EZ11" s="183" t="str">
        <f t="shared" si="63"/>
        <v>M001</v>
      </c>
      <c r="FA11" s="203" t="str">
        <f t="shared" si="64"/>
        <v>NG</v>
      </c>
      <c r="FB11" s="231" t="s">
        <v>474</v>
      </c>
      <c r="FC11" s="307"/>
      <c r="FD11" s="183" t="str">
        <f t="shared" si="65"/>
        <v>M001</v>
      </c>
      <c r="FE11" s="203" t="str">
        <f t="shared" si="66"/>
        <v>NG</v>
      </c>
      <c r="FF11" s="231" t="s">
        <v>474</v>
      </c>
      <c r="FG11" s="307"/>
      <c r="FH11" s="183" t="str">
        <f t="shared" si="67"/>
        <v>M001</v>
      </c>
      <c r="FI11" s="203" t="str">
        <f t="shared" si="68"/>
        <v>NG</v>
      </c>
      <c r="FJ11" s="231" t="s">
        <v>474</v>
      </c>
      <c r="FK11" s="307"/>
      <c r="FL11" s="183" t="str">
        <f t="shared" si="69"/>
        <v>M001</v>
      </c>
      <c r="FM11" s="203" t="str">
        <f t="shared" si="70"/>
        <v>NG</v>
      </c>
      <c r="FN11" s="231" t="s">
        <v>474</v>
      </c>
      <c r="FO11" s="307"/>
      <c r="FP11" s="183" t="str">
        <f t="shared" si="71"/>
        <v>M001</v>
      </c>
      <c r="FQ11" s="203" t="str">
        <f t="shared" si="72"/>
        <v>NG</v>
      </c>
      <c r="FR11" s="231" t="s">
        <v>474</v>
      </c>
      <c r="FS11" s="307"/>
      <c r="FT11" s="183" t="str">
        <f t="shared" si="73"/>
        <v>M001</v>
      </c>
      <c r="FU11" s="203" t="str">
        <f t="shared" si="74"/>
        <v>NG</v>
      </c>
      <c r="FV11" s="231" t="s">
        <v>474</v>
      </c>
      <c r="FW11" s="307"/>
      <c r="FX11" s="183" t="str">
        <f t="shared" si="75"/>
        <v>M001</v>
      </c>
      <c r="FY11" s="203" t="str">
        <f t="shared" si="76"/>
        <v>NG</v>
      </c>
      <c r="FZ11" s="231" t="s">
        <v>474</v>
      </c>
      <c r="GA11" s="307"/>
      <c r="GB11" s="183" t="str">
        <f t="shared" si="77"/>
        <v>M001</v>
      </c>
      <c r="GC11" s="203" t="str">
        <f t="shared" si="78"/>
        <v>NG</v>
      </c>
      <c r="GD11" s="231" t="s">
        <v>474</v>
      </c>
      <c r="GE11" s="307"/>
      <c r="GF11" s="183" t="str">
        <f t="shared" si="79"/>
        <v>M001</v>
      </c>
      <c r="GG11" s="203" t="str">
        <f t="shared" si="80"/>
        <v>NG</v>
      </c>
      <c r="GH11" s="231" t="s">
        <v>474</v>
      </c>
      <c r="GI11" s="307"/>
      <c r="GJ11" s="183" t="str">
        <f t="shared" si="81"/>
        <v>M001</v>
      </c>
      <c r="GK11" s="203" t="str">
        <f t="shared" si="82"/>
        <v>NG</v>
      </c>
      <c r="GL11" s="231" t="s">
        <v>474</v>
      </c>
      <c r="GM11" s="307"/>
      <c r="GN11" s="183" t="str">
        <f t="shared" si="83"/>
        <v>M001</v>
      </c>
      <c r="GO11" s="203" t="str">
        <f t="shared" si="84"/>
        <v>NG</v>
      </c>
      <c r="GP11" s="231" t="s">
        <v>474</v>
      </c>
      <c r="GQ11" s="307"/>
      <c r="GR11" s="183" t="str">
        <f t="shared" si="85"/>
        <v>M001</v>
      </c>
      <c r="GS11" s="203" t="str">
        <f t="shared" si="86"/>
        <v>NG</v>
      </c>
      <c r="GT11" s="202"/>
      <c r="GU11" s="202"/>
      <c r="GV11" s="173"/>
      <c r="GW11" s="173"/>
      <c r="GX11" s="173"/>
    </row>
    <row r="12" spans="1:206" ht="25.5">
      <c r="A12" s="200" t="s">
        <v>444</v>
      </c>
      <c r="B12" s="225">
        <v>4</v>
      </c>
      <c r="C12" s="229"/>
      <c r="D12" s="229"/>
      <c r="E12" s="222" t="s">
        <v>473</v>
      </c>
      <c r="F12" s="221"/>
      <c r="G12" s="221"/>
      <c r="H12" s="220"/>
      <c r="I12" s="209"/>
      <c r="J12" s="209" t="s">
        <v>444</v>
      </c>
      <c r="K12" s="209"/>
      <c r="L12" s="209"/>
      <c r="M12" s="291" t="s">
        <v>472</v>
      </c>
      <c r="N12" s="209"/>
      <c r="O12" s="315"/>
      <c r="P12" s="310">
        <v>2</v>
      </c>
      <c r="Q12" s="296">
        <v>2</v>
      </c>
      <c r="R12" s="309" t="s">
        <v>447</v>
      </c>
      <c r="S12" s="296"/>
      <c r="T12" s="296"/>
      <c r="U12" s="309" t="s">
        <v>450</v>
      </c>
      <c r="V12" s="315"/>
      <c r="W12" s="292" t="str">
        <f t="shared" si="0"/>
        <v>2</v>
      </c>
      <c r="X12" s="210" t="s">
        <v>471</v>
      </c>
      <c r="Y12" s="210">
        <v>2</v>
      </c>
      <c r="Z12" s="210">
        <v>2</v>
      </c>
      <c r="AA12" s="209">
        <v>9</v>
      </c>
      <c r="AB12" s="209" t="s">
        <v>450</v>
      </c>
      <c r="AC12" s="296"/>
      <c r="AD12" s="231" t="s">
        <v>48</v>
      </c>
      <c r="AE12" s="307"/>
      <c r="AF12" s="183" t="str">
        <f t="shared" si="1"/>
        <v>10</v>
      </c>
      <c r="AG12" s="203" t="str">
        <f t="shared" si="2"/>
        <v>NG</v>
      </c>
      <c r="AH12" s="231" t="s">
        <v>48</v>
      </c>
      <c r="AI12" s="307"/>
      <c r="AJ12" s="183" t="str">
        <f t="shared" si="3"/>
        <v>10</v>
      </c>
      <c r="AK12" s="203" t="str">
        <f t="shared" si="4"/>
        <v>NG</v>
      </c>
      <c r="AL12" s="231" t="s">
        <v>48</v>
      </c>
      <c r="AM12" s="307"/>
      <c r="AN12" s="183" t="str">
        <f t="shared" si="5"/>
        <v>10</v>
      </c>
      <c r="AO12" s="203" t="str">
        <f t="shared" si="6"/>
        <v>NG</v>
      </c>
      <c r="AP12" s="231" t="s">
        <v>48</v>
      </c>
      <c r="AQ12" s="307"/>
      <c r="AR12" s="183" t="str">
        <f t="shared" si="7"/>
        <v>10</v>
      </c>
      <c r="AS12" s="203" t="str">
        <f t="shared" si="8"/>
        <v>NG</v>
      </c>
      <c r="AT12" s="231" t="s">
        <v>48</v>
      </c>
      <c r="AU12" s="307"/>
      <c r="AV12" s="183" t="str">
        <f t="shared" si="9"/>
        <v>10</v>
      </c>
      <c r="AW12" s="203" t="str">
        <f t="shared" si="10"/>
        <v>NG</v>
      </c>
      <c r="AX12" s="231" t="s">
        <v>48</v>
      </c>
      <c r="AY12" s="307"/>
      <c r="AZ12" s="183" t="str">
        <f t="shared" si="11"/>
        <v>10</v>
      </c>
      <c r="BA12" s="203" t="str">
        <f t="shared" si="12"/>
        <v>NG</v>
      </c>
      <c r="BB12" s="231" t="s">
        <v>48</v>
      </c>
      <c r="BC12" s="307"/>
      <c r="BD12" s="183" t="str">
        <f t="shared" si="13"/>
        <v>10</v>
      </c>
      <c r="BE12" s="203" t="str">
        <f t="shared" si="14"/>
        <v>NG</v>
      </c>
      <c r="BF12" s="231" t="s">
        <v>48</v>
      </c>
      <c r="BG12" s="307"/>
      <c r="BH12" s="183" t="str">
        <f t="shared" si="15"/>
        <v>10</v>
      </c>
      <c r="BI12" s="203" t="str">
        <f t="shared" si="16"/>
        <v>NG</v>
      </c>
      <c r="BJ12" s="231" t="s">
        <v>48</v>
      </c>
      <c r="BK12" s="307"/>
      <c r="BL12" s="183" t="str">
        <f t="shared" si="17"/>
        <v>10</v>
      </c>
      <c r="BM12" s="203" t="str">
        <f t="shared" si="18"/>
        <v>NG</v>
      </c>
      <c r="BN12" s="231" t="s">
        <v>48</v>
      </c>
      <c r="BO12" s="307"/>
      <c r="BP12" s="183" t="str">
        <f t="shared" si="19"/>
        <v>10</v>
      </c>
      <c r="BQ12" s="203" t="str">
        <f t="shared" si="20"/>
        <v>NG</v>
      </c>
      <c r="BR12" s="231" t="s">
        <v>48</v>
      </c>
      <c r="BS12" s="307"/>
      <c r="BT12" s="183" t="str">
        <f t="shared" si="21"/>
        <v>10</v>
      </c>
      <c r="BU12" s="203" t="str">
        <f t="shared" si="22"/>
        <v>NG</v>
      </c>
      <c r="BV12" s="231" t="s">
        <v>48</v>
      </c>
      <c r="BW12" s="307"/>
      <c r="BX12" s="183" t="str">
        <f t="shared" si="23"/>
        <v>10</v>
      </c>
      <c r="BY12" s="203" t="str">
        <f t="shared" si="24"/>
        <v>NG</v>
      </c>
      <c r="BZ12" s="231" t="s">
        <v>48</v>
      </c>
      <c r="CA12" s="307"/>
      <c r="CB12" s="183" t="str">
        <f t="shared" si="25"/>
        <v>10</v>
      </c>
      <c r="CC12" s="203" t="str">
        <f t="shared" si="26"/>
        <v>NG</v>
      </c>
      <c r="CD12" s="231" t="s">
        <v>48</v>
      </c>
      <c r="CE12" s="307"/>
      <c r="CF12" s="183" t="str">
        <f t="shared" si="27"/>
        <v>10</v>
      </c>
      <c r="CG12" s="203" t="str">
        <f t="shared" si="28"/>
        <v>NG</v>
      </c>
      <c r="CH12" s="231" t="s">
        <v>48</v>
      </c>
      <c r="CI12" s="307"/>
      <c r="CJ12" s="183" t="str">
        <f t="shared" si="29"/>
        <v>10</v>
      </c>
      <c r="CK12" s="203" t="str">
        <f t="shared" si="30"/>
        <v>NG</v>
      </c>
      <c r="CL12" s="231" t="s">
        <v>48</v>
      </c>
      <c r="CM12" s="307"/>
      <c r="CN12" s="183" t="str">
        <f t="shared" si="31"/>
        <v>10</v>
      </c>
      <c r="CO12" s="203" t="str">
        <f t="shared" si="32"/>
        <v>NG</v>
      </c>
      <c r="CP12" s="231" t="s">
        <v>48</v>
      </c>
      <c r="CQ12" s="307"/>
      <c r="CR12" s="183" t="str">
        <f t="shared" si="33"/>
        <v>10</v>
      </c>
      <c r="CS12" s="203" t="str">
        <f t="shared" si="34"/>
        <v>NG</v>
      </c>
      <c r="CT12" s="231" t="s">
        <v>48</v>
      </c>
      <c r="CU12" s="307"/>
      <c r="CV12" s="183" t="str">
        <f t="shared" si="35"/>
        <v>10</v>
      </c>
      <c r="CW12" s="203" t="str">
        <f t="shared" si="36"/>
        <v>NG</v>
      </c>
      <c r="CX12" s="231" t="s">
        <v>48</v>
      </c>
      <c r="CY12" s="307"/>
      <c r="CZ12" s="183" t="str">
        <f t="shared" si="37"/>
        <v>10</v>
      </c>
      <c r="DA12" s="203" t="str">
        <f t="shared" si="38"/>
        <v>NG</v>
      </c>
      <c r="DB12" s="231" t="s">
        <v>48</v>
      </c>
      <c r="DC12" s="307"/>
      <c r="DD12" s="183" t="str">
        <f t="shared" si="39"/>
        <v>10</v>
      </c>
      <c r="DE12" s="203" t="str">
        <f t="shared" si="40"/>
        <v>NG</v>
      </c>
      <c r="DF12" s="231" t="s">
        <v>48</v>
      </c>
      <c r="DG12" s="307"/>
      <c r="DH12" s="183" t="str">
        <f t="shared" si="41"/>
        <v>10</v>
      </c>
      <c r="DI12" s="203" t="str">
        <f t="shared" si="42"/>
        <v>NG</v>
      </c>
      <c r="DJ12" s="231" t="s">
        <v>48</v>
      </c>
      <c r="DK12" s="307"/>
      <c r="DL12" s="183" t="str">
        <f t="shared" si="43"/>
        <v>10</v>
      </c>
      <c r="DM12" s="203" t="str">
        <f t="shared" si="44"/>
        <v>NG</v>
      </c>
      <c r="DN12" s="231" t="s">
        <v>48</v>
      </c>
      <c r="DO12" s="307"/>
      <c r="DP12" s="183" t="str">
        <f t="shared" si="45"/>
        <v>10</v>
      </c>
      <c r="DQ12" s="203" t="str">
        <f t="shared" si="46"/>
        <v>NG</v>
      </c>
      <c r="DR12" s="231" t="s">
        <v>48</v>
      </c>
      <c r="DS12" s="307"/>
      <c r="DT12" s="183" t="str">
        <f t="shared" si="47"/>
        <v>10</v>
      </c>
      <c r="DU12" s="203" t="str">
        <f t="shared" si="48"/>
        <v>NG</v>
      </c>
      <c r="DV12" s="231" t="s">
        <v>48</v>
      </c>
      <c r="DW12" s="307"/>
      <c r="DX12" s="183" t="str">
        <f t="shared" si="49"/>
        <v>10</v>
      </c>
      <c r="DY12" s="203" t="str">
        <f t="shared" si="50"/>
        <v>NG</v>
      </c>
      <c r="DZ12" s="231" t="s">
        <v>48</v>
      </c>
      <c r="EA12" s="307"/>
      <c r="EB12" s="183" t="str">
        <f t="shared" si="51"/>
        <v>10</v>
      </c>
      <c r="EC12" s="203" t="str">
        <f t="shared" si="52"/>
        <v>NG</v>
      </c>
      <c r="ED12" s="231" t="s">
        <v>48</v>
      </c>
      <c r="EE12" s="307"/>
      <c r="EF12" s="183" t="str">
        <f t="shared" si="53"/>
        <v>10</v>
      </c>
      <c r="EG12" s="203" t="str">
        <f t="shared" si="54"/>
        <v>NG</v>
      </c>
      <c r="EH12" s="231" t="s">
        <v>48</v>
      </c>
      <c r="EI12" s="307"/>
      <c r="EJ12" s="183" t="str">
        <f t="shared" si="55"/>
        <v>10</v>
      </c>
      <c r="EK12" s="203" t="str">
        <f t="shared" si="56"/>
        <v>NG</v>
      </c>
      <c r="EL12" s="231" t="s">
        <v>48</v>
      </c>
      <c r="EM12" s="307"/>
      <c r="EN12" s="183" t="str">
        <f t="shared" si="57"/>
        <v>10</v>
      </c>
      <c r="EO12" s="203" t="str">
        <f t="shared" si="58"/>
        <v>NG</v>
      </c>
      <c r="EP12" s="231" t="s">
        <v>48</v>
      </c>
      <c r="EQ12" s="307"/>
      <c r="ER12" s="183" t="str">
        <f t="shared" si="59"/>
        <v>10</v>
      </c>
      <c r="ES12" s="203" t="str">
        <f t="shared" si="60"/>
        <v>NG</v>
      </c>
      <c r="ET12" s="231" t="s">
        <v>48</v>
      </c>
      <c r="EU12" s="307"/>
      <c r="EV12" s="183" t="str">
        <f t="shared" si="61"/>
        <v>10</v>
      </c>
      <c r="EW12" s="203" t="str">
        <f t="shared" si="62"/>
        <v>NG</v>
      </c>
      <c r="EX12" s="231" t="s">
        <v>48</v>
      </c>
      <c r="EY12" s="307"/>
      <c r="EZ12" s="183" t="str">
        <f t="shared" si="63"/>
        <v>10</v>
      </c>
      <c r="FA12" s="203" t="str">
        <f t="shared" si="64"/>
        <v>NG</v>
      </c>
      <c r="FB12" s="231" t="s">
        <v>48</v>
      </c>
      <c r="FC12" s="307"/>
      <c r="FD12" s="183" t="str">
        <f t="shared" si="65"/>
        <v>10</v>
      </c>
      <c r="FE12" s="203" t="str">
        <f t="shared" si="66"/>
        <v>NG</v>
      </c>
      <c r="FF12" s="231" t="s">
        <v>48</v>
      </c>
      <c r="FG12" s="307"/>
      <c r="FH12" s="183" t="str">
        <f t="shared" si="67"/>
        <v>10</v>
      </c>
      <c r="FI12" s="203" t="str">
        <f t="shared" si="68"/>
        <v>NG</v>
      </c>
      <c r="FJ12" s="231" t="s">
        <v>48</v>
      </c>
      <c r="FK12" s="307"/>
      <c r="FL12" s="183" t="str">
        <f t="shared" si="69"/>
        <v>10</v>
      </c>
      <c r="FM12" s="203" t="str">
        <f t="shared" si="70"/>
        <v>NG</v>
      </c>
      <c r="FN12" s="231" t="s">
        <v>48</v>
      </c>
      <c r="FO12" s="307"/>
      <c r="FP12" s="183" t="str">
        <f t="shared" si="71"/>
        <v>10</v>
      </c>
      <c r="FQ12" s="203" t="str">
        <f t="shared" si="72"/>
        <v>NG</v>
      </c>
      <c r="FR12" s="231" t="s">
        <v>48</v>
      </c>
      <c r="FS12" s="307"/>
      <c r="FT12" s="183" t="str">
        <f t="shared" si="73"/>
        <v>10</v>
      </c>
      <c r="FU12" s="203" t="str">
        <f t="shared" si="74"/>
        <v>NG</v>
      </c>
      <c r="FV12" s="231" t="s">
        <v>48</v>
      </c>
      <c r="FW12" s="307"/>
      <c r="FX12" s="183" t="str">
        <f t="shared" si="75"/>
        <v>10</v>
      </c>
      <c r="FY12" s="203" t="str">
        <f t="shared" si="76"/>
        <v>NG</v>
      </c>
      <c r="FZ12" s="231" t="s">
        <v>48</v>
      </c>
      <c r="GA12" s="307"/>
      <c r="GB12" s="183" t="str">
        <f t="shared" si="77"/>
        <v>10</v>
      </c>
      <c r="GC12" s="203" t="str">
        <f t="shared" si="78"/>
        <v>NG</v>
      </c>
      <c r="GD12" s="231" t="s">
        <v>48</v>
      </c>
      <c r="GE12" s="307"/>
      <c r="GF12" s="183" t="str">
        <f t="shared" si="79"/>
        <v>10</v>
      </c>
      <c r="GG12" s="203" t="str">
        <f t="shared" si="80"/>
        <v>NG</v>
      </c>
      <c r="GH12" s="231" t="s">
        <v>48</v>
      </c>
      <c r="GI12" s="307"/>
      <c r="GJ12" s="183" t="str">
        <f t="shared" si="81"/>
        <v>10</v>
      </c>
      <c r="GK12" s="203" t="str">
        <f t="shared" si="82"/>
        <v>NG</v>
      </c>
      <c r="GL12" s="231" t="s">
        <v>48</v>
      </c>
      <c r="GM12" s="307"/>
      <c r="GN12" s="183" t="str">
        <f t="shared" si="83"/>
        <v>10</v>
      </c>
      <c r="GO12" s="203" t="str">
        <f t="shared" si="84"/>
        <v>NG</v>
      </c>
      <c r="GP12" s="231" t="s">
        <v>48</v>
      </c>
      <c r="GQ12" s="307"/>
      <c r="GR12" s="183" t="str">
        <f t="shared" si="85"/>
        <v>10</v>
      </c>
      <c r="GS12" s="203" t="str">
        <f t="shared" si="86"/>
        <v>NG</v>
      </c>
      <c r="GT12" s="202"/>
      <c r="GU12" s="202"/>
      <c r="GV12" s="173"/>
      <c r="GW12" s="173"/>
      <c r="GX12" s="173"/>
    </row>
    <row r="13" spans="1:206">
      <c r="A13" s="200" t="s">
        <v>444</v>
      </c>
      <c r="B13" s="225">
        <v>5</v>
      </c>
      <c r="C13" s="229"/>
      <c r="D13" s="229"/>
      <c r="E13" s="222" t="s">
        <v>35</v>
      </c>
      <c r="F13" s="221"/>
      <c r="G13" s="221"/>
      <c r="H13" s="220"/>
      <c r="I13" s="309"/>
      <c r="J13" s="309" t="s">
        <v>444</v>
      </c>
      <c r="K13" s="209"/>
      <c r="L13" s="209"/>
      <c r="M13" s="296" t="s">
        <v>470</v>
      </c>
      <c r="N13" s="209"/>
      <c r="O13" s="315"/>
      <c r="P13" s="310">
        <v>3</v>
      </c>
      <c r="Q13" s="296">
        <v>14</v>
      </c>
      <c r="R13" s="309" t="s">
        <v>447</v>
      </c>
      <c r="S13" s="296"/>
      <c r="T13" s="296"/>
      <c r="U13" s="309" t="s">
        <v>450</v>
      </c>
      <c r="V13" s="315"/>
      <c r="W13" s="292" t="str">
        <f t="shared" si="0"/>
        <v>2</v>
      </c>
      <c r="X13" s="210" t="s">
        <v>469</v>
      </c>
      <c r="Y13" s="210">
        <v>14</v>
      </c>
      <c r="Z13" s="210">
        <v>14</v>
      </c>
      <c r="AA13" s="209">
        <v>9</v>
      </c>
      <c r="AB13" s="209" t="s">
        <v>450</v>
      </c>
      <c r="AC13" s="296"/>
      <c r="AD13" s="231" t="s">
        <v>728</v>
      </c>
      <c r="AE13" s="323"/>
      <c r="AF13" s="322" t="str">
        <f t="shared" si="1"/>
        <v>20170920130000</v>
      </c>
      <c r="AG13" s="203" t="str">
        <f t="shared" si="2"/>
        <v>NG</v>
      </c>
      <c r="AH13" s="231" t="s">
        <v>728</v>
      </c>
      <c r="AI13" s="323"/>
      <c r="AJ13" s="322" t="str">
        <f t="shared" si="3"/>
        <v>20170920130000</v>
      </c>
      <c r="AK13" s="203" t="str">
        <f t="shared" si="4"/>
        <v>NG</v>
      </c>
      <c r="AL13" s="231" t="s">
        <v>728</v>
      </c>
      <c r="AM13" s="323"/>
      <c r="AN13" s="322" t="str">
        <f t="shared" si="5"/>
        <v>20170920130000</v>
      </c>
      <c r="AO13" s="203" t="str">
        <f t="shared" si="6"/>
        <v>NG</v>
      </c>
      <c r="AP13" s="231" t="s">
        <v>728</v>
      </c>
      <c r="AQ13" s="323"/>
      <c r="AR13" s="322" t="str">
        <f t="shared" si="7"/>
        <v>20170920130000</v>
      </c>
      <c r="AS13" s="203" t="str">
        <f t="shared" si="8"/>
        <v>NG</v>
      </c>
      <c r="AT13" s="231" t="s">
        <v>728</v>
      </c>
      <c r="AU13" s="323"/>
      <c r="AV13" s="322" t="str">
        <f t="shared" si="9"/>
        <v>20170920130000</v>
      </c>
      <c r="AW13" s="203" t="str">
        <f t="shared" si="10"/>
        <v>NG</v>
      </c>
      <c r="AX13" s="231" t="s">
        <v>728</v>
      </c>
      <c r="AY13" s="323"/>
      <c r="AZ13" s="322" t="str">
        <f t="shared" si="11"/>
        <v>20170920130000</v>
      </c>
      <c r="BA13" s="203" t="str">
        <f t="shared" si="12"/>
        <v>NG</v>
      </c>
      <c r="BB13" s="231" t="s">
        <v>728</v>
      </c>
      <c r="BC13" s="323"/>
      <c r="BD13" s="322" t="str">
        <f t="shared" si="13"/>
        <v>20170920130000</v>
      </c>
      <c r="BE13" s="203" t="str">
        <f t="shared" si="14"/>
        <v>NG</v>
      </c>
      <c r="BF13" s="231" t="s">
        <v>728</v>
      </c>
      <c r="BG13" s="323"/>
      <c r="BH13" s="322" t="str">
        <f t="shared" si="15"/>
        <v>20170920130000</v>
      </c>
      <c r="BI13" s="203" t="str">
        <f t="shared" si="16"/>
        <v>NG</v>
      </c>
      <c r="BJ13" s="231" t="s">
        <v>728</v>
      </c>
      <c r="BK13" s="323"/>
      <c r="BL13" s="322" t="str">
        <f t="shared" si="17"/>
        <v>20170920130000</v>
      </c>
      <c r="BM13" s="203" t="str">
        <f t="shared" si="18"/>
        <v>NG</v>
      </c>
      <c r="BN13" s="231" t="s">
        <v>728</v>
      </c>
      <c r="BO13" s="323"/>
      <c r="BP13" s="322" t="str">
        <f t="shared" si="19"/>
        <v>20170920130000</v>
      </c>
      <c r="BQ13" s="203" t="str">
        <f t="shared" si="20"/>
        <v>NG</v>
      </c>
      <c r="BR13" s="231" t="s">
        <v>728</v>
      </c>
      <c r="BS13" s="323"/>
      <c r="BT13" s="322" t="str">
        <f t="shared" si="21"/>
        <v>20170920130000</v>
      </c>
      <c r="BU13" s="203" t="str">
        <f t="shared" si="22"/>
        <v>NG</v>
      </c>
      <c r="BV13" s="231" t="s">
        <v>728</v>
      </c>
      <c r="BW13" s="323"/>
      <c r="BX13" s="322" t="str">
        <f t="shared" si="23"/>
        <v>20170920130000</v>
      </c>
      <c r="BY13" s="203" t="str">
        <f t="shared" si="24"/>
        <v>NG</v>
      </c>
      <c r="BZ13" s="231" t="s">
        <v>728</v>
      </c>
      <c r="CA13" s="323"/>
      <c r="CB13" s="322" t="str">
        <f t="shared" si="25"/>
        <v>20170920130000</v>
      </c>
      <c r="CC13" s="203" t="str">
        <f t="shared" si="26"/>
        <v>NG</v>
      </c>
      <c r="CD13" s="231" t="s">
        <v>728</v>
      </c>
      <c r="CE13" s="323"/>
      <c r="CF13" s="322" t="str">
        <f t="shared" si="27"/>
        <v>20170920130000</v>
      </c>
      <c r="CG13" s="203" t="str">
        <f t="shared" si="28"/>
        <v>NG</v>
      </c>
      <c r="CH13" s="231" t="s">
        <v>728</v>
      </c>
      <c r="CI13" s="323"/>
      <c r="CJ13" s="322" t="str">
        <f t="shared" si="29"/>
        <v>20170920130000</v>
      </c>
      <c r="CK13" s="203" t="str">
        <f t="shared" si="30"/>
        <v>NG</v>
      </c>
      <c r="CL13" s="231" t="s">
        <v>728</v>
      </c>
      <c r="CM13" s="323"/>
      <c r="CN13" s="322" t="str">
        <f t="shared" si="31"/>
        <v>20170920130000</v>
      </c>
      <c r="CO13" s="203" t="str">
        <f t="shared" si="32"/>
        <v>NG</v>
      </c>
      <c r="CP13" s="231" t="s">
        <v>728</v>
      </c>
      <c r="CQ13" s="323"/>
      <c r="CR13" s="322" t="str">
        <f t="shared" si="33"/>
        <v>20170920130000</v>
      </c>
      <c r="CS13" s="203" t="str">
        <f t="shared" si="34"/>
        <v>NG</v>
      </c>
      <c r="CT13" s="231" t="s">
        <v>728</v>
      </c>
      <c r="CU13" s="323"/>
      <c r="CV13" s="322" t="str">
        <f t="shared" si="35"/>
        <v>20170920130000</v>
      </c>
      <c r="CW13" s="203" t="str">
        <f t="shared" si="36"/>
        <v>NG</v>
      </c>
      <c r="CX13" s="231" t="s">
        <v>728</v>
      </c>
      <c r="CY13" s="323"/>
      <c r="CZ13" s="322" t="str">
        <f t="shared" si="37"/>
        <v>20170920130000</v>
      </c>
      <c r="DA13" s="203" t="str">
        <f t="shared" si="38"/>
        <v>NG</v>
      </c>
      <c r="DB13" s="231" t="s">
        <v>728</v>
      </c>
      <c r="DC13" s="323"/>
      <c r="DD13" s="322" t="str">
        <f t="shared" si="39"/>
        <v>20170920130000</v>
      </c>
      <c r="DE13" s="203" t="str">
        <f t="shared" si="40"/>
        <v>NG</v>
      </c>
      <c r="DF13" s="231" t="s">
        <v>728</v>
      </c>
      <c r="DG13" s="323"/>
      <c r="DH13" s="322" t="str">
        <f t="shared" si="41"/>
        <v>20170920130000</v>
      </c>
      <c r="DI13" s="203" t="str">
        <f t="shared" si="42"/>
        <v>NG</v>
      </c>
      <c r="DJ13" s="231" t="s">
        <v>728</v>
      </c>
      <c r="DK13" s="323"/>
      <c r="DL13" s="322" t="str">
        <f t="shared" si="43"/>
        <v>20170920130000</v>
      </c>
      <c r="DM13" s="203" t="str">
        <f t="shared" si="44"/>
        <v>NG</v>
      </c>
      <c r="DN13" s="231" t="s">
        <v>728</v>
      </c>
      <c r="DO13" s="323"/>
      <c r="DP13" s="322" t="str">
        <f t="shared" si="45"/>
        <v>20170920130000</v>
      </c>
      <c r="DQ13" s="203" t="str">
        <f t="shared" si="46"/>
        <v>NG</v>
      </c>
      <c r="DR13" s="231" t="s">
        <v>728</v>
      </c>
      <c r="DS13" s="323"/>
      <c r="DT13" s="322" t="str">
        <f t="shared" si="47"/>
        <v>20170920130000</v>
      </c>
      <c r="DU13" s="203" t="str">
        <f t="shared" si="48"/>
        <v>NG</v>
      </c>
      <c r="DV13" s="231" t="s">
        <v>728</v>
      </c>
      <c r="DW13" s="323"/>
      <c r="DX13" s="322" t="str">
        <f t="shared" si="49"/>
        <v>20170920130000</v>
      </c>
      <c r="DY13" s="203" t="str">
        <f t="shared" si="50"/>
        <v>NG</v>
      </c>
      <c r="DZ13" s="231" t="s">
        <v>728</v>
      </c>
      <c r="EA13" s="323"/>
      <c r="EB13" s="322" t="str">
        <f t="shared" si="51"/>
        <v>20170920130000</v>
      </c>
      <c r="EC13" s="203" t="str">
        <f t="shared" si="52"/>
        <v>NG</v>
      </c>
      <c r="ED13" s="231" t="s">
        <v>728</v>
      </c>
      <c r="EE13" s="323"/>
      <c r="EF13" s="322" t="str">
        <f t="shared" si="53"/>
        <v>20170920130000</v>
      </c>
      <c r="EG13" s="203" t="str">
        <f t="shared" si="54"/>
        <v>NG</v>
      </c>
      <c r="EH13" s="231" t="s">
        <v>728</v>
      </c>
      <c r="EI13" s="323"/>
      <c r="EJ13" s="322" t="str">
        <f t="shared" si="55"/>
        <v>20170920130000</v>
      </c>
      <c r="EK13" s="203" t="str">
        <f t="shared" si="56"/>
        <v>NG</v>
      </c>
      <c r="EL13" s="231" t="s">
        <v>728</v>
      </c>
      <c r="EM13" s="323"/>
      <c r="EN13" s="322" t="str">
        <f t="shared" si="57"/>
        <v>20170920130000</v>
      </c>
      <c r="EO13" s="203" t="str">
        <f t="shared" si="58"/>
        <v>NG</v>
      </c>
      <c r="EP13" s="231" t="s">
        <v>728</v>
      </c>
      <c r="EQ13" s="323"/>
      <c r="ER13" s="322" t="str">
        <f t="shared" si="59"/>
        <v>20170920130000</v>
      </c>
      <c r="ES13" s="203" t="str">
        <f t="shared" si="60"/>
        <v>NG</v>
      </c>
      <c r="ET13" s="231" t="s">
        <v>728</v>
      </c>
      <c r="EU13" s="323"/>
      <c r="EV13" s="322" t="str">
        <f t="shared" si="61"/>
        <v>20170920130000</v>
      </c>
      <c r="EW13" s="203" t="str">
        <f t="shared" si="62"/>
        <v>NG</v>
      </c>
      <c r="EX13" s="231" t="s">
        <v>728</v>
      </c>
      <c r="EY13" s="323"/>
      <c r="EZ13" s="322" t="str">
        <f t="shared" si="63"/>
        <v>20170920130000</v>
      </c>
      <c r="FA13" s="203" t="str">
        <f t="shared" si="64"/>
        <v>NG</v>
      </c>
      <c r="FB13" s="231" t="s">
        <v>728</v>
      </c>
      <c r="FC13" s="323"/>
      <c r="FD13" s="322" t="str">
        <f t="shared" si="65"/>
        <v>20170920130000</v>
      </c>
      <c r="FE13" s="203" t="str">
        <f t="shared" si="66"/>
        <v>NG</v>
      </c>
      <c r="FF13" s="231" t="s">
        <v>728</v>
      </c>
      <c r="FG13" s="323"/>
      <c r="FH13" s="322" t="str">
        <f t="shared" si="67"/>
        <v>20170920130000</v>
      </c>
      <c r="FI13" s="203" t="str">
        <f t="shared" si="68"/>
        <v>NG</v>
      </c>
      <c r="FJ13" s="231" t="s">
        <v>728</v>
      </c>
      <c r="FK13" s="323"/>
      <c r="FL13" s="322" t="str">
        <f t="shared" si="69"/>
        <v>20170920130000</v>
      </c>
      <c r="FM13" s="203" t="str">
        <f t="shared" si="70"/>
        <v>NG</v>
      </c>
      <c r="FN13" s="231" t="s">
        <v>728</v>
      </c>
      <c r="FO13" s="323"/>
      <c r="FP13" s="322" t="str">
        <f t="shared" si="71"/>
        <v>20170920130000</v>
      </c>
      <c r="FQ13" s="203" t="str">
        <f t="shared" si="72"/>
        <v>NG</v>
      </c>
      <c r="FR13" s="231" t="s">
        <v>728</v>
      </c>
      <c r="FS13" s="323"/>
      <c r="FT13" s="322" t="str">
        <f t="shared" si="73"/>
        <v>20170920130000</v>
      </c>
      <c r="FU13" s="203" t="str">
        <f t="shared" si="74"/>
        <v>NG</v>
      </c>
      <c r="FV13" s="231" t="s">
        <v>728</v>
      </c>
      <c r="FW13" s="323"/>
      <c r="FX13" s="322" t="str">
        <f t="shared" si="75"/>
        <v>20170920130000</v>
      </c>
      <c r="FY13" s="203" t="str">
        <f t="shared" si="76"/>
        <v>NG</v>
      </c>
      <c r="FZ13" s="231" t="s">
        <v>728</v>
      </c>
      <c r="GA13" s="323"/>
      <c r="GB13" s="322" t="str">
        <f t="shared" si="77"/>
        <v>20170920130000</v>
      </c>
      <c r="GC13" s="203" t="str">
        <f t="shared" si="78"/>
        <v>NG</v>
      </c>
      <c r="GD13" s="231" t="s">
        <v>728</v>
      </c>
      <c r="GE13" s="323"/>
      <c r="GF13" s="322" t="str">
        <f t="shared" si="79"/>
        <v>20170920130000</v>
      </c>
      <c r="GG13" s="203" t="str">
        <f t="shared" si="80"/>
        <v>NG</v>
      </c>
      <c r="GH13" s="231" t="s">
        <v>728</v>
      </c>
      <c r="GI13" s="323"/>
      <c r="GJ13" s="322" t="str">
        <f t="shared" si="81"/>
        <v>20170920130000</v>
      </c>
      <c r="GK13" s="203" t="str">
        <f t="shared" si="82"/>
        <v>NG</v>
      </c>
      <c r="GL13" s="231" t="s">
        <v>728</v>
      </c>
      <c r="GM13" s="323"/>
      <c r="GN13" s="322" t="str">
        <f t="shared" si="83"/>
        <v>20170920130000</v>
      </c>
      <c r="GO13" s="203" t="str">
        <f t="shared" si="84"/>
        <v>NG</v>
      </c>
      <c r="GP13" s="231" t="s">
        <v>727</v>
      </c>
      <c r="GQ13" s="323"/>
      <c r="GR13" s="322" t="str">
        <f t="shared" si="85"/>
        <v>20170920130000</v>
      </c>
      <c r="GS13" s="203" t="str">
        <f t="shared" si="86"/>
        <v>NG</v>
      </c>
      <c r="GT13" s="202"/>
      <c r="GU13" s="202"/>
      <c r="GV13" s="173"/>
      <c r="GW13" s="173"/>
      <c r="GX13" s="173"/>
    </row>
    <row r="14" spans="1:206">
      <c r="A14" s="200" t="s">
        <v>444</v>
      </c>
      <c r="B14" s="225">
        <v>6</v>
      </c>
      <c r="C14" s="229"/>
      <c r="D14" s="229"/>
      <c r="E14" s="234" t="s">
        <v>36</v>
      </c>
      <c r="F14" s="221"/>
      <c r="G14" s="221"/>
      <c r="H14" s="220"/>
      <c r="I14" s="309"/>
      <c r="J14" s="309" t="s">
        <v>444</v>
      </c>
      <c r="K14" s="209"/>
      <c r="L14" s="209"/>
      <c r="M14" s="296"/>
      <c r="N14" s="209"/>
      <c r="O14" s="315"/>
      <c r="P14" s="310"/>
      <c r="Q14" s="296"/>
      <c r="R14" s="309"/>
      <c r="S14" s="296"/>
      <c r="T14" s="296"/>
      <c r="U14" s="309"/>
      <c r="V14" s="315"/>
      <c r="W14" s="292" t="str">
        <f t="shared" si="0"/>
        <v>2</v>
      </c>
      <c r="X14" s="210" t="s">
        <v>468</v>
      </c>
      <c r="Y14" s="210"/>
      <c r="Z14" s="210"/>
      <c r="AA14" s="209"/>
      <c r="AB14" s="209" t="s">
        <v>450</v>
      </c>
      <c r="AC14" s="296"/>
      <c r="AD14" s="206"/>
      <c r="AE14" s="321"/>
      <c r="AF14" s="183"/>
      <c r="AG14" s="203" t="str">
        <f t="shared" si="2"/>
        <v>OK</v>
      </c>
      <c r="AH14" s="206"/>
      <c r="AI14" s="321"/>
      <c r="AJ14" s="183"/>
      <c r="AK14" s="203" t="str">
        <f t="shared" si="4"/>
        <v>OK</v>
      </c>
      <c r="AL14" s="206"/>
      <c r="AM14" s="321"/>
      <c r="AN14" s="183"/>
      <c r="AO14" s="203" t="str">
        <f t="shared" si="6"/>
        <v>OK</v>
      </c>
      <c r="AP14" s="206"/>
      <c r="AQ14" s="321"/>
      <c r="AR14" s="183"/>
      <c r="AS14" s="203" t="str">
        <f t="shared" si="8"/>
        <v>OK</v>
      </c>
      <c r="AT14" s="206"/>
      <c r="AU14" s="321"/>
      <c r="AV14" s="183"/>
      <c r="AW14" s="203" t="str">
        <f t="shared" si="10"/>
        <v>OK</v>
      </c>
      <c r="AX14" s="206"/>
      <c r="AY14" s="321"/>
      <c r="AZ14" s="183"/>
      <c r="BA14" s="203" t="str">
        <f t="shared" si="12"/>
        <v>OK</v>
      </c>
      <c r="BB14" s="206"/>
      <c r="BC14" s="321"/>
      <c r="BD14" s="183"/>
      <c r="BE14" s="203" t="str">
        <f t="shared" si="14"/>
        <v>OK</v>
      </c>
      <c r="BF14" s="206"/>
      <c r="BG14" s="321"/>
      <c r="BH14" s="183"/>
      <c r="BI14" s="203" t="str">
        <f t="shared" si="16"/>
        <v>OK</v>
      </c>
      <c r="BJ14" s="206"/>
      <c r="BK14" s="321"/>
      <c r="BL14" s="183"/>
      <c r="BM14" s="203" t="str">
        <f t="shared" si="18"/>
        <v>OK</v>
      </c>
      <c r="BN14" s="206"/>
      <c r="BO14" s="321"/>
      <c r="BP14" s="183"/>
      <c r="BQ14" s="203" t="str">
        <f t="shared" si="20"/>
        <v>OK</v>
      </c>
      <c r="BR14" s="206"/>
      <c r="BS14" s="321"/>
      <c r="BT14" s="183"/>
      <c r="BU14" s="203" t="str">
        <f t="shared" si="22"/>
        <v>OK</v>
      </c>
      <c r="BV14" s="206"/>
      <c r="BW14" s="321"/>
      <c r="BX14" s="183"/>
      <c r="BY14" s="203" t="str">
        <f t="shared" si="24"/>
        <v>OK</v>
      </c>
      <c r="BZ14" s="206"/>
      <c r="CA14" s="321"/>
      <c r="CB14" s="183"/>
      <c r="CC14" s="203" t="str">
        <f t="shared" si="26"/>
        <v>OK</v>
      </c>
      <c r="CD14" s="206"/>
      <c r="CE14" s="321"/>
      <c r="CF14" s="183"/>
      <c r="CG14" s="203" t="str">
        <f t="shared" si="28"/>
        <v>OK</v>
      </c>
      <c r="CH14" s="206"/>
      <c r="CI14" s="321"/>
      <c r="CJ14" s="183"/>
      <c r="CK14" s="203" t="str">
        <f t="shared" si="30"/>
        <v>OK</v>
      </c>
      <c r="CL14" s="206"/>
      <c r="CM14" s="321"/>
      <c r="CN14" s="183"/>
      <c r="CO14" s="203" t="str">
        <f t="shared" si="32"/>
        <v>OK</v>
      </c>
      <c r="CP14" s="206"/>
      <c r="CQ14" s="321"/>
      <c r="CR14" s="183"/>
      <c r="CS14" s="203" t="str">
        <f t="shared" si="34"/>
        <v>OK</v>
      </c>
      <c r="CT14" s="206"/>
      <c r="CU14" s="321"/>
      <c r="CV14" s="183"/>
      <c r="CW14" s="203" t="str">
        <f t="shared" si="36"/>
        <v>OK</v>
      </c>
      <c r="CX14" s="206"/>
      <c r="CY14" s="321"/>
      <c r="CZ14" s="183"/>
      <c r="DA14" s="203" t="str">
        <f t="shared" si="38"/>
        <v>OK</v>
      </c>
      <c r="DB14" s="206"/>
      <c r="DC14" s="321"/>
      <c r="DD14" s="183"/>
      <c r="DE14" s="203" t="str">
        <f t="shared" si="40"/>
        <v>OK</v>
      </c>
      <c r="DF14" s="206"/>
      <c r="DG14" s="321"/>
      <c r="DH14" s="183"/>
      <c r="DI14" s="203" t="str">
        <f t="shared" si="42"/>
        <v>OK</v>
      </c>
      <c r="DJ14" s="206"/>
      <c r="DK14" s="321"/>
      <c r="DL14" s="183"/>
      <c r="DM14" s="203" t="str">
        <f t="shared" si="44"/>
        <v>OK</v>
      </c>
      <c r="DN14" s="206"/>
      <c r="DO14" s="321"/>
      <c r="DP14" s="183"/>
      <c r="DQ14" s="203" t="str">
        <f t="shared" si="46"/>
        <v>OK</v>
      </c>
      <c r="DR14" s="206"/>
      <c r="DS14" s="321"/>
      <c r="DT14" s="183"/>
      <c r="DU14" s="203" t="str">
        <f t="shared" si="48"/>
        <v>OK</v>
      </c>
      <c r="DV14" s="206"/>
      <c r="DW14" s="321"/>
      <c r="DX14" s="183"/>
      <c r="DY14" s="203" t="str">
        <f t="shared" si="50"/>
        <v>OK</v>
      </c>
      <c r="DZ14" s="206"/>
      <c r="EA14" s="321"/>
      <c r="EB14" s="183"/>
      <c r="EC14" s="203" t="str">
        <f t="shared" si="52"/>
        <v>OK</v>
      </c>
      <c r="ED14" s="206"/>
      <c r="EE14" s="321"/>
      <c r="EF14" s="183"/>
      <c r="EG14" s="203" t="str">
        <f t="shared" si="54"/>
        <v>OK</v>
      </c>
      <c r="EH14" s="206"/>
      <c r="EI14" s="321"/>
      <c r="EJ14" s="183"/>
      <c r="EK14" s="203" t="str">
        <f t="shared" si="56"/>
        <v>OK</v>
      </c>
      <c r="EL14" s="206"/>
      <c r="EM14" s="321"/>
      <c r="EN14" s="183"/>
      <c r="EO14" s="203" t="str">
        <f t="shared" si="58"/>
        <v>OK</v>
      </c>
      <c r="EP14" s="206"/>
      <c r="EQ14" s="321"/>
      <c r="ER14" s="183"/>
      <c r="ES14" s="203" t="str">
        <f t="shared" si="60"/>
        <v>OK</v>
      </c>
      <c r="ET14" s="206"/>
      <c r="EU14" s="321"/>
      <c r="EV14" s="183"/>
      <c r="EW14" s="203" t="str">
        <f t="shared" si="62"/>
        <v>OK</v>
      </c>
      <c r="EX14" s="206"/>
      <c r="EY14" s="321"/>
      <c r="EZ14" s="183"/>
      <c r="FA14" s="203" t="str">
        <f t="shared" si="64"/>
        <v>OK</v>
      </c>
      <c r="FB14" s="206"/>
      <c r="FC14" s="321"/>
      <c r="FD14" s="183"/>
      <c r="FE14" s="203" t="str">
        <f t="shared" si="66"/>
        <v>OK</v>
      </c>
      <c r="FF14" s="206"/>
      <c r="FG14" s="321"/>
      <c r="FH14" s="183"/>
      <c r="FI14" s="203" t="str">
        <f t="shared" si="68"/>
        <v>OK</v>
      </c>
      <c r="FJ14" s="206"/>
      <c r="FK14" s="321"/>
      <c r="FL14" s="183"/>
      <c r="FM14" s="203" t="str">
        <f t="shared" si="70"/>
        <v>OK</v>
      </c>
      <c r="FN14" s="206"/>
      <c r="FO14" s="321"/>
      <c r="FP14" s="183"/>
      <c r="FQ14" s="203" t="str">
        <f t="shared" si="72"/>
        <v>OK</v>
      </c>
      <c r="FR14" s="206"/>
      <c r="FS14" s="321"/>
      <c r="FT14" s="183"/>
      <c r="FU14" s="203" t="str">
        <f t="shared" si="74"/>
        <v>OK</v>
      </c>
      <c r="FV14" s="206"/>
      <c r="FW14" s="321"/>
      <c r="FX14" s="183"/>
      <c r="FY14" s="203" t="str">
        <f t="shared" si="76"/>
        <v>OK</v>
      </c>
      <c r="FZ14" s="206"/>
      <c r="GA14" s="321"/>
      <c r="GB14" s="183"/>
      <c r="GC14" s="203" t="str">
        <f t="shared" si="78"/>
        <v>OK</v>
      </c>
      <c r="GD14" s="206"/>
      <c r="GE14" s="321"/>
      <c r="GF14" s="183"/>
      <c r="GG14" s="203" t="str">
        <f t="shared" si="80"/>
        <v>OK</v>
      </c>
      <c r="GH14" s="206"/>
      <c r="GI14" s="321"/>
      <c r="GJ14" s="183"/>
      <c r="GK14" s="203" t="str">
        <f t="shared" si="82"/>
        <v>OK</v>
      </c>
      <c r="GL14" s="206"/>
      <c r="GM14" s="321"/>
      <c r="GN14" s="183"/>
      <c r="GO14" s="203" t="str">
        <f t="shared" si="84"/>
        <v>OK</v>
      </c>
      <c r="GP14" s="206"/>
      <c r="GQ14" s="321"/>
      <c r="GR14" s="183"/>
      <c r="GS14" s="203" t="str">
        <f t="shared" si="86"/>
        <v>OK</v>
      </c>
      <c r="GT14" s="202"/>
      <c r="GU14" s="202"/>
      <c r="GV14" s="173"/>
      <c r="GW14" s="173"/>
      <c r="GX14" s="173"/>
    </row>
    <row r="15" spans="1:206">
      <c r="A15" s="200" t="s">
        <v>444</v>
      </c>
      <c r="B15" s="225">
        <v>7</v>
      </c>
      <c r="C15" s="229"/>
      <c r="D15" s="229"/>
      <c r="E15" s="229"/>
      <c r="F15" s="222" t="s">
        <v>37</v>
      </c>
      <c r="G15" s="222"/>
      <c r="H15" s="220"/>
      <c r="I15" s="309"/>
      <c r="J15" s="309" t="s">
        <v>444</v>
      </c>
      <c r="K15" s="209"/>
      <c r="L15" s="209"/>
      <c r="M15" s="320" t="s">
        <v>38</v>
      </c>
      <c r="N15" s="210"/>
      <c r="O15" s="315"/>
      <c r="P15" s="310">
        <v>4</v>
      </c>
      <c r="Q15" s="296">
        <v>4</v>
      </c>
      <c r="R15" s="309" t="s">
        <v>447</v>
      </c>
      <c r="S15" s="296"/>
      <c r="T15" s="296"/>
      <c r="U15" s="309" t="s">
        <v>450</v>
      </c>
      <c r="V15" s="315"/>
      <c r="W15" s="292" t="str">
        <f t="shared" si="0"/>
        <v>3</v>
      </c>
      <c r="X15" s="210" t="s">
        <v>467</v>
      </c>
      <c r="Y15" s="210">
        <v>1</v>
      </c>
      <c r="Z15" s="210">
        <v>4</v>
      </c>
      <c r="AA15" s="209" t="s">
        <v>447</v>
      </c>
      <c r="AB15" s="209" t="s">
        <v>450</v>
      </c>
      <c r="AC15" s="296"/>
      <c r="AD15" s="231" t="s">
        <v>72</v>
      </c>
      <c r="AE15" s="307"/>
      <c r="AF15" s="183" t="str">
        <f t="shared" ref="AF15:AF20" si="87">IF($AA15="","",IF(AD15="","",AD15))</f>
        <v>FMC</v>
      </c>
      <c r="AG15" s="203" t="str">
        <f t="shared" si="2"/>
        <v>NG</v>
      </c>
      <c r="AH15" s="231" t="s">
        <v>72</v>
      </c>
      <c r="AI15" s="307"/>
      <c r="AJ15" s="183" t="str">
        <f t="shared" ref="AJ15:AJ20" si="88">IF($AA15="","",IF(AH15="","",AH15))</f>
        <v>FMC</v>
      </c>
      <c r="AK15" s="203" t="str">
        <f t="shared" si="4"/>
        <v>NG</v>
      </c>
      <c r="AL15" s="231" t="s">
        <v>72</v>
      </c>
      <c r="AM15" s="307"/>
      <c r="AN15" s="183" t="str">
        <f t="shared" ref="AN15:AN20" si="89">IF($AA15="","",IF(AL15="","",AL15))</f>
        <v>FMC</v>
      </c>
      <c r="AO15" s="203" t="str">
        <f t="shared" si="6"/>
        <v>NG</v>
      </c>
      <c r="AP15" s="231" t="s">
        <v>72</v>
      </c>
      <c r="AQ15" s="307"/>
      <c r="AR15" s="183" t="str">
        <f t="shared" ref="AR15:AR20" si="90">IF($AA15="","",IF(AP15="","",AP15))</f>
        <v>FMC</v>
      </c>
      <c r="AS15" s="203" t="str">
        <f t="shared" si="8"/>
        <v>NG</v>
      </c>
      <c r="AT15" s="231" t="s">
        <v>72</v>
      </c>
      <c r="AU15" s="307"/>
      <c r="AV15" s="183" t="str">
        <f t="shared" ref="AV15:AV20" si="91">IF($AA15="","",IF(AT15="","",AT15))</f>
        <v>FMC</v>
      </c>
      <c r="AW15" s="203" t="str">
        <f t="shared" si="10"/>
        <v>NG</v>
      </c>
      <c r="AX15" s="231" t="s">
        <v>72</v>
      </c>
      <c r="AY15" s="307"/>
      <c r="AZ15" s="183" t="str">
        <f t="shared" ref="AZ15:AZ20" si="92">IF($AA15="","",IF(AX15="","",AX15))</f>
        <v>FMC</v>
      </c>
      <c r="BA15" s="203" t="str">
        <f t="shared" si="12"/>
        <v>NG</v>
      </c>
      <c r="BB15" s="231" t="s">
        <v>72</v>
      </c>
      <c r="BC15" s="307"/>
      <c r="BD15" s="183" t="str">
        <f t="shared" ref="BD15:BD20" si="93">IF($AA15="","",IF(BB15="","",BB15))</f>
        <v>FMC</v>
      </c>
      <c r="BE15" s="203" t="str">
        <f t="shared" si="14"/>
        <v>NG</v>
      </c>
      <c r="BF15" s="231" t="s">
        <v>72</v>
      </c>
      <c r="BG15" s="307"/>
      <c r="BH15" s="183" t="str">
        <f t="shared" ref="BH15:BH20" si="94">IF($AA15="","",IF(BF15="","",BF15))</f>
        <v>FMC</v>
      </c>
      <c r="BI15" s="203" t="str">
        <f t="shared" si="16"/>
        <v>NG</v>
      </c>
      <c r="BJ15" s="231" t="s">
        <v>72</v>
      </c>
      <c r="BK15" s="307"/>
      <c r="BL15" s="183" t="str">
        <f t="shared" ref="BL15:BL20" si="95">IF($AA15="","",IF(BJ15="","",BJ15))</f>
        <v>FMC</v>
      </c>
      <c r="BM15" s="203" t="str">
        <f t="shared" si="18"/>
        <v>NG</v>
      </c>
      <c r="BN15" s="231" t="s">
        <v>72</v>
      </c>
      <c r="BO15" s="307"/>
      <c r="BP15" s="183" t="str">
        <f t="shared" ref="BP15:BP20" si="96">IF($AA15="","",IF(BN15="","",BN15))</f>
        <v>FMC</v>
      </c>
      <c r="BQ15" s="203" t="str">
        <f t="shared" si="20"/>
        <v>NG</v>
      </c>
      <c r="BR15" s="231" t="s">
        <v>72</v>
      </c>
      <c r="BS15" s="307"/>
      <c r="BT15" s="183" t="str">
        <f t="shared" ref="BT15:BT20" si="97">IF($AA15="","",IF(BR15="","",BR15))</f>
        <v>FMC</v>
      </c>
      <c r="BU15" s="203" t="str">
        <f t="shared" si="22"/>
        <v>NG</v>
      </c>
      <c r="BV15" s="231" t="s">
        <v>72</v>
      </c>
      <c r="BW15" s="307"/>
      <c r="BX15" s="183" t="str">
        <f t="shared" ref="BX15:BX20" si="98">IF($AA15="","",IF(BV15="","",BV15))</f>
        <v>FMC</v>
      </c>
      <c r="BY15" s="203" t="str">
        <f t="shared" si="24"/>
        <v>NG</v>
      </c>
      <c r="BZ15" s="231" t="s">
        <v>72</v>
      </c>
      <c r="CA15" s="307"/>
      <c r="CB15" s="183" t="str">
        <f t="shared" ref="CB15:CB20" si="99">IF($AA15="","",IF(BZ15="","",BZ15))</f>
        <v>FMC</v>
      </c>
      <c r="CC15" s="203" t="str">
        <f t="shared" si="26"/>
        <v>NG</v>
      </c>
      <c r="CD15" s="231" t="s">
        <v>72</v>
      </c>
      <c r="CE15" s="307"/>
      <c r="CF15" s="183" t="str">
        <f t="shared" ref="CF15:CF20" si="100">IF($AA15="","",IF(CD15="","",CD15))</f>
        <v>FMC</v>
      </c>
      <c r="CG15" s="203" t="str">
        <f t="shared" si="28"/>
        <v>NG</v>
      </c>
      <c r="CH15" s="231" t="s">
        <v>72</v>
      </c>
      <c r="CI15" s="307"/>
      <c r="CJ15" s="183" t="str">
        <f t="shared" ref="CJ15:CJ20" si="101">IF($AA15="","",IF(CH15="","",CH15))</f>
        <v>FMC</v>
      </c>
      <c r="CK15" s="203" t="str">
        <f t="shared" si="30"/>
        <v>NG</v>
      </c>
      <c r="CL15" s="231" t="s">
        <v>72</v>
      </c>
      <c r="CM15" s="307"/>
      <c r="CN15" s="183" t="str">
        <f t="shared" ref="CN15:CN20" si="102">IF($AA15="","",IF(CL15="","",CL15))</f>
        <v>FMC</v>
      </c>
      <c r="CO15" s="203" t="str">
        <f t="shared" si="32"/>
        <v>NG</v>
      </c>
      <c r="CP15" s="231" t="s">
        <v>72</v>
      </c>
      <c r="CQ15" s="307"/>
      <c r="CR15" s="183" t="str">
        <f t="shared" ref="CR15:CR20" si="103">IF($AA15="","",IF(CP15="","",CP15))</f>
        <v>FMC</v>
      </c>
      <c r="CS15" s="203" t="str">
        <f t="shared" si="34"/>
        <v>NG</v>
      </c>
      <c r="CT15" s="231" t="s">
        <v>72</v>
      </c>
      <c r="CU15" s="307"/>
      <c r="CV15" s="183" t="str">
        <f t="shared" ref="CV15:CV20" si="104">IF($AA15="","",IF(CT15="","",CT15))</f>
        <v>FMC</v>
      </c>
      <c r="CW15" s="203" t="str">
        <f t="shared" si="36"/>
        <v>NG</v>
      </c>
      <c r="CX15" s="231" t="s">
        <v>72</v>
      </c>
      <c r="CY15" s="307"/>
      <c r="CZ15" s="183" t="str">
        <f t="shared" ref="CZ15:CZ20" si="105">IF($AA15="","",IF(CX15="","",CX15))</f>
        <v>FMC</v>
      </c>
      <c r="DA15" s="203" t="str">
        <f t="shared" si="38"/>
        <v>NG</v>
      </c>
      <c r="DB15" s="231" t="s">
        <v>72</v>
      </c>
      <c r="DC15" s="307"/>
      <c r="DD15" s="183" t="str">
        <f t="shared" ref="DD15:DD20" si="106">IF($AA15="","",IF(DB15="","",DB15))</f>
        <v>FMC</v>
      </c>
      <c r="DE15" s="203" t="str">
        <f t="shared" si="40"/>
        <v>NG</v>
      </c>
      <c r="DF15" s="231" t="s">
        <v>72</v>
      </c>
      <c r="DG15" s="307"/>
      <c r="DH15" s="183" t="str">
        <f t="shared" ref="DH15:DH20" si="107">IF($AA15="","",IF(DF15="","",DF15))</f>
        <v>FMC</v>
      </c>
      <c r="DI15" s="203" t="str">
        <f t="shared" si="42"/>
        <v>NG</v>
      </c>
      <c r="DJ15" s="231" t="s">
        <v>72</v>
      </c>
      <c r="DK15" s="307"/>
      <c r="DL15" s="183" t="str">
        <f t="shared" ref="DL15:DL20" si="108">IF($AA15="","",IF(DJ15="","",DJ15))</f>
        <v>FMC</v>
      </c>
      <c r="DM15" s="203" t="str">
        <f t="shared" si="44"/>
        <v>NG</v>
      </c>
      <c r="DN15" s="231" t="s">
        <v>72</v>
      </c>
      <c r="DO15" s="307"/>
      <c r="DP15" s="183" t="str">
        <f t="shared" ref="DP15:DP20" si="109">IF($AA15="","",IF(DN15="","",DN15))</f>
        <v>FMC</v>
      </c>
      <c r="DQ15" s="203" t="str">
        <f t="shared" si="46"/>
        <v>NG</v>
      </c>
      <c r="DR15" s="231" t="s">
        <v>72</v>
      </c>
      <c r="DS15" s="307"/>
      <c r="DT15" s="183" t="str">
        <f t="shared" ref="DT15:DT20" si="110">IF($AA15="","",IF(DR15="","",DR15))</f>
        <v>FMC</v>
      </c>
      <c r="DU15" s="203" t="str">
        <f t="shared" si="48"/>
        <v>NG</v>
      </c>
      <c r="DV15" s="231" t="s">
        <v>72</v>
      </c>
      <c r="DW15" s="307"/>
      <c r="DX15" s="183" t="str">
        <f t="shared" ref="DX15:DX20" si="111">IF($AA15="","",IF(DV15="","",DV15))</f>
        <v>FMC</v>
      </c>
      <c r="DY15" s="203" t="str">
        <f t="shared" si="50"/>
        <v>NG</v>
      </c>
      <c r="DZ15" s="231" t="s">
        <v>72</v>
      </c>
      <c r="EA15" s="307"/>
      <c r="EB15" s="183" t="str">
        <f t="shared" ref="EB15:EB20" si="112">IF($AA15="","",IF(DZ15="","",DZ15))</f>
        <v>FMC</v>
      </c>
      <c r="EC15" s="203" t="str">
        <f t="shared" si="52"/>
        <v>NG</v>
      </c>
      <c r="ED15" s="231" t="s">
        <v>72</v>
      </c>
      <c r="EE15" s="307"/>
      <c r="EF15" s="183" t="str">
        <f t="shared" ref="EF15:EF20" si="113">IF($AA15="","",IF(ED15="","",ED15))</f>
        <v>FMC</v>
      </c>
      <c r="EG15" s="203" t="str">
        <f t="shared" si="54"/>
        <v>NG</v>
      </c>
      <c r="EH15" s="231" t="s">
        <v>72</v>
      </c>
      <c r="EI15" s="307"/>
      <c r="EJ15" s="183" t="str">
        <f t="shared" ref="EJ15:EJ20" si="114">IF($AA15="","",IF(EH15="","",EH15))</f>
        <v>FMC</v>
      </c>
      <c r="EK15" s="203" t="str">
        <f t="shared" si="56"/>
        <v>NG</v>
      </c>
      <c r="EL15" s="231" t="s">
        <v>72</v>
      </c>
      <c r="EM15" s="307"/>
      <c r="EN15" s="183" t="str">
        <f t="shared" ref="EN15:EN20" si="115">IF($AA15="","",IF(EL15="","",EL15))</f>
        <v>FMC</v>
      </c>
      <c r="EO15" s="203" t="str">
        <f t="shared" si="58"/>
        <v>NG</v>
      </c>
      <c r="EP15" s="231" t="s">
        <v>72</v>
      </c>
      <c r="EQ15" s="307"/>
      <c r="ER15" s="183" t="str">
        <f t="shared" ref="ER15:ER20" si="116">IF($AA15="","",IF(EP15="","",EP15))</f>
        <v>FMC</v>
      </c>
      <c r="ES15" s="203" t="str">
        <f t="shared" si="60"/>
        <v>NG</v>
      </c>
      <c r="ET15" s="231" t="s">
        <v>72</v>
      </c>
      <c r="EU15" s="307"/>
      <c r="EV15" s="183" t="str">
        <f t="shared" ref="EV15:EV20" si="117">IF($AA15="","",IF(ET15="","",ET15))</f>
        <v>FMC</v>
      </c>
      <c r="EW15" s="203" t="str">
        <f t="shared" si="62"/>
        <v>NG</v>
      </c>
      <c r="EX15" s="231" t="s">
        <v>72</v>
      </c>
      <c r="EY15" s="307"/>
      <c r="EZ15" s="183" t="str">
        <f t="shared" ref="EZ15:EZ20" si="118">IF($AA15="","",IF(EX15="","",EX15))</f>
        <v>FMC</v>
      </c>
      <c r="FA15" s="203" t="str">
        <f t="shared" si="64"/>
        <v>NG</v>
      </c>
      <c r="FB15" s="231" t="s">
        <v>72</v>
      </c>
      <c r="FC15" s="307"/>
      <c r="FD15" s="183" t="str">
        <f t="shared" ref="FD15:FD20" si="119">IF($AA15="","",IF(FB15="","",FB15))</f>
        <v>FMC</v>
      </c>
      <c r="FE15" s="203" t="str">
        <f t="shared" si="66"/>
        <v>NG</v>
      </c>
      <c r="FF15" s="231" t="s">
        <v>72</v>
      </c>
      <c r="FG15" s="307"/>
      <c r="FH15" s="183" t="str">
        <f t="shared" ref="FH15:FH20" si="120">IF($AA15="","",IF(FF15="","",FF15))</f>
        <v>FMC</v>
      </c>
      <c r="FI15" s="203" t="str">
        <f t="shared" si="68"/>
        <v>NG</v>
      </c>
      <c r="FJ15" s="231" t="s">
        <v>72</v>
      </c>
      <c r="FK15" s="307"/>
      <c r="FL15" s="183" t="str">
        <f t="shared" ref="FL15:FL20" si="121">IF($AA15="","",IF(FJ15="","",FJ15))</f>
        <v>FMC</v>
      </c>
      <c r="FM15" s="203" t="str">
        <f t="shared" si="70"/>
        <v>NG</v>
      </c>
      <c r="FN15" s="231" t="s">
        <v>72</v>
      </c>
      <c r="FO15" s="307"/>
      <c r="FP15" s="183" t="str">
        <f t="shared" ref="FP15:FP20" si="122">IF($AA15="","",IF(FN15="","",FN15))</f>
        <v>FMC</v>
      </c>
      <c r="FQ15" s="203" t="str">
        <f t="shared" si="72"/>
        <v>NG</v>
      </c>
      <c r="FR15" s="231" t="s">
        <v>72</v>
      </c>
      <c r="FS15" s="307"/>
      <c r="FT15" s="183" t="str">
        <f t="shared" ref="FT15:FT20" si="123">IF($AA15="","",IF(FR15="","",FR15))</f>
        <v>FMC</v>
      </c>
      <c r="FU15" s="203" t="str">
        <f t="shared" si="74"/>
        <v>NG</v>
      </c>
      <c r="FV15" s="231" t="s">
        <v>72</v>
      </c>
      <c r="FW15" s="307"/>
      <c r="FX15" s="183" t="str">
        <f t="shared" ref="FX15:FX20" si="124">IF($AA15="","",IF(FV15="","",FV15))</f>
        <v>FMC</v>
      </c>
      <c r="FY15" s="203" t="str">
        <f t="shared" si="76"/>
        <v>NG</v>
      </c>
      <c r="FZ15" s="231" t="s">
        <v>72</v>
      </c>
      <c r="GA15" s="307"/>
      <c r="GB15" s="183" t="str">
        <f t="shared" ref="GB15:GB20" si="125">IF($AA15="","",IF(FZ15="","",FZ15))</f>
        <v>FMC</v>
      </c>
      <c r="GC15" s="203" t="str">
        <f t="shared" si="78"/>
        <v>NG</v>
      </c>
      <c r="GD15" s="231" t="s">
        <v>72</v>
      </c>
      <c r="GE15" s="307"/>
      <c r="GF15" s="183" t="str">
        <f t="shared" ref="GF15:GF20" si="126">IF($AA15="","",IF(GD15="","",GD15))</f>
        <v>FMC</v>
      </c>
      <c r="GG15" s="203" t="str">
        <f t="shared" si="80"/>
        <v>NG</v>
      </c>
      <c r="GH15" s="231" t="s">
        <v>72</v>
      </c>
      <c r="GI15" s="307"/>
      <c r="GJ15" s="183" t="str">
        <f t="shared" ref="GJ15:GJ20" si="127">IF($AA15="","",IF(GH15="","",GH15))</f>
        <v>FMC</v>
      </c>
      <c r="GK15" s="203" t="str">
        <f t="shared" si="82"/>
        <v>NG</v>
      </c>
      <c r="GL15" s="231" t="s">
        <v>72</v>
      </c>
      <c r="GM15" s="307"/>
      <c r="GN15" s="183" t="str">
        <f t="shared" ref="GN15:GN20" si="128">IF($AA15="","",IF(GL15="","",GL15))</f>
        <v>FMC</v>
      </c>
      <c r="GO15" s="203" t="str">
        <f t="shared" si="84"/>
        <v>NG</v>
      </c>
      <c r="GP15" s="231" t="s">
        <v>72</v>
      </c>
      <c r="GQ15" s="307"/>
      <c r="GR15" s="183" t="str">
        <f t="shared" ref="GR15:GR20" si="129">IF($AA15="","",IF(GP15="","",GP15))</f>
        <v>FMC</v>
      </c>
      <c r="GS15" s="203" t="str">
        <f t="shared" si="86"/>
        <v>NG</v>
      </c>
      <c r="GT15" s="202"/>
      <c r="GU15" s="202"/>
      <c r="GV15" s="173"/>
      <c r="GW15" s="173"/>
      <c r="GX15" s="173"/>
    </row>
    <row r="16" spans="1:206" ht="89.25">
      <c r="A16" s="200" t="s">
        <v>444</v>
      </c>
      <c r="B16" s="225">
        <v>8</v>
      </c>
      <c r="C16" s="229"/>
      <c r="D16" s="229"/>
      <c r="E16" s="229"/>
      <c r="F16" s="222" t="s">
        <v>39</v>
      </c>
      <c r="G16" s="222"/>
      <c r="H16" s="220"/>
      <c r="I16" s="309"/>
      <c r="J16" s="209" t="s">
        <v>442</v>
      </c>
      <c r="K16" s="209"/>
      <c r="L16" s="209"/>
      <c r="M16" s="291" t="s">
        <v>466</v>
      </c>
      <c r="N16" s="209"/>
      <c r="O16" s="315"/>
      <c r="P16" s="310">
        <v>5</v>
      </c>
      <c r="Q16" s="296">
        <v>7</v>
      </c>
      <c r="R16" s="309" t="s">
        <v>447</v>
      </c>
      <c r="S16" s="296"/>
      <c r="T16" s="296"/>
      <c r="U16" s="309" t="s">
        <v>450</v>
      </c>
      <c r="V16" s="315"/>
      <c r="W16" s="292" t="str">
        <f t="shared" si="0"/>
        <v>3</v>
      </c>
      <c r="X16" s="210" t="s">
        <v>465</v>
      </c>
      <c r="Y16" s="210">
        <v>7</v>
      </c>
      <c r="Z16" s="210">
        <v>7</v>
      </c>
      <c r="AA16" s="209" t="s">
        <v>447</v>
      </c>
      <c r="AB16" s="209" t="s">
        <v>450</v>
      </c>
      <c r="AC16" s="296"/>
      <c r="AD16" s="231" t="s">
        <v>73</v>
      </c>
      <c r="AE16" s="307"/>
      <c r="AF16" s="183" t="str">
        <f t="shared" si="87"/>
        <v>E845001</v>
      </c>
      <c r="AG16" s="203" t="str">
        <f t="shared" si="2"/>
        <v>NG</v>
      </c>
      <c r="AH16" s="231" t="s">
        <v>73</v>
      </c>
      <c r="AI16" s="307"/>
      <c r="AJ16" s="183" t="str">
        <f t="shared" si="88"/>
        <v>E845001</v>
      </c>
      <c r="AK16" s="203" t="str">
        <f t="shared" si="4"/>
        <v>NG</v>
      </c>
      <c r="AL16" s="231" t="s">
        <v>73</v>
      </c>
      <c r="AM16" s="307"/>
      <c r="AN16" s="183" t="str">
        <f t="shared" si="89"/>
        <v>E845001</v>
      </c>
      <c r="AO16" s="203" t="str">
        <f t="shared" si="6"/>
        <v>NG</v>
      </c>
      <c r="AP16" s="231" t="s">
        <v>73</v>
      </c>
      <c r="AQ16" s="307"/>
      <c r="AR16" s="183" t="str">
        <f t="shared" si="90"/>
        <v>E845001</v>
      </c>
      <c r="AS16" s="203" t="str">
        <f t="shared" si="8"/>
        <v>NG</v>
      </c>
      <c r="AT16" s="231" t="s">
        <v>73</v>
      </c>
      <c r="AU16" s="307"/>
      <c r="AV16" s="183" t="str">
        <f t="shared" si="91"/>
        <v>E845001</v>
      </c>
      <c r="AW16" s="203" t="str">
        <f t="shared" si="10"/>
        <v>NG</v>
      </c>
      <c r="AX16" s="231" t="s">
        <v>73</v>
      </c>
      <c r="AY16" s="307"/>
      <c r="AZ16" s="183" t="str">
        <f t="shared" si="92"/>
        <v>E845001</v>
      </c>
      <c r="BA16" s="203" t="str">
        <f t="shared" si="12"/>
        <v>NG</v>
      </c>
      <c r="BB16" s="231" t="s">
        <v>73</v>
      </c>
      <c r="BC16" s="307"/>
      <c r="BD16" s="183" t="str">
        <f t="shared" si="93"/>
        <v>E845001</v>
      </c>
      <c r="BE16" s="203" t="str">
        <f t="shared" si="14"/>
        <v>NG</v>
      </c>
      <c r="BF16" s="231" t="s">
        <v>73</v>
      </c>
      <c r="BG16" s="307"/>
      <c r="BH16" s="183" t="str">
        <f t="shared" si="94"/>
        <v>E845001</v>
      </c>
      <c r="BI16" s="203" t="str">
        <f t="shared" si="16"/>
        <v>NG</v>
      </c>
      <c r="BJ16" s="231" t="s">
        <v>73</v>
      </c>
      <c r="BK16" s="307"/>
      <c r="BL16" s="183" t="str">
        <f t="shared" si="95"/>
        <v>E845001</v>
      </c>
      <c r="BM16" s="203" t="str">
        <f t="shared" si="18"/>
        <v>NG</v>
      </c>
      <c r="BN16" s="231" t="s">
        <v>73</v>
      </c>
      <c r="BO16" s="307"/>
      <c r="BP16" s="183" t="str">
        <f t="shared" si="96"/>
        <v>E845001</v>
      </c>
      <c r="BQ16" s="203" t="str">
        <f t="shared" si="20"/>
        <v>NG</v>
      </c>
      <c r="BR16" s="231" t="s">
        <v>73</v>
      </c>
      <c r="BS16" s="307"/>
      <c r="BT16" s="183" t="str">
        <f t="shared" si="97"/>
        <v>E845001</v>
      </c>
      <c r="BU16" s="203" t="str">
        <f t="shared" si="22"/>
        <v>NG</v>
      </c>
      <c r="BV16" s="231" t="s">
        <v>73</v>
      </c>
      <c r="BW16" s="307"/>
      <c r="BX16" s="183" t="str">
        <f t="shared" si="98"/>
        <v>E845001</v>
      </c>
      <c r="BY16" s="203" t="str">
        <f t="shared" si="24"/>
        <v>NG</v>
      </c>
      <c r="BZ16" s="231" t="s">
        <v>73</v>
      </c>
      <c r="CA16" s="307"/>
      <c r="CB16" s="183" t="str">
        <f t="shared" si="99"/>
        <v>E845001</v>
      </c>
      <c r="CC16" s="203" t="str">
        <f t="shared" si="26"/>
        <v>NG</v>
      </c>
      <c r="CD16" s="231" t="s">
        <v>73</v>
      </c>
      <c r="CE16" s="307"/>
      <c r="CF16" s="183" t="str">
        <f t="shared" si="100"/>
        <v>E845001</v>
      </c>
      <c r="CG16" s="203" t="str">
        <f t="shared" si="28"/>
        <v>NG</v>
      </c>
      <c r="CH16" s="231" t="s">
        <v>73</v>
      </c>
      <c r="CI16" s="307"/>
      <c r="CJ16" s="183" t="str">
        <f t="shared" si="101"/>
        <v>E845001</v>
      </c>
      <c r="CK16" s="203" t="str">
        <f t="shared" si="30"/>
        <v>NG</v>
      </c>
      <c r="CL16" s="231" t="s">
        <v>73</v>
      </c>
      <c r="CM16" s="307"/>
      <c r="CN16" s="183" t="str">
        <f t="shared" si="102"/>
        <v>E845001</v>
      </c>
      <c r="CO16" s="203" t="str">
        <f t="shared" si="32"/>
        <v>NG</v>
      </c>
      <c r="CP16" s="231" t="s">
        <v>73</v>
      </c>
      <c r="CQ16" s="307"/>
      <c r="CR16" s="183" t="str">
        <f t="shared" si="103"/>
        <v>E845001</v>
      </c>
      <c r="CS16" s="203" t="str">
        <f t="shared" si="34"/>
        <v>NG</v>
      </c>
      <c r="CT16" s="231" t="s">
        <v>73</v>
      </c>
      <c r="CU16" s="307"/>
      <c r="CV16" s="183" t="str">
        <f t="shared" si="104"/>
        <v>E845001</v>
      </c>
      <c r="CW16" s="203" t="str">
        <f t="shared" si="36"/>
        <v>NG</v>
      </c>
      <c r="CX16" s="231" t="s">
        <v>73</v>
      </c>
      <c r="CY16" s="307"/>
      <c r="CZ16" s="183" t="str">
        <f t="shared" si="105"/>
        <v>E845001</v>
      </c>
      <c r="DA16" s="203" t="str">
        <f t="shared" si="38"/>
        <v>NG</v>
      </c>
      <c r="DB16" s="231" t="s">
        <v>73</v>
      </c>
      <c r="DC16" s="307"/>
      <c r="DD16" s="183" t="str">
        <f t="shared" si="106"/>
        <v>E845001</v>
      </c>
      <c r="DE16" s="203" t="str">
        <f t="shared" si="40"/>
        <v>NG</v>
      </c>
      <c r="DF16" s="231" t="s">
        <v>73</v>
      </c>
      <c r="DG16" s="307"/>
      <c r="DH16" s="183" t="str">
        <f t="shared" si="107"/>
        <v>E845001</v>
      </c>
      <c r="DI16" s="203" t="str">
        <f t="shared" si="42"/>
        <v>NG</v>
      </c>
      <c r="DJ16" s="231" t="s">
        <v>73</v>
      </c>
      <c r="DK16" s="307"/>
      <c r="DL16" s="183" t="str">
        <f t="shared" si="108"/>
        <v>E845001</v>
      </c>
      <c r="DM16" s="203" t="str">
        <f t="shared" si="44"/>
        <v>NG</v>
      </c>
      <c r="DN16" s="231" t="s">
        <v>73</v>
      </c>
      <c r="DO16" s="307"/>
      <c r="DP16" s="183" t="str">
        <f t="shared" si="109"/>
        <v>E845001</v>
      </c>
      <c r="DQ16" s="203" t="str">
        <f t="shared" si="46"/>
        <v>NG</v>
      </c>
      <c r="DR16" s="231" t="s">
        <v>73</v>
      </c>
      <c r="DS16" s="307"/>
      <c r="DT16" s="183" t="str">
        <f t="shared" si="110"/>
        <v>E845001</v>
      </c>
      <c r="DU16" s="203" t="str">
        <f t="shared" si="48"/>
        <v>NG</v>
      </c>
      <c r="DV16" s="231" t="s">
        <v>73</v>
      </c>
      <c r="DW16" s="307"/>
      <c r="DX16" s="183" t="str">
        <f t="shared" si="111"/>
        <v>E845001</v>
      </c>
      <c r="DY16" s="203" t="str">
        <f t="shared" si="50"/>
        <v>NG</v>
      </c>
      <c r="DZ16" s="231" t="s">
        <v>73</v>
      </c>
      <c r="EA16" s="307"/>
      <c r="EB16" s="183" t="str">
        <f t="shared" si="112"/>
        <v>E845001</v>
      </c>
      <c r="EC16" s="203" t="str">
        <f t="shared" si="52"/>
        <v>NG</v>
      </c>
      <c r="ED16" s="231" t="s">
        <v>73</v>
      </c>
      <c r="EE16" s="307"/>
      <c r="EF16" s="183" t="str">
        <f t="shared" si="113"/>
        <v>E845001</v>
      </c>
      <c r="EG16" s="203" t="str">
        <f t="shared" si="54"/>
        <v>NG</v>
      </c>
      <c r="EH16" s="231" t="s">
        <v>73</v>
      </c>
      <c r="EI16" s="307"/>
      <c r="EJ16" s="183" t="str">
        <f t="shared" si="114"/>
        <v>E845001</v>
      </c>
      <c r="EK16" s="203" t="str">
        <f t="shared" si="56"/>
        <v>NG</v>
      </c>
      <c r="EL16" s="231" t="s">
        <v>73</v>
      </c>
      <c r="EM16" s="307"/>
      <c r="EN16" s="183" t="str">
        <f t="shared" si="115"/>
        <v>E845001</v>
      </c>
      <c r="EO16" s="203" t="str">
        <f t="shared" si="58"/>
        <v>NG</v>
      </c>
      <c r="EP16" s="231" t="s">
        <v>73</v>
      </c>
      <c r="EQ16" s="307"/>
      <c r="ER16" s="183" t="str">
        <f t="shared" si="116"/>
        <v>E845001</v>
      </c>
      <c r="ES16" s="203" t="str">
        <f t="shared" si="60"/>
        <v>NG</v>
      </c>
      <c r="ET16" s="231" t="s">
        <v>73</v>
      </c>
      <c r="EU16" s="307"/>
      <c r="EV16" s="183" t="str">
        <f t="shared" si="117"/>
        <v>E845001</v>
      </c>
      <c r="EW16" s="203" t="str">
        <f t="shared" si="62"/>
        <v>NG</v>
      </c>
      <c r="EX16" s="231" t="s">
        <v>73</v>
      </c>
      <c r="EY16" s="307"/>
      <c r="EZ16" s="183" t="str">
        <f t="shared" si="118"/>
        <v>E845001</v>
      </c>
      <c r="FA16" s="203" t="str">
        <f t="shared" si="64"/>
        <v>NG</v>
      </c>
      <c r="FB16" s="231" t="s">
        <v>73</v>
      </c>
      <c r="FC16" s="307"/>
      <c r="FD16" s="183" t="str">
        <f t="shared" si="119"/>
        <v>E845001</v>
      </c>
      <c r="FE16" s="203" t="str">
        <f t="shared" si="66"/>
        <v>NG</v>
      </c>
      <c r="FF16" s="231" t="s">
        <v>73</v>
      </c>
      <c r="FG16" s="307"/>
      <c r="FH16" s="183" t="str">
        <f t="shared" si="120"/>
        <v>E845001</v>
      </c>
      <c r="FI16" s="203" t="str">
        <f t="shared" si="68"/>
        <v>NG</v>
      </c>
      <c r="FJ16" s="231" t="s">
        <v>73</v>
      </c>
      <c r="FK16" s="307"/>
      <c r="FL16" s="183" t="str">
        <f t="shared" si="121"/>
        <v>E845001</v>
      </c>
      <c r="FM16" s="203" t="str">
        <f t="shared" si="70"/>
        <v>NG</v>
      </c>
      <c r="FN16" s="231" t="s">
        <v>73</v>
      </c>
      <c r="FO16" s="307"/>
      <c r="FP16" s="183" t="str">
        <f t="shared" si="122"/>
        <v>E845001</v>
      </c>
      <c r="FQ16" s="203" t="str">
        <f t="shared" si="72"/>
        <v>NG</v>
      </c>
      <c r="FR16" s="231" t="s">
        <v>73</v>
      </c>
      <c r="FS16" s="307"/>
      <c r="FT16" s="183" t="str">
        <f t="shared" si="123"/>
        <v>E845001</v>
      </c>
      <c r="FU16" s="203" t="str">
        <f t="shared" si="74"/>
        <v>NG</v>
      </c>
      <c r="FV16" s="231" t="s">
        <v>73</v>
      </c>
      <c r="FW16" s="307"/>
      <c r="FX16" s="183" t="str">
        <f t="shared" si="124"/>
        <v>E845001</v>
      </c>
      <c r="FY16" s="203" t="str">
        <f t="shared" si="76"/>
        <v>NG</v>
      </c>
      <c r="FZ16" s="231" t="s">
        <v>73</v>
      </c>
      <c r="GA16" s="307"/>
      <c r="GB16" s="183" t="str">
        <f t="shared" si="125"/>
        <v>E845001</v>
      </c>
      <c r="GC16" s="203" t="str">
        <f t="shared" si="78"/>
        <v>NG</v>
      </c>
      <c r="GD16" s="231" t="s">
        <v>73</v>
      </c>
      <c r="GE16" s="307"/>
      <c r="GF16" s="183" t="str">
        <f t="shared" si="126"/>
        <v>E845001</v>
      </c>
      <c r="GG16" s="203" t="str">
        <f t="shared" si="80"/>
        <v>NG</v>
      </c>
      <c r="GH16" s="231" t="s">
        <v>73</v>
      </c>
      <c r="GI16" s="307"/>
      <c r="GJ16" s="183" t="str">
        <f t="shared" si="127"/>
        <v>E845001</v>
      </c>
      <c r="GK16" s="203" t="str">
        <f t="shared" si="82"/>
        <v>NG</v>
      </c>
      <c r="GL16" s="231" t="s">
        <v>73</v>
      </c>
      <c r="GM16" s="307"/>
      <c r="GN16" s="183" t="str">
        <f t="shared" si="128"/>
        <v>E845001</v>
      </c>
      <c r="GO16" s="203" t="str">
        <f t="shared" si="84"/>
        <v>NG</v>
      </c>
      <c r="GP16" s="231" t="s">
        <v>73</v>
      </c>
      <c r="GQ16" s="307"/>
      <c r="GR16" s="183" t="str">
        <f t="shared" si="129"/>
        <v>E845001</v>
      </c>
      <c r="GS16" s="203" t="str">
        <f t="shared" si="86"/>
        <v>NG</v>
      </c>
      <c r="GT16" s="202"/>
      <c r="GU16" s="202"/>
      <c r="GV16" s="173"/>
      <c r="GW16" s="173"/>
      <c r="GX16" s="173"/>
    </row>
    <row r="17" spans="1:206">
      <c r="A17" s="200" t="s">
        <v>444</v>
      </c>
      <c r="B17" s="225">
        <v>9</v>
      </c>
      <c r="C17" s="229"/>
      <c r="D17" s="229"/>
      <c r="E17" s="229"/>
      <c r="F17" s="222" t="s">
        <v>40</v>
      </c>
      <c r="G17" s="222"/>
      <c r="H17" s="220"/>
      <c r="I17" s="309"/>
      <c r="J17" s="309" t="s">
        <v>444</v>
      </c>
      <c r="K17" s="209"/>
      <c r="L17" s="209"/>
      <c r="M17" s="296" t="s">
        <v>41</v>
      </c>
      <c r="N17" s="209"/>
      <c r="O17" s="315"/>
      <c r="P17" s="310">
        <v>6</v>
      </c>
      <c r="Q17" s="296">
        <v>8</v>
      </c>
      <c r="R17" s="309" t="s">
        <v>447</v>
      </c>
      <c r="S17" s="296"/>
      <c r="T17" s="296"/>
      <c r="U17" s="309" t="s">
        <v>450</v>
      </c>
      <c r="V17" s="315"/>
      <c r="W17" s="292" t="str">
        <f t="shared" si="0"/>
        <v>3</v>
      </c>
      <c r="X17" s="210" t="s">
        <v>464</v>
      </c>
      <c r="Y17" s="210">
        <v>8</v>
      </c>
      <c r="Z17" s="210">
        <v>8</v>
      </c>
      <c r="AA17" s="209" t="s">
        <v>447</v>
      </c>
      <c r="AB17" s="209" t="s">
        <v>450</v>
      </c>
      <c r="AC17" s="296"/>
      <c r="AD17" s="231" t="s">
        <v>463</v>
      </c>
      <c r="AE17" s="307"/>
      <c r="AF17" s="183" t="str">
        <f t="shared" si="87"/>
        <v>AUE31814</v>
      </c>
      <c r="AG17" s="203" t="str">
        <f t="shared" si="2"/>
        <v>NG</v>
      </c>
      <c r="AH17" s="231" t="s">
        <v>463</v>
      </c>
      <c r="AI17" s="307"/>
      <c r="AJ17" s="183" t="str">
        <f t="shared" si="88"/>
        <v>AUE31814</v>
      </c>
      <c r="AK17" s="203" t="str">
        <f t="shared" si="4"/>
        <v>NG</v>
      </c>
      <c r="AL17" s="231" t="s">
        <v>463</v>
      </c>
      <c r="AM17" s="307"/>
      <c r="AN17" s="183" t="str">
        <f t="shared" si="89"/>
        <v>AUE31814</v>
      </c>
      <c r="AO17" s="203" t="str">
        <f t="shared" si="6"/>
        <v>NG</v>
      </c>
      <c r="AP17" s="231" t="s">
        <v>463</v>
      </c>
      <c r="AQ17" s="307"/>
      <c r="AR17" s="183" t="str">
        <f t="shared" si="90"/>
        <v>AUE31814</v>
      </c>
      <c r="AS17" s="203" t="str">
        <f t="shared" si="8"/>
        <v>NG</v>
      </c>
      <c r="AT17" s="231" t="s">
        <v>463</v>
      </c>
      <c r="AU17" s="307"/>
      <c r="AV17" s="183" t="str">
        <f t="shared" si="91"/>
        <v>AUE31814</v>
      </c>
      <c r="AW17" s="203" t="str">
        <f t="shared" si="10"/>
        <v>NG</v>
      </c>
      <c r="AX17" s="231" t="s">
        <v>463</v>
      </c>
      <c r="AY17" s="307"/>
      <c r="AZ17" s="183" t="str">
        <f t="shared" si="92"/>
        <v>AUE31814</v>
      </c>
      <c r="BA17" s="203" t="str">
        <f t="shared" si="12"/>
        <v>NG</v>
      </c>
      <c r="BB17" s="231" t="s">
        <v>463</v>
      </c>
      <c r="BC17" s="307"/>
      <c r="BD17" s="183" t="str">
        <f t="shared" si="93"/>
        <v>AUE31814</v>
      </c>
      <c r="BE17" s="203" t="str">
        <f t="shared" si="14"/>
        <v>NG</v>
      </c>
      <c r="BF17" s="231" t="s">
        <v>463</v>
      </c>
      <c r="BG17" s="307"/>
      <c r="BH17" s="183" t="str">
        <f t="shared" si="94"/>
        <v>AUE31814</v>
      </c>
      <c r="BI17" s="203" t="str">
        <f t="shared" si="16"/>
        <v>NG</v>
      </c>
      <c r="BJ17" s="231" t="s">
        <v>463</v>
      </c>
      <c r="BK17" s="307"/>
      <c r="BL17" s="183" t="str">
        <f t="shared" si="95"/>
        <v>AUE31814</v>
      </c>
      <c r="BM17" s="203" t="str">
        <f t="shared" si="18"/>
        <v>NG</v>
      </c>
      <c r="BN17" s="231" t="s">
        <v>463</v>
      </c>
      <c r="BO17" s="307"/>
      <c r="BP17" s="183" t="str">
        <f t="shared" si="96"/>
        <v>AUE31814</v>
      </c>
      <c r="BQ17" s="203" t="str">
        <f t="shared" si="20"/>
        <v>NG</v>
      </c>
      <c r="BR17" s="231" t="s">
        <v>463</v>
      </c>
      <c r="BS17" s="307"/>
      <c r="BT17" s="183" t="str">
        <f t="shared" si="97"/>
        <v>AUE31814</v>
      </c>
      <c r="BU17" s="203" t="str">
        <f t="shared" si="22"/>
        <v>NG</v>
      </c>
      <c r="BV17" s="231" t="s">
        <v>463</v>
      </c>
      <c r="BW17" s="307"/>
      <c r="BX17" s="183" t="str">
        <f t="shared" si="98"/>
        <v>AUE31814</v>
      </c>
      <c r="BY17" s="203" t="str">
        <f t="shared" si="24"/>
        <v>NG</v>
      </c>
      <c r="BZ17" s="231" t="s">
        <v>463</v>
      </c>
      <c r="CA17" s="307"/>
      <c r="CB17" s="183" t="str">
        <f t="shared" si="99"/>
        <v>AUE31814</v>
      </c>
      <c r="CC17" s="203" t="str">
        <f t="shared" si="26"/>
        <v>NG</v>
      </c>
      <c r="CD17" s="231" t="s">
        <v>463</v>
      </c>
      <c r="CE17" s="307"/>
      <c r="CF17" s="183" t="str">
        <f t="shared" si="100"/>
        <v>AUE31814</v>
      </c>
      <c r="CG17" s="203" t="str">
        <f t="shared" si="28"/>
        <v>NG</v>
      </c>
      <c r="CH17" s="231" t="s">
        <v>463</v>
      </c>
      <c r="CI17" s="307"/>
      <c r="CJ17" s="183" t="str">
        <f t="shared" si="101"/>
        <v>AUE31814</v>
      </c>
      <c r="CK17" s="203" t="str">
        <f t="shared" si="30"/>
        <v>NG</v>
      </c>
      <c r="CL17" s="231" t="s">
        <v>463</v>
      </c>
      <c r="CM17" s="307"/>
      <c r="CN17" s="183" t="str">
        <f t="shared" si="102"/>
        <v>AUE31814</v>
      </c>
      <c r="CO17" s="203" t="str">
        <f t="shared" si="32"/>
        <v>NG</v>
      </c>
      <c r="CP17" s="231" t="s">
        <v>463</v>
      </c>
      <c r="CQ17" s="307"/>
      <c r="CR17" s="183" t="str">
        <f t="shared" si="103"/>
        <v>AUE31814</v>
      </c>
      <c r="CS17" s="203" t="str">
        <f t="shared" si="34"/>
        <v>NG</v>
      </c>
      <c r="CT17" s="231" t="s">
        <v>463</v>
      </c>
      <c r="CU17" s="307"/>
      <c r="CV17" s="183" t="str">
        <f t="shared" si="104"/>
        <v>AUE31814</v>
      </c>
      <c r="CW17" s="203" t="str">
        <f t="shared" si="36"/>
        <v>NG</v>
      </c>
      <c r="CX17" s="231" t="s">
        <v>463</v>
      </c>
      <c r="CY17" s="307"/>
      <c r="CZ17" s="183" t="str">
        <f t="shared" si="105"/>
        <v>AUE31814</v>
      </c>
      <c r="DA17" s="203" t="str">
        <f t="shared" si="38"/>
        <v>NG</v>
      </c>
      <c r="DB17" s="231" t="s">
        <v>463</v>
      </c>
      <c r="DC17" s="307"/>
      <c r="DD17" s="183" t="str">
        <f t="shared" si="106"/>
        <v>AUE31814</v>
      </c>
      <c r="DE17" s="203" t="str">
        <f t="shared" si="40"/>
        <v>NG</v>
      </c>
      <c r="DF17" s="231" t="s">
        <v>463</v>
      </c>
      <c r="DG17" s="307"/>
      <c r="DH17" s="183" t="str">
        <f t="shared" si="107"/>
        <v>AUE31814</v>
      </c>
      <c r="DI17" s="203" t="str">
        <f t="shared" si="42"/>
        <v>NG</v>
      </c>
      <c r="DJ17" s="231" t="s">
        <v>463</v>
      </c>
      <c r="DK17" s="307"/>
      <c r="DL17" s="183" t="str">
        <f t="shared" si="108"/>
        <v>AUE31814</v>
      </c>
      <c r="DM17" s="203" t="str">
        <f t="shared" si="44"/>
        <v>NG</v>
      </c>
      <c r="DN17" s="231" t="s">
        <v>463</v>
      </c>
      <c r="DO17" s="307"/>
      <c r="DP17" s="183" t="str">
        <f t="shared" si="109"/>
        <v>AUE31814</v>
      </c>
      <c r="DQ17" s="203" t="str">
        <f t="shared" si="46"/>
        <v>NG</v>
      </c>
      <c r="DR17" s="231" t="s">
        <v>463</v>
      </c>
      <c r="DS17" s="307"/>
      <c r="DT17" s="183" t="str">
        <f t="shared" si="110"/>
        <v>AUE31814</v>
      </c>
      <c r="DU17" s="203" t="str">
        <f t="shared" si="48"/>
        <v>NG</v>
      </c>
      <c r="DV17" s="231" t="s">
        <v>463</v>
      </c>
      <c r="DW17" s="307"/>
      <c r="DX17" s="183" t="str">
        <f t="shared" si="111"/>
        <v>AUE31814</v>
      </c>
      <c r="DY17" s="203" t="str">
        <f t="shared" si="50"/>
        <v>NG</v>
      </c>
      <c r="DZ17" s="231" t="s">
        <v>463</v>
      </c>
      <c r="EA17" s="307"/>
      <c r="EB17" s="183" t="str">
        <f t="shared" si="112"/>
        <v>AUE31814</v>
      </c>
      <c r="EC17" s="203" t="str">
        <f t="shared" si="52"/>
        <v>NG</v>
      </c>
      <c r="ED17" s="231" t="s">
        <v>463</v>
      </c>
      <c r="EE17" s="307"/>
      <c r="EF17" s="183" t="str">
        <f t="shared" si="113"/>
        <v>AUE31814</v>
      </c>
      <c r="EG17" s="203" t="str">
        <f t="shared" si="54"/>
        <v>NG</v>
      </c>
      <c r="EH17" s="231" t="s">
        <v>463</v>
      </c>
      <c r="EI17" s="307"/>
      <c r="EJ17" s="183" t="str">
        <f t="shared" si="114"/>
        <v>AUE31814</v>
      </c>
      <c r="EK17" s="203" t="str">
        <f t="shared" si="56"/>
        <v>NG</v>
      </c>
      <c r="EL17" s="231" t="s">
        <v>463</v>
      </c>
      <c r="EM17" s="307"/>
      <c r="EN17" s="183" t="str">
        <f t="shared" si="115"/>
        <v>AUE31814</v>
      </c>
      <c r="EO17" s="203" t="str">
        <f t="shared" si="58"/>
        <v>NG</v>
      </c>
      <c r="EP17" s="231" t="s">
        <v>463</v>
      </c>
      <c r="EQ17" s="307"/>
      <c r="ER17" s="183" t="str">
        <f t="shared" si="116"/>
        <v>AUE31814</v>
      </c>
      <c r="ES17" s="203" t="str">
        <f t="shared" si="60"/>
        <v>NG</v>
      </c>
      <c r="ET17" s="231" t="s">
        <v>463</v>
      </c>
      <c r="EU17" s="307"/>
      <c r="EV17" s="183" t="str">
        <f t="shared" si="117"/>
        <v>AUE31814</v>
      </c>
      <c r="EW17" s="203" t="str">
        <f t="shared" si="62"/>
        <v>NG</v>
      </c>
      <c r="EX17" s="231" t="s">
        <v>463</v>
      </c>
      <c r="EY17" s="307"/>
      <c r="EZ17" s="183" t="str">
        <f t="shared" si="118"/>
        <v>AUE31814</v>
      </c>
      <c r="FA17" s="203" t="str">
        <f t="shared" si="64"/>
        <v>NG</v>
      </c>
      <c r="FB17" s="231" t="s">
        <v>463</v>
      </c>
      <c r="FC17" s="307"/>
      <c r="FD17" s="183" t="str">
        <f t="shared" si="119"/>
        <v>AUE31814</v>
      </c>
      <c r="FE17" s="203" t="str">
        <f t="shared" si="66"/>
        <v>NG</v>
      </c>
      <c r="FF17" s="231" t="s">
        <v>463</v>
      </c>
      <c r="FG17" s="307"/>
      <c r="FH17" s="183" t="str">
        <f t="shared" si="120"/>
        <v>AUE31814</v>
      </c>
      <c r="FI17" s="203" t="str">
        <f t="shared" si="68"/>
        <v>NG</v>
      </c>
      <c r="FJ17" s="231" t="s">
        <v>463</v>
      </c>
      <c r="FK17" s="307"/>
      <c r="FL17" s="183" t="str">
        <f t="shared" si="121"/>
        <v>AUE31814</v>
      </c>
      <c r="FM17" s="203" t="str">
        <f t="shared" si="70"/>
        <v>NG</v>
      </c>
      <c r="FN17" s="231" t="s">
        <v>463</v>
      </c>
      <c r="FO17" s="307"/>
      <c r="FP17" s="183" t="str">
        <f t="shared" si="122"/>
        <v>AUE31814</v>
      </c>
      <c r="FQ17" s="203" t="str">
        <f t="shared" si="72"/>
        <v>NG</v>
      </c>
      <c r="FR17" s="231" t="s">
        <v>463</v>
      </c>
      <c r="FS17" s="307"/>
      <c r="FT17" s="183" t="str">
        <f t="shared" si="123"/>
        <v>AUE31814</v>
      </c>
      <c r="FU17" s="203" t="str">
        <f t="shared" si="74"/>
        <v>NG</v>
      </c>
      <c r="FV17" s="231" t="s">
        <v>463</v>
      </c>
      <c r="FW17" s="307"/>
      <c r="FX17" s="183" t="str">
        <f t="shared" si="124"/>
        <v>AUE31814</v>
      </c>
      <c r="FY17" s="203" t="str">
        <f t="shared" si="76"/>
        <v>NG</v>
      </c>
      <c r="FZ17" s="231" t="s">
        <v>463</v>
      </c>
      <c r="GA17" s="307"/>
      <c r="GB17" s="183" t="str">
        <f t="shared" si="125"/>
        <v>AUE31814</v>
      </c>
      <c r="GC17" s="203" t="str">
        <f t="shared" si="78"/>
        <v>NG</v>
      </c>
      <c r="GD17" s="231" t="s">
        <v>463</v>
      </c>
      <c r="GE17" s="307"/>
      <c r="GF17" s="183" t="str">
        <f t="shared" si="126"/>
        <v>AUE31814</v>
      </c>
      <c r="GG17" s="203" t="str">
        <f t="shared" si="80"/>
        <v>NG</v>
      </c>
      <c r="GH17" s="231" t="s">
        <v>463</v>
      </c>
      <c r="GI17" s="307"/>
      <c r="GJ17" s="183" t="str">
        <f t="shared" si="127"/>
        <v>AUE31814</v>
      </c>
      <c r="GK17" s="203" t="str">
        <f t="shared" si="82"/>
        <v>NG</v>
      </c>
      <c r="GL17" s="231" t="s">
        <v>463</v>
      </c>
      <c r="GM17" s="307"/>
      <c r="GN17" s="183" t="str">
        <f t="shared" si="128"/>
        <v>AUE31814</v>
      </c>
      <c r="GO17" s="203" t="str">
        <f t="shared" si="84"/>
        <v>NG</v>
      </c>
      <c r="GP17" s="231" t="s">
        <v>463</v>
      </c>
      <c r="GQ17" s="307"/>
      <c r="GR17" s="183" t="str">
        <f t="shared" si="129"/>
        <v>AUE31814</v>
      </c>
      <c r="GS17" s="203" t="str">
        <f t="shared" si="86"/>
        <v>NG</v>
      </c>
      <c r="GT17" s="202"/>
      <c r="GU17" s="202"/>
      <c r="GV17" s="173"/>
      <c r="GW17" s="173"/>
      <c r="GX17" s="173"/>
    </row>
    <row r="18" spans="1:206" ht="39">
      <c r="A18" s="200" t="s">
        <v>444</v>
      </c>
      <c r="B18" s="225">
        <v>10</v>
      </c>
      <c r="C18" s="229"/>
      <c r="D18" s="229"/>
      <c r="E18" s="229"/>
      <c r="F18" s="221" t="s">
        <v>42</v>
      </c>
      <c r="G18" s="222"/>
      <c r="H18" s="220"/>
      <c r="I18" s="309"/>
      <c r="J18" s="309" t="s">
        <v>444</v>
      </c>
      <c r="K18" s="209"/>
      <c r="L18" s="209"/>
      <c r="M18" s="319" t="s">
        <v>462</v>
      </c>
      <c r="N18" s="209"/>
      <c r="O18" s="315" t="s">
        <v>461</v>
      </c>
      <c r="P18" s="310">
        <v>7</v>
      </c>
      <c r="Q18" s="296">
        <v>15</v>
      </c>
      <c r="R18" s="309" t="s">
        <v>447</v>
      </c>
      <c r="S18" s="296"/>
      <c r="T18" s="296"/>
      <c r="U18" s="309" t="s">
        <v>450</v>
      </c>
      <c r="V18" s="315"/>
      <c r="W18" s="292" t="str">
        <f t="shared" si="0"/>
        <v>3</v>
      </c>
      <c r="X18" s="210" t="s">
        <v>460</v>
      </c>
      <c r="Y18" s="210">
        <v>7</v>
      </c>
      <c r="Z18" s="210">
        <v>15</v>
      </c>
      <c r="AA18" s="209" t="s">
        <v>447</v>
      </c>
      <c r="AB18" s="209" t="s">
        <v>450</v>
      </c>
      <c r="AC18" s="296"/>
      <c r="AD18" s="231" t="s">
        <v>459</v>
      </c>
      <c r="AE18" s="307"/>
      <c r="AF18" s="183" t="str">
        <f t="shared" si="87"/>
        <v>192.168.134.246</v>
      </c>
      <c r="AG18" s="203" t="str">
        <f t="shared" si="2"/>
        <v>NG</v>
      </c>
      <c r="AH18" s="231" t="s">
        <v>459</v>
      </c>
      <c r="AI18" s="307"/>
      <c r="AJ18" s="183" t="str">
        <f t="shared" si="88"/>
        <v>192.168.134.246</v>
      </c>
      <c r="AK18" s="203" t="str">
        <f t="shared" si="4"/>
        <v>NG</v>
      </c>
      <c r="AL18" s="231" t="s">
        <v>459</v>
      </c>
      <c r="AM18" s="307"/>
      <c r="AN18" s="183" t="str">
        <f t="shared" si="89"/>
        <v>192.168.134.246</v>
      </c>
      <c r="AO18" s="203" t="str">
        <f t="shared" si="6"/>
        <v>NG</v>
      </c>
      <c r="AP18" s="231" t="s">
        <v>459</v>
      </c>
      <c r="AQ18" s="307"/>
      <c r="AR18" s="183" t="str">
        <f t="shared" si="90"/>
        <v>192.168.134.246</v>
      </c>
      <c r="AS18" s="203" t="str">
        <f t="shared" si="8"/>
        <v>NG</v>
      </c>
      <c r="AT18" s="231" t="s">
        <v>459</v>
      </c>
      <c r="AU18" s="307"/>
      <c r="AV18" s="183" t="str">
        <f t="shared" si="91"/>
        <v>192.168.134.246</v>
      </c>
      <c r="AW18" s="203" t="str">
        <f t="shared" si="10"/>
        <v>NG</v>
      </c>
      <c r="AX18" s="231" t="s">
        <v>459</v>
      </c>
      <c r="AY18" s="307"/>
      <c r="AZ18" s="183" t="str">
        <f t="shared" si="92"/>
        <v>192.168.134.246</v>
      </c>
      <c r="BA18" s="203" t="str">
        <f t="shared" si="12"/>
        <v>NG</v>
      </c>
      <c r="BB18" s="231" t="s">
        <v>459</v>
      </c>
      <c r="BC18" s="307"/>
      <c r="BD18" s="183" t="str">
        <f t="shared" si="93"/>
        <v>192.168.134.246</v>
      </c>
      <c r="BE18" s="203" t="str">
        <f t="shared" si="14"/>
        <v>NG</v>
      </c>
      <c r="BF18" s="231" t="s">
        <v>459</v>
      </c>
      <c r="BG18" s="307"/>
      <c r="BH18" s="183" t="str">
        <f t="shared" si="94"/>
        <v>192.168.134.246</v>
      </c>
      <c r="BI18" s="203" t="str">
        <f t="shared" si="16"/>
        <v>NG</v>
      </c>
      <c r="BJ18" s="231" t="s">
        <v>459</v>
      </c>
      <c r="BK18" s="307"/>
      <c r="BL18" s="183" t="str">
        <f t="shared" si="95"/>
        <v>192.168.134.246</v>
      </c>
      <c r="BM18" s="203" t="str">
        <f t="shared" si="18"/>
        <v>NG</v>
      </c>
      <c r="BN18" s="231" t="s">
        <v>459</v>
      </c>
      <c r="BO18" s="307"/>
      <c r="BP18" s="183" t="str">
        <f t="shared" si="96"/>
        <v>192.168.134.246</v>
      </c>
      <c r="BQ18" s="203" t="str">
        <f t="shared" si="20"/>
        <v>NG</v>
      </c>
      <c r="BR18" s="231" t="s">
        <v>459</v>
      </c>
      <c r="BS18" s="307"/>
      <c r="BT18" s="183" t="str">
        <f t="shared" si="97"/>
        <v>192.168.134.246</v>
      </c>
      <c r="BU18" s="203" t="str">
        <f t="shared" si="22"/>
        <v>NG</v>
      </c>
      <c r="BV18" s="231" t="s">
        <v>459</v>
      </c>
      <c r="BW18" s="307"/>
      <c r="BX18" s="183" t="str">
        <f t="shared" si="98"/>
        <v>192.168.134.246</v>
      </c>
      <c r="BY18" s="203" t="str">
        <f t="shared" si="24"/>
        <v>NG</v>
      </c>
      <c r="BZ18" s="231" t="s">
        <v>459</v>
      </c>
      <c r="CA18" s="307"/>
      <c r="CB18" s="183" t="str">
        <f t="shared" si="99"/>
        <v>192.168.134.246</v>
      </c>
      <c r="CC18" s="203" t="str">
        <f t="shared" si="26"/>
        <v>NG</v>
      </c>
      <c r="CD18" s="231" t="s">
        <v>459</v>
      </c>
      <c r="CE18" s="307"/>
      <c r="CF18" s="183" t="str">
        <f t="shared" si="100"/>
        <v>192.168.134.246</v>
      </c>
      <c r="CG18" s="203" t="str">
        <f t="shared" si="28"/>
        <v>NG</v>
      </c>
      <c r="CH18" s="231" t="s">
        <v>459</v>
      </c>
      <c r="CI18" s="307"/>
      <c r="CJ18" s="183" t="str">
        <f t="shared" si="101"/>
        <v>192.168.134.246</v>
      </c>
      <c r="CK18" s="203" t="str">
        <f t="shared" si="30"/>
        <v>NG</v>
      </c>
      <c r="CL18" s="231" t="s">
        <v>459</v>
      </c>
      <c r="CM18" s="307"/>
      <c r="CN18" s="183" t="str">
        <f t="shared" si="102"/>
        <v>192.168.134.246</v>
      </c>
      <c r="CO18" s="203" t="str">
        <f t="shared" si="32"/>
        <v>NG</v>
      </c>
      <c r="CP18" s="231" t="s">
        <v>459</v>
      </c>
      <c r="CQ18" s="307"/>
      <c r="CR18" s="183" t="str">
        <f t="shared" si="103"/>
        <v>192.168.134.246</v>
      </c>
      <c r="CS18" s="203" t="str">
        <f t="shared" si="34"/>
        <v>NG</v>
      </c>
      <c r="CT18" s="231" t="s">
        <v>459</v>
      </c>
      <c r="CU18" s="307"/>
      <c r="CV18" s="183" t="str">
        <f t="shared" si="104"/>
        <v>192.168.134.246</v>
      </c>
      <c r="CW18" s="203" t="str">
        <f t="shared" si="36"/>
        <v>NG</v>
      </c>
      <c r="CX18" s="231" t="s">
        <v>459</v>
      </c>
      <c r="CY18" s="307"/>
      <c r="CZ18" s="183" t="str">
        <f t="shared" si="105"/>
        <v>192.168.134.246</v>
      </c>
      <c r="DA18" s="203" t="str">
        <f t="shared" si="38"/>
        <v>NG</v>
      </c>
      <c r="DB18" s="231" t="s">
        <v>459</v>
      </c>
      <c r="DC18" s="307"/>
      <c r="DD18" s="183" t="str">
        <f t="shared" si="106"/>
        <v>192.168.134.246</v>
      </c>
      <c r="DE18" s="203" t="str">
        <f t="shared" si="40"/>
        <v>NG</v>
      </c>
      <c r="DF18" s="231" t="s">
        <v>459</v>
      </c>
      <c r="DG18" s="307"/>
      <c r="DH18" s="183" t="str">
        <f t="shared" si="107"/>
        <v>192.168.134.246</v>
      </c>
      <c r="DI18" s="203" t="str">
        <f t="shared" si="42"/>
        <v>NG</v>
      </c>
      <c r="DJ18" s="231" t="s">
        <v>459</v>
      </c>
      <c r="DK18" s="307"/>
      <c r="DL18" s="183" t="str">
        <f t="shared" si="108"/>
        <v>192.168.134.246</v>
      </c>
      <c r="DM18" s="203" t="str">
        <f t="shared" si="44"/>
        <v>NG</v>
      </c>
      <c r="DN18" s="231" t="s">
        <v>459</v>
      </c>
      <c r="DO18" s="307"/>
      <c r="DP18" s="183" t="str">
        <f t="shared" si="109"/>
        <v>192.168.134.246</v>
      </c>
      <c r="DQ18" s="203" t="str">
        <f t="shared" si="46"/>
        <v>NG</v>
      </c>
      <c r="DR18" s="231" t="s">
        <v>459</v>
      </c>
      <c r="DS18" s="307"/>
      <c r="DT18" s="183" t="str">
        <f t="shared" si="110"/>
        <v>192.168.134.246</v>
      </c>
      <c r="DU18" s="203" t="str">
        <f t="shared" si="48"/>
        <v>NG</v>
      </c>
      <c r="DV18" s="231" t="s">
        <v>459</v>
      </c>
      <c r="DW18" s="307"/>
      <c r="DX18" s="183" t="str">
        <f t="shared" si="111"/>
        <v>192.168.134.246</v>
      </c>
      <c r="DY18" s="203" t="str">
        <f t="shared" si="50"/>
        <v>NG</v>
      </c>
      <c r="DZ18" s="231" t="s">
        <v>459</v>
      </c>
      <c r="EA18" s="307"/>
      <c r="EB18" s="183" t="str">
        <f t="shared" si="112"/>
        <v>192.168.134.246</v>
      </c>
      <c r="EC18" s="203" t="str">
        <f t="shared" si="52"/>
        <v>NG</v>
      </c>
      <c r="ED18" s="231" t="s">
        <v>459</v>
      </c>
      <c r="EE18" s="307"/>
      <c r="EF18" s="183" t="str">
        <f t="shared" si="113"/>
        <v>192.168.134.246</v>
      </c>
      <c r="EG18" s="203" t="str">
        <f t="shared" si="54"/>
        <v>NG</v>
      </c>
      <c r="EH18" s="231" t="s">
        <v>459</v>
      </c>
      <c r="EI18" s="307"/>
      <c r="EJ18" s="183" t="str">
        <f t="shared" si="114"/>
        <v>192.168.134.246</v>
      </c>
      <c r="EK18" s="203" t="str">
        <f t="shared" si="56"/>
        <v>NG</v>
      </c>
      <c r="EL18" s="231" t="s">
        <v>459</v>
      </c>
      <c r="EM18" s="307"/>
      <c r="EN18" s="183" t="str">
        <f t="shared" si="115"/>
        <v>192.168.134.246</v>
      </c>
      <c r="EO18" s="203" t="str">
        <f t="shared" si="58"/>
        <v>NG</v>
      </c>
      <c r="EP18" s="231" t="s">
        <v>459</v>
      </c>
      <c r="EQ18" s="307"/>
      <c r="ER18" s="183" t="str">
        <f t="shared" si="116"/>
        <v>192.168.134.246</v>
      </c>
      <c r="ES18" s="203" t="str">
        <f t="shared" si="60"/>
        <v>NG</v>
      </c>
      <c r="ET18" s="231" t="s">
        <v>459</v>
      </c>
      <c r="EU18" s="307"/>
      <c r="EV18" s="183" t="str">
        <f t="shared" si="117"/>
        <v>192.168.134.246</v>
      </c>
      <c r="EW18" s="203" t="str">
        <f t="shared" si="62"/>
        <v>NG</v>
      </c>
      <c r="EX18" s="231" t="s">
        <v>459</v>
      </c>
      <c r="EY18" s="307"/>
      <c r="EZ18" s="183" t="str">
        <f t="shared" si="118"/>
        <v>192.168.134.246</v>
      </c>
      <c r="FA18" s="203" t="str">
        <f t="shared" si="64"/>
        <v>NG</v>
      </c>
      <c r="FB18" s="231" t="s">
        <v>459</v>
      </c>
      <c r="FC18" s="307"/>
      <c r="FD18" s="183" t="str">
        <f t="shared" si="119"/>
        <v>192.168.134.246</v>
      </c>
      <c r="FE18" s="203" t="str">
        <f t="shared" si="66"/>
        <v>NG</v>
      </c>
      <c r="FF18" s="231" t="s">
        <v>459</v>
      </c>
      <c r="FG18" s="307"/>
      <c r="FH18" s="183" t="str">
        <f t="shared" si="120"/>
        <v>192.168.134.246</v>
      </c>
      <c r="FI18" s="203" t="str">
        <f t="shared" si="68"/>
        <v>NG</v>
      </c>
      <c r="FJ18" s="231" t="s">
        <v>459</v>
      </c>
      <c r="FK18" s="307"/>
      <c r="FL18" s="183" t="str">
        <f t="shared" si="121"/>
        <v>192.168.134.246</v>
      </c>
      <c r="FM18" s="203" t="str">
        <f t="shared" si="70"/>
        <v>NG</v>
      </c>
      <c r="FN18" s="231" t="s">
        <v>459</v>
      </c>
      <c r="FO18" s="307"/>
      <c r="FP18" s="183" t="str">
        <f t="shared" si="122"/>
        <v>192.168.134.246</v>
      </c>
      <c r="FQ18" s="203" t="str">
        <f t="shared" si="72"/>
        <v>NG</v>
      </c>
      <c r="FR18" s="231" t="s">
        <v>459</v>
      </c>
      <c r="FS18" s="307"/>
      <c r="FT18" s="183" t="str">
        <f t="shared" si="123"/>
        <v>192.168.134.246</v>
      </c>
      <c r="FU18" s="203" t="str">
        <f t="shared" si="74"/>
        <v>NG</v>
      </c>
      <c r="FV18" s="231" t="s">
        <v>459</v>
      </c>
      <c r="FW18" s="307"/>
      <c r="FX18" s="183" t="str">
        <f t="shared" si="124"/>
        <v>192.168.134.246</v>
      </c>
      <c r="FY18" s="203" t="str">
        <f t="shared" si="76"/>
        <v>NG</v>
      </c>
      <c r="FZ18" s="231" t="s">
        <v>459</v>
      </c>
      <c r="GA18" s="307"/>
      <c r="GB18" s="183" t="str">
        <f t="shared" si="125"/>
        <v>192.168.134.246</v>
      </c>
      <c r="GC18" s="203" t="str">
        <f t="shared" si="78"/>
        <v>NG</v>
      </c>
      <c r="GD18" s="231" t="s">
        <v>459</v>
      </c>
      <c r="GE18" s="307"/>
      <c r="GF18" s="183" t="str">
        <f t="shared" si="126"/>
        <v>192.168.134.246</v>
      </c>
      <c r="GG18" s="203" t="str">
        <f t="shared" si="80"/>
        <v>NG</v>
      </c>
      <c r="GH18" s="231" t="s">
        <v>459</v>
      </c>
      <c r="GI18" s="307"/>
      <c r="GJ18" s="183" t="str">
        <f t="shared" si="127"/>
        <v>192.168.134.246</v>
      </c>
      <c r="GK18" s="203" t="str">
        <f t="shared" si="82"/>
        <v>NG</v>
      </c>
      <c r="GL18" s="231" t="s">
        <v>459</v>
      </c>
      <c r="GM18" s="307"/>
      <c r="GN18" s="183" t="str">
        <f t="shared" si="128"/>
        <v>192.168.134.246</v>
      </c>
      <c r="GO18" s="203" t="str">
        <f t="shared" si="84"/>
        <v>NG</v>
      </c>
      <c r="GP18" s="231" t="s">
        <v>459</v>
      </c>
      <c r="GQ18" s="307"/>
      <c r="GR18" s="183" t="str">
        <f t="shared" si="129"/>
        <v>192.168.134.246</v>
      </c>
      <c r="GS18" s="203" t="str">
        <f t="shared" si="86"/>
        <v>NG</v>
      </c>
      <c r="GT18" s="202"/>
      <c r="GU18" s="202"/>
      <c r="GV18" s="201"/>
      <c r="GW18" s="201"/>
      <c r="GX18" s="201"/>
    </row>
    <row r="19" spans="1:206" ht="64.5">
      <c r="A19" s="200" t="s">
        <v>444</v>
      </c>
      <c r="B19" s="317">
        <v>11</v>
      </c>
      <c r="C19" s="229"/>
      <c r="D19" s="229"/>
      <c r="E19" s="229"/>
      <c r="F19" s="233" t="s">
        <v>43</v>
      </c>
      <c r="G19" s="233"/>
      <c r="H19" s="232"/>
      <c r="I19" s="294"/>
      <c r="J19" s="294" t="s">
        <v>444</v>
      </c>
      <c r="K19" s="251"/>
      <c r="L19" s="251"/>
      <c r="M19" s="312" t="s">
        <v>458</v>
      </c>
      <c r="N19" s="318" t="s">
        <v>457</v>
      </c>
      <c r="O19" s="316"/>
      <c r="P19" s="310">
        <v>8</v>
      </c>
      <c r="Q19" s="295">
        <v>6</v>
      </c>
      <c r="R19" s="309" t="s">
        <v>447</v>
      </c>
      <c r="S19" s="296"/>
      <c r="T19" s="296"/>
      <c r="U19" s="309" t="s">
        <v>450</v>
      </c>
      <c r="V19" s="315"/>
      <c r="W19" s="314">
        <v>3</v>
      </c>
      <c r="X19" s="313" t="s">
        <v>456</v>
      </c>
      <c r="Y19" s="313">
        <v>6</v>
      </c>
      <c r="Z19" s="313">
        <v>6</v>
      </c>
      <c r="AA19" s="251" t="s">
        <v>447</v>
      </c>
      <c r="AB19" s="209" t="s">
        <v>450</v>
      </c>
      <c r="AC19" s="295"/>
      <c r="AD19" s="231" t="s">
        <v>74</v>
      </c>
      <c r="AE19" s="307"/>
      <c r="AF19" s="183" t="str">
        <f t="shared" si="87"/>
        <v>ORANGE</v>
      </c>
      <c r="AG19" s="203" t="str">
        <f t="shared" si="2"/>
        <v>NG</v>
      </c>
      <c r="AH19" s="231" t="s">
        <v>74</v>
      </c>
      <c r="AI19" s="307"/>
      <c r="AJ19" s="183" t="str">
        <f t="shared" si="88"/>
        <v>ORANGE</v>
      </c>
      <c r="AK19" s="203" t="str">
        <f t="shared" si="4"/>
        <v>NG</v>
      </c>
      <c r="AL19" s="231" t="s">
        <v>74</v>
      </c>
      <c r="AM19" s="307"/>
      <c r="AN19" s="183" t="str">
        <f t="shared" si="89"/>
        <v>ORANGE</v>
      </c>
      <c r="AO19" s="203" t="str">
        <f t="shared" si="6"/>
        <v>NG</v>
      </c>
      <c r="AP19" s="231" t="s">
        <v>74</v>
      </c>
      <c r="AQ19" s="307"/>
      <c r="AR19" s="183" t="str">
        <f t="shared" si="90"/>
        <v>ORANGE</v>
      </c>
      <c r="AS19" s="203" t="str">
        <f t="shared" si="8"/>
        <v>NG</v>
      </c>
      <c r="AT19" s="231" t="s">
        <v>74</v>
      </c>
      <c r="AU19" s="307"/>
      <c r="AV19" s="183" t="str">
        <f t="shared" si="91"/>
        <v>ORANGE</v>
      </c>
      <c r="AW19" s="203" t="str">
        <f t="shared" si="10"/>
        <v>NG</v>
      </c>
      <c r="AX19" s="231" t="s">
        <v>74</v>
      </c>
      <c r="AY19" s="307"/>
      <c r="AZ19" s="183" t="str">
        <f t="shared" si="92"/>
        <v>ORANGE</v>
      </c>
      <c r="BA19" s="203" t="str">
        <f t="shared" si="12"/>
        <v>NG</v>
      </c>
      <c r="BB19" s="231" t="s">
        <v>74</v>
      </c>
      <c r="BC19" s="307"/>
      <c r="BD19" s="183" t="str">
        <f t="shared" si="93"/>
        <v>ORANGE</v>
      </c>
      <c r="BE19" s="203" t="str">
        <f t="shared" si="14"/>
        <v>NG</v>
      </c>
      <c r="BF19" s="231" t="s">
        <v>74</v>
      </c>
      <c r="BG19" s="307"/>
      <c r="BH19" s="183" t="str">
        <f t="shared" si="94"/>
        <v>ORANGE</v>
      </c>
      <c r="BI19" s="203" t="str">
        <f t="shared" si="16"/>
        <v>NG</v>
      </c>
      <c r="BJ19" s="231" t="s">
        <v>74</v>
      </c>
      <c r="BK19" s="307"/>
      <c r="BL19" s="183" t="str">
        <f t="shared" si="95"/>
        <v>ORANGE</v>
      </c>
      <c r="BM19" s="203" t="str">
        <f t="shared" si="18"/>
        <v>NG</v>
      </c>
      <c r="BN19" s="231" t="s">
        <v>74</v>
      </c>
      <c r="BO19" s="307"/>
      <c r="BP19" s="183" t="str">
        <f t="shared" si="96"/>
        <v>ORANGE</v>
      </c>
      <c r="BQ19" s="203" t="str">
        <f t="shared" si="20"/>
        <v>NG</v>
      </c>
      <c r="BR19" s="231" t="s">
        <v>74</v>
      </c>
      <c r="BS19" s="307"/>
      <c r="BT19" s="183" t="str">
        <f t="shared" si="97"/>
        <v>ORANGE</v>
      </c>
      <c r="BU19" s="203" t="str">
        <f t="shared" si="22"/>
        <v>NG</v>
      </c>
      <c r="BV19" s="231" t="s">
        <v>74</v>
      </c>
      <c r="BW19" s="307"/>
      <c r="BX19" s="183" t="str">
        <f t="shared" si="98"/>
        <v>ORANGE</v>
      </c>
      <c r="BY19" s="203" t="str">
        <f t="shared" si="24"/>
        <v>NG</v>
      </c>
      <c r="BZ19" s="231" t="s">
        <v>74</v>
      </c>
      <c r="CA19" s="307"/>
      <c r="CB19" s="183" t="str">
        <f t="shared" si="99"/>
        <v>ORANGE</v>
      </c>
      <c r="CC19" s="203" t="str">
        <f t="shared" si="26"/>
        <v>NG</v>
      </c>
      <c r="CD19" s="231" t="s">
        <v>74</v>
      </c>
      <c r="CE19" s="307"/>
      <c r="CF19" s="183" t="str">
        <f t="shared" si="100"/>
        <v>ORANGE</v>
      </c>
      <c r="CG19" s="203" t="str">
        <f t="shared" si="28"/>
        <v>NG</v>
      </c>
      <c r="CH19" s="231" t="s">
        <v>74</v>
      </c>
      <c r="CI19" s="307"/>
      <c r="CJ19" s="183" t="str">
        <f t="shared" si="101"/>
        <v>ORANGE</v>
      </c>
      <c r="CK19" s="203" t="str">
        <f t="shared" si="30"/>
        <v>NG</v>
      </c>
      <c r="CL19" s="231" t="s">
        <v>74</v>
      </c>
      <c r="CM19" s="307"/>
      <c r="CN19" s="183" t="str">
        <f t="shared" si="102"/>
        <v>ORANGE</v>
      </c>
      <c r="CO19" s="203" t="str">
        <f t="shared" si="32"/>
        <v>NG</v>
      </c>
      <c r="CP19" s="231" t="s">
        <v>74</v>
      </c>
      <c r="CQ19" s="307"/>
      <c r="CR19" s="183" t="str">
        <f t="shared" si="103"/>
        <v>ORANGE</v>
      </c>
      <c r="CS19" s="203" t="str">
        <f t="shared" si="34"/>
        <v>NG</v>
      </c>
      <c r="CT19" s="231" t="s">
        <v>74</v>
      </c>
      <c r="CU19" s="307"/>
      <c r="CV19" s="183" t="str">
        <f t="shared" si="104"/>
        <v>ORANGE</v>
      </c>
      <c r="CW19" s="203" t="str">
        <f t="shared" si="36"/>
        <v>NG</v>
      </c>
      <c r="CX19" s="231" t="s">
        <v>74</v>
      </c>
      <c r="CY19" s="307"/>
      <c r="CZ19" s="183" t="str">
        <f t="shared" si="105"/>
        <v>ORANGE</v>
      </c>
      <c r="DA19" s="203" t="str">
        <f t="shared" si="38"/>
        <v>NG</v>
      </c>
      <c r="DB19" s="231" t="s">
        <v>74</v>
      </c>
      <c r="DC19" s="307"/>
      <c r="DD19" s="183" t="str">
        <f t="shared" si="106"/>
        <v>ORANGE</v>
      </c>
      <c r="DE19" s="203" t="str">
        <f t="shared" si="40"/>
        <v>NG</v>
      </c>
      <c r="DF19" s="231" t="s">
        <v>74</v>
      </c>
      <c r="DG19" s="307"/>
      <c r="DH19" s="183" t="str">
        <f t="shared" si="107"/>
        <v>ORANGE</v>
      </c>
      <c r="DI19" s="203" t="str">
        <f t="shared" si="42"/>
        <v>NG</v>
      </c>
      <c r="DJ19" s="231" t="s">
        <v>74</v>
      </c>
      <c r="DK19" s="307"/>
      <c r="DL19" s="183" t="str">
        <f t="shared" si="108"/>
        <v>ORANGE</v>
      </c>
      <c r="DM19" s="203" t="str">
        <f t="shared" si="44"/>
        <v>NG</v>
      </c>
      <c r="DN19" s="231" t="s">
        <v>74</v>
      </c>
      <c r="DO19" s="307"/>
      <c r="DP19" s="183" t="str">
        <f t="shared" si="109"/>
        <v>ORANGE</v>
      </c>
      <c r="DQ19" s="203" t="str">
        <f t="shared" si="46"/>
        <v>NG</v>
      </c>
      <c r="DR19" s="231" t="s">
        <v>74</v>
      </c>
      <c r="DS19" s="307"/>
      <c r="DT19" s="183" t="str">
        <f t="shared" si="110"/>
        <v>ORANGE</v>
      </c>
      <c r="DU19" s="203" t="str">
        <f t="shared" si="48"/>
        <v>NG</v>
      </c>
      <c r="DV19" s="231" t="s">
        <v>74</v>
      </c>
      <c r="DW19" s="307"/>
      <c r="DX19" s="183" t="str">
        <f t="shared" si="111"/>
        <v>ORANGE</v>
      </c>
      <c r="DY19" s="203" t="str">
        <f t="shared" si="50"/>
        <v>NG</v>
      </c>
      <c r="DZ19" s="231" t="s">
        <v>74</v>
      </c>
      <c r="EA19" s="307"/>
      <c r="EB19" s="183" t="str">
        <f t="shared" si="112"/>
        <v>ORANGE</v>
      </c>
      <c r="EC19" s="203" t="str">
        <f t="shared" si="52"/>
        <v>NG</v>
      </c>
      <c r="ED19" s="231" t="s">
        <v>74</v>
      </c>
      <c r="EE19" s="307"/>
      <c r="EF19" s="183" t="str">
        <f t="shared" si="113"/>
        <v>ORANGE</v>
      </c>
      <c r="EG19" s="203" t="str">
        <f t="shared" si="54"/>
        <v>NG</v>
      </c>
      <c r="EH19" s="231" t="s">
        <v>74</v>
      </c>
      <c r="EI19" s="307"/>
      <c r="EJ19" s="183" t="str">
        <f t="shared" si="114"/>
        <v>ORANGE</v>
      </c>
      <c r="EK19" s="203" t="str">
        <f t="shared" si="56"/>
        <v>NG</v>
      </c>
      <c r="EL19" s="231" t="s">
        <v>74</v>
      </c>
      <c r="EM19" s="307"/>
      <c r="EN19" s="183" t="str">
        <f t="shared" si="115"/>
        <v>ORANGE</v>
      </c>
      <c r="EO19" s="203" t="str">
        <f t="shared" si="58"/>
        <v>NG</v>
      </c>
      <c r="EP19" s="231" t="s">
        <v>74</v>
      </c>
      <c r="EQ19" s="307"/>
      <c r="ER19" s="183" t="str">
        <f t="shared" si="116"/>
        <v>ORANGE</v>
      </c>
      <c r="ES19" s="203" t="str">
        <f t="shared" si="60"/>
        <v>NG</v>
      </c>
      <c r="ET19" s="231" t="s">
        <v>74</v>
      </c>
      <c r="EU19" s="307"/>
      <c r="EV19" s="183" t="str">
        <f t="shared" si="117"/>
        <v>ORANGE</v>
      </c>
      <c r="EW19" s="203" t="str">
        <f t="shared" si="62"/>
        <v>NG</v>
      </c>
      <c r="EX19" s="231" t="s">
        <v>74</v>
      </c>
      <c r="EY19" s="307"/>
      <c r="EZ19" s="183" t="str">
        <f t="shared" si="118"/>
        <v>ORANGE</v>
      </c>
      <c r="FA19" s="203" t="str">
        <f t="shared" si="64"/>
        <v>NG</v>
      </c>
      <c r="FB19" s="231" t="s">
        <v>74</v>
      </c>
      <c r="FC19" s="307"/>
      <c r="FD19" s="183" t="str">
        <f t="shared" si="119"/>
        <v>ORANGE</v>
      </c>
      <c r="FE19" s="203" t="str">
        <f t="shared" si="66"/>
        <v>NG</v>
      </c>
      <c r="FF19" s="231" t="s">
        <v>74</v>
      </c>
      <c r="FG19" s="307"/>
      <c r="FH19" s="183" t="str">
        <f t="shared" si="120"/>
        <v>ORANGE</v>
      </c>
      <c r="FI19" s="203" t="str">
        <f t="shared" si="68"/>
        <v>NG</v>
      </c>
      <c r="FJ19" s="231" t="s">
        <v>74</v>
      </c>
      <c r="FK19" s="307"/>
      <c r="FL19" s="183" t="str">
        <f t="shared" si="121"/>
        <v>ORANGE</v>
      </c>
      <c r="FM19" s="203" t="str">
        <f t="shared" si="70"/>
        <v>NG</v>
      </c>
      <c r="FN19" s="231" t="s">
        <v>74</v>
      </c>
      <c r="FO19" s="307"/>
      <c r="FP19" s="183" t="str">
        <f t="shared" si="122"/>
        <v>ORANGE</v>
      </c>
      <c r="FQ19" s="203" t="str">
        <f t="shared" si="72"/>
        <v>NG</v>
      </c>
      <c r="FR19" s="231" t="s">
        <v>74</v>
      </c>
      <c r="FS19" s="307"/>
      <c r="FT19" s="183" t="str">
        <f t="shared" si="123"/>
        <v>ORANGE</v>
      </c>
      <c r="FU19" s="203" t="str">
        <f t="shared" si="74"/>
        <v>NG</v>
      </c>
      <c r="FV19" s="231" t="s">
        <v>74</v>
      </c>
      <c r="FW19" s="307"/>
      <c r="FX19" s="183" t="str">
        <f t="shared" si="124"/>
        <v>ORANGE</v>
      </c>
      <c r="FY19" s="203" t="str">
        <f t="shared" si="76"/>
        <v>NG</v>
      </c>
      <c r="FZ19" s="231" t="s">
        <v>74</v>
      </c>
      <c r="GA19" s="307"/>
      <c r="GB19" s="183" t="str">
        <f t="shared" si="125"/>
        <v>ORANGE</v>
      </c>
      <c r="GC19" s="203" t="str">
        <f t="shared" si="78"/>
        <v>NG</v>
      </c>
      <c r="GD19" s="231" t="s">
        <v>74</v>
      </c>
      <c r="GE19" s="307"/>
      <c r="GF19" s="183" t="str">
        <f t="shared" si="126"/>
        <v>ORANGE</v>
      </c>
      <c r="GG19" s="203" t="str">
        <f t="shared" si="80"/>
        <v>NG</v>
      </c>
      <c r="GH19" s="231" t="s">
        <v>74</v>
      </c>
      <c r="GI19" s="307"/>
      <c r="GJ19" s="183" t="str">
        <f t="shared" si="127"/>
        <v>ORANGE</v>
      </c>
      <c r="GK19" s="203" t="str">
        <f t="shared" si="82"/>
        <v>NG</v>
      </c>
      <c r="GL19" s="231" t="s">
        <v>74</v>
      </c>
      <c r="GM19" s="307"/>
      <c r="GN19" s="183" t="str">
        <f t="shared" si="128"/>
        <v>ORANGE</v>
      </c>
      <c r="GO19" s="203" t="str">
        <f t="shared" si="84"/>
        <v>NG</v>
      </c>
      <c r="GP19" s="231" t="s">
        <v>74</v>
      </c>
      <c r="GQ19" s="307"/>
      <c r="GR19" s="183" t="str">
        <f t="shared" si="129"/>
        <v>ORANGE</v>
      </c>
      <c r="GS19" s="203" t="str">
        <f t="shared" si="86"/>
        <v>NG</v>
      </c>
      <c r="GT19" s="202"/>
      <c r="GU19" s="202"/>
      <c r="GV19" s="201"/>
      <c r="GW19" s="201"/>
      <c r="GX19" s="201"/>
    </row>
    <row r="20" spans="1:206" ht="51">
      <c r="A20" s="200" t="s">
        <v>444</v>
      </c>
      <c r="B20" s="317">
        <v>12</v>
      </c>
      <c r="C20" s="229"/>
      <c r="D20" s="229"/>
      <c r="E20" s="224"/>
      <c r="F20" s="233" t="s">
        <v>44</v>
      </c>
      <c r="G20" s="233"/>
      <c r="H20" s="232"/>
      <c r="I20" s="294"/>
      <c r="J20" s="294" t="s">
        <v>444</v>
      </c>
      <c r="K20" s="251"/>
      <c r="L20" s="251"/>
      <c r="M20" s="312" t="s">
        <v>455</v>
      </c>
      <c r="N20" s="251"/>
      <c r="O20" s="316"/>
      <c r="P20" s="310">
        <v>9</v>
      </c>
      <c r="Q20" s="295">
        <v>8</v>
      </c>
      <c r="R20" s="309" t="s">
        <v>447</v>
      </c>
      <c r="S20" s="296"/>
      <c r="T20" s="296"/>
      <c r="U20" s="309" t="s">
        <v>450</v>
      </c>
      <c r="V20" s="315"/>
      <c r="W20" s="314">
        <v>3</v>
      </c>
      <c r="X20" s="313" t="s">
        <v>454</v>
      </c>
      <c r="Y20" s="313">
        <v>6</v>
      </c>
      <c r="Z20" s="313">
        <v>8</v>
      </c>
      <c r="AA20" s="251" t="s">
        <v>447</v>
      </c>
      <c r="AB20" s="209" t="s">
        <v>450</v>
      </c>
      <c r="AC20" s="312" t="s">
        <v>453</v>
      </c>
      <c r="AD20" s="231" t="s">
        <v>452</v>
      </c>
      <c r="AE20" s="307"/>
      <c r="AF20" s="183" t="str">
        <f t="shared" si="87"/>
        <v>ODP40570</v>
      </c>
      <c r="AG20" s="203" t="str">
        <f t="shared" si="2"/>
        <v>NG</v>
      </c>
      <c r="AH20" s="231" t="s">
        <v>452</v>
      </c>
      <c r="AI20" s="307"/>
      <c r="AJ20" s="183" t="str">
        <f t="shared" si="88"/>
        <v>ODP40570</v>
      </c>
      <c r="AK20" s="203" t="str">
        <f t="shared" si="4"/>
        <v>NG</v>
      </c>
      <c r="AL20" s="231" t="s">
        <v>452</v>
      </c>
      <c r="AM20" s="307"/>
      <c r="AN20" s="183" t="str">
        <f t="shared" si="89"/>
        <v>ODP40570</v>
      </c>
      <c r="AO20" s="203" t="str">
        <f t="shared" si="6"/>
        <v>NG</v>
      </c>
      <c r="AP20" s="231" t="s">
        <v>452</v>
      </c>
      <c r="AQ20" s="307"/>
      <c r="AR20" s="183" t="str">
        <f t="shared" si="90"/>
        <v>ODP40570</v>
      </c>
      <c r="AS20" s="203" t="str">
        <f t="shared" si="8"/>
        <v>NG</v>
      </c>
      <c r="AT20" s="231" t="s">
        <v>452</v>
      </c>
      <c r="AU20" s="307"/>
      <c r="AV20" s="183" t="str">
        <f t="shared" si="91"/>
        <v>ODP40570</v>
      </c>
      <c r="AW20" s="203" t="str">
        <f t="shared" si="10"/>
        <v>NG</v>
      </c>
      <c r="AX20" s="231" t="s">
        <v>452</v>
      </c>
      <c r="AY20" s="307"/>
      <c r="AZ20" s="183" t="str">
        <f t="shared" si="92"/>
        <v>ODP40570</v>
      </c>
      <c r="BA20" s="203" t="str">
        <f t="shared" si="12"/>
        <v>NG</v>
      </c>
      <c r="BB20" s="231" t="s">
        <v>452</v>
      </c>
      <c r="BC20" s="307"/>
      <c r="BD20" s="183" t="str">
        <f t="shared" si="93"/>
        <v>ODP40570</v>
      </c>
      <c r="BE20" s="203" t="str">
        <f t="shared" si="14"/>
        <v>NG</v>
      </c>
      <c r="BF20" s="231" t="s">
        <v>452</v>
      </c>
      <c r="BG20" s="307"/>
      <c r="BH20" s="183" t="str">
        <f t="shared" si="94"/>
        <v>ODP40570</v>
      </c>
      <c r="BI20" s="203" t="str">
        <f t="shared" si="16"/>
        <v>NG</v>
      </c>
      <c r="BJ20" s="231" t="s">
        <v>452</v>
      </c>
      <c r="BK20" s="307"/>
      <c r="BL20" s="183" t="str">
        <f t="shared" si="95"/>
        <v>ODP40570</v>
      </c>
      <c r="BM20" s="203" t="str">
        <f t="shared" si="18"/>
        <v>NG</v>
      </c>
      <c r="BN20" s="231" t="s">
        <v>452</v>
      </c>
      <c r="BO20" s="307"/>
      <c r="BP20" s="183" t="str">
        <f t="shared" si="96"/>
        <v>ODP40570</v>
      </c>
      <c r="BQ20" s="203" t="str">
        <f t="shared" si="20"/>
        <v>NG</v>
      </c>
      <c r="BR20" s="231" t="s">
        <v>452</v>
      </c>
      <c r="BS20" s="307"/>
      <c r="BT20" s="183" t="str">
        <f t="shared" si="97"/>
        <v>ODP40570</v>
      </c>
      <c r="BU20" s="203" t="str">
        <f t="shared" si="22"/>
        <v>NG</v>
      </c>
      <c r="BV20" s="231" t="s">
        <v>452</v>
      </c>
      <c r="BW20" s="307"/>
      <c r="BX20" s="183" t="str">
        <f t="shared" si="98"/>
        <v>ODP40570</v>
      </c>
      <c r="BY20" s="203" t="str">
        <f t="shared" si="24"/>
        <v>NG</v>
      </c>
      <c r="BZ20" s="231" t="s">
        <v>452</v>
      </c>
      <c r="CA20" s="307"/>
      <c r="CB20" s="183" t="str">
        <f t="shared" si="99"/>
        <v>ODP40570</v>
      </c>
      <c r="CC20" s="203" t="str">
        <f t="shared" si="26"/>
        <v>NG</v>
      </c>
      <c r="CD20" s="231" t="s">
        <v>452</v>
      </c>
      <c r="CE20" s="307"/>
      <c r="CF20" s="183" t="str">
        <f t="shared" si="100"/>
        <v>ODP40570</v>
      </c>
      <c r="CG20" s="203" t="str">
        <f t="shared" si="28"/>
        <v>NG</v>
      </c>
      <c r="CH20" s="231" t="s">
        <v>452</v>
      </c>
      <c r="CI20" s="307"/>
      <c r="CJ20" s="183" t="str">
        <f t="shared" si="101"/>
        <v>ODP40570</v>
      </c>
      <c r="CK20" s="203" t="str">
        <f t="shared" si="30"/>
        <v>NG</v>
      </c>
      <c r="CL20" s="231" t="s">
        <v>452</v>
      </c>
      <c r="CM20" s="307"/>
      <c r="CN20" s="183" t="str">
        <f t="shared" si="102"/>
        <v>ODP40570</v>
      </c>
      <c r="CO20" s="203" t="str">
        <f t="shared" si="32"/>
        <v>NG</v>
      </c>
      <c r="CP20" s="231" t="s">
        <v>452</v>
      </c>
      <c r="CQ20" s="307"/>
      <c r="CR20" s="183" t="str">
        <f t="shared" si="103"/>
        <v>ODP40570</v>
      </c>
      <c r="CS20" s="203" t="str">
        <f t="shared" si="34"/>
        <v>NG</v>
      </c>
      <c r="CT20" s="231" t="s">
        <v>452</v>
      </c>
      <c r="CU20" s="307"/>
      <c r="CV20" s="183" t="str">
        <f t="shared" si="104"/>
        <v>ODP40570</v>
      </c>
      <c r="CW20" s="203" t="str">
        <f t="shared" si="36"/>
        <v>NG</v>
      </c>
      <c r="CX20" s="231" t="s">
        <v>452</v>
      </c>
      <c r="CY20" s="307"/>
      <c r="CZ20" s="183" t="str">
        <f t="shared" si="105"/>
        <v>ODP40570</v>
      </c>
      <c r="DA20" s="203" t="str">
        <f t="shared" si="38"/>
        <v>NG</v>
      </c>
      <c r="DB20" s="231" t="s">
        <v>452</v>
      </c>
      <c r="DC20" s="307"/>
      <c r="DD20" s="183" t="str">
        <f t="shared" si="106"/>
        <v>ODP40570</v>
      </c>
      <c r="DE20" s="203" t="str">
        <f t="shared" si="40"/>
        <v>NG</v>
      </c>
      <c r="DF20" s="231" t="s">
        <v>452</v>
      </c>
      <c r="DG20" s="307"/>
      <c r="DH20" s="183" t="str">
        <f t="shared" si="107"/>
        <v>ODP40570</v>
      </c>
      <c r="DI20" s="203" t="str">
        <f t="shared" si="42"/>
        <v>NG</v>
      </c>
      <c r="DJ20" s="231" t="s">
        <v>452</v>
      </c>
      <c r="DK20" s="307"/>
      <c r="DL20" s="183" t="str">
        <f t="shared" si="108"/>
        <v>ODP40570</v>
      </c>
      <c r="DM20" s="203" t="str">
        <f t="shared" si="44"/>
        <v>NG</v>
      </c>
      <c r="DN20" s="231" t="s">
        <v>452</v>
      </c>
      <c r="DO20" s="307"/>
      <c r="DP20" s="183" t="str">
        <f t="shared" si="109"/>
        <v>ODP40570</v>
      </c>
      <c r="DQ20" s="203" t="str">
        <f t="shared" si="46"/>
        <v>NG</v>
      </c>
      <c r="DR20" s="231" t="s">
        <v>452</v>
      </c>
      <c r="DS20" s="307"/>
      <c r="DT20" s="183" t="str">
        <f t="shared" si="110"/>
        <v>ODP40570</v>
      </c>
      <c r="DU20" s="203" t="str">
        <f t="shared" si="48"/>
        <v>NG</v>
      </c>
      <c r="DV20" s="231" t="s">
        <v>452</v>
      </c>
      <c r="DW20" s="307"/>
      <c r="DX20" s="183" t="str">
        <f t="shared" si="111"/>
        <v>ODP40570</v>
      </c>
      <c r="DY20" s="203" t="str">
        <f t="shared" si="50"/>
        <v>NG</v>
      </c>
      <c r="DZ20" s="231" t="s">
        <v>452</v>
      </c>
      <c r="EA20" s="307"/>
      <c r="EB20" s="183" t="str">
        <f t="shared" si="112"/>
        <v>ODP40570</v>
      </c>
      <c r="EC20" s="203" t="str">
        <f t="shared" si="52"/>
        <v>NG</v>
      </c>
      <c r="ED20" s="231" t="s">
        <v>452</v>
      </c>
      <c r="EE20" s="307"/>
      <c r="EF20" s="183" t="str">
        <f t="shared" si="113"/>
        <v>ODP40570</v>
      </c>
      <c r="EG20" s="203" t="str">
        <f t="shared" si="54"/>
        <v>NG</v>
      </c>
      <c r="EH20" s="231" t="s">
        <v>452</v>
      </c>
      <c r="EI20" s="307"/>
      <c r="EJ20" s="183" t="str">
        <f t="shared" si="114"/>
        <v>ODP40570</v>
      </c>
      <c r="EK20" s="203" t="str">
        <f t="shared" si="56"/>
        <v>NG</v>
      </c>
      <c r="EL20" s="231" t="s">
        <v>452</v>
      </c>
      <c r="EM20" s="307"/>
      <c r="EN20" s="183" t="str">
        <f t="shared" si="115"/>
        <v>ODP40570</v>
      </c>
      <c r="EO20" s="203" t="str">
        <f t="shared" si="58"/>
        <v>NG</v>
      </c>
      <c r="EP20" s="231" t="s">
        <v>452</v>
      </c>
      <c r="EQ20" s="307"/>
      <c r="ER20" s="183" t="str">
        <f t="shared" si="116"/>
        <v>ODP40570</v>
      </c>
      <c r="ES20" s="203" t="str">
        <f t="shared" si="60"/>
        <v>NG</v>
      </c>
      <c r="ET20" s="231" t="s">
        <v>452</v>
      </c>
      <c r="EU20" s="307"/>
      <c r="EV20" s="183" t="str">
        <f t="shared" si="117"/>
        <v>ODP40570</v>
      </c>
      <c r="EW20" s="203" t="str">
        <f t="shared" si="62"/>
        <v>NG</v>
      </c>
      <c r="EX20" s="231" t="s">
        <v>452</v>
      </c>
      <c r="EY20" s="307"/>
      <c r="EZ20" s="183" t="str">
        <f t="shared" si="118"/>
        <v>ODP40570</v>
      </c>
      <c r="FA20" s="203" t="str">
        <f t="shared" si="64"/>
        <v>NG</v>
      </c>
      <c r="FB20" s="231" t="s">
        <v>452</v>
      </c>
      <c r="FC20" s="307"/>
      <c r="FD20" s="183" t="str">
        <f t="shared" si="119"/>
        <v>ODP40570</v>
      </c>
      <c r="FE20" s="203" t="str">
        <f t="shared" si="66"/>
        <v>NG</v>
      </c>
      <c r="FF20" s="231" t="s">
        <v>452</v>
      </c>
      <c r="FG20" s="307"/>
      <c r="FH20" s="183" t="str">
        <f t="shared" si="120"/>
        <v>ODP40570</v>
      </c>
      <c r="FI20" s="203" t="str">
        <f t="shared" si="68"/>
        <v>NG</v>
      </c>
      <c r="FJ20" s="231" t="s">
        <v>452</v>
      </c>
      <c r="FK20" s="307"/>
      <c r="FL20" s="183" t="str">
        <f t="shared" si="121"/>
        <v>ODP40570</v>
      </c>
      <c r="FM20" s="203" t="str">
        <f t="shared" si="70"/>
        <v>NG</v>
      </c>
      <c r="FN20" s="231" t="s">
        <v>452</v>
      </c>
      <c r="FO20" s="307"/>
      <c r="FP20" s="183" t="str">
        <f t="shared" si="122"/>
        <v>ODP40570</v>
      </c>
      <c r="FQ20" s="203" t="str">
        <f t="shared" si="72"/>
        <v>NG</v>
      </c>
      <c r="FR20" s="231" t="s">
        <v>452</v>
      </c>
      <c r="FS20" s="307"/>
      <c r="FT20" s="183" t="str">
        <f t="shared" si="123"/>
        <v>ODP40570</v>
      </c>
      <c r="FU20" s="203" t="str">
        <f t="shared" si="74"/>
        <v>NG</v>
      </c>
      <c r="FV20" s="231" t="s">
        <v>452</v>
      </c>
      <c r="FW20" s="307"/>
      <c r="FX20" s="183" t="str">
        <f t="shared" si="124"/>
        <v>ODP40570</v>
      </c>
      <c r="FY20" s="203" t="str">
        <f t="shared" si="76"/>
        <v>NG</v>
      </c>
      <c r="FZ20" s="231" t="s">
        <v>452</v>
      </c>
      <c r="GA20" s="307"/>
      <c r="GB20" s="183" t="str">
        <f t="shared" si="125"/>
        <v>ODP40570</v>
      </c>
      <c r="GC20" s="203" t="str">
        <f t="shared" si="78"/>
        <v>NG</v>
      </c>
      <c r="GD20" s="231" t="s">
        <v>452</v>
      </c>
      <c r="GE20" s="307"/>
      <c r="GF20" s="183" t="str">
        <f t="shared" si="126"/>
        <v>ODP40570</v>
      </c>
      <c r="GG20" s="203" t="str">
        <f t="shared" si="80"/>
        <v>NG</v>
      </c>
      <c r="GH20" s="231" t="s">
        <v>452</v>
      </c>
      <c r="GI20" s="307"/>
      <c r="GJ20" s="183" t="str">
        <f t="shared" si="127"/>
        <v>ODP40570</v>
      </c>
      <c r="GK20" s="203" t="str">
        <f t="shared" si="82"/>
        <v>NG</v>
      </c>
      <c r="GL20" s="231" t="s">
        <v>452</v>
      </c>
      <c r="GM20" s="307"/>
      <c r="GN20" s="183" t="str">
        <f t="shared" si="128"/>
        <v>ODP40570</v>
      </c>
      <c r="GO20" s="203" t="str">
        <f t="shared" si="84"/>
        <v>NG</v>
      </c>
      <c r="GP20" s="231" t="s">
        <v>452</v>
      </c>
      <c r="GQ20" s="307"/>
      <c r="GR20" s="183" t="str">
        <f t="shared" si="129"/>
        <v>ODP40570</v>
      </c>
      <c r="GS20" s="203" t="str">
        <f t="shared" si="86"/>
        <v>NG</v>
      </c>
      <c r="GT20" s="202"/>
      <c r="GU20" s="202"/>
      <c r="GV20" s="201"/>
      <c r="GW20" s="201"/>
      <c r="GX20" s="201"/>
    </row>
    <row r="21" spans="1:206" ht="216.75">
      <c r="A21" s="200"/>
      <c r="B21" s="225">
        <v>13</v>
      </c>
      <c r="C21" s="229"/>
      <c r="D21" s="229"/>
      <c r="E21" s="222" t="s">
        <v>45</v>
      </c>
      <c r="F21" s="221"/>
      <c r="G21" s="221"/>
      <c r="H21" s="220"/>
      <c r="I21" s="209"/>
      <c r="J21" s="209" t="s">
        <v>442</v>
      </c>
      <c r="K21" s="209"/>
      <c r="L21" s="209"/>
      <c r="M21" s="291" t="s">
        <v>451</v>
      </c>
      <c r="N21" s="218"/>
      <c r="O21" s="311"/>
      <c r="P21" s="310">
        <v>10</v>
      </c>
      <c r="Q21" s="296">
        <v>2</v>
      </c>
      <c r="R21" s="309" t="s">
        <v>447</v>
      </c>
      <c r="S21" s="296"/>
      <c r="T21" s="296"/>
      <c r="U21" s="309" t="s">
        <v>450</v>
      </c>
      <c r="V21" s="308" t="s">
        <v>449</v>
      </c>
      <c r="W21" s="292" t="str">
        <f>IF(C21&lt;&gt;"","0",IF(D21&lt;&gt;"","1",IF(E21&lt;&gt;"","2",IF(F21&lt;&gt;"","3",IF(G21&lt;&gt;"","4",IF(H21&lt;&gt;"","5"))))))</f>
        <v>2</v>
      </c>
      <c r="X21" s="210" t="s">
        <v>448</v>
      </c>
      <c r="Y21" s="210">
        <v>2</v>
      </c>
      <c r="Z21" s="210">
        <v>2</v>
      </c>
      <c r="AA21" s="209" t="s">
        <v>447</v>
      </c>
      <c r="AB21" s="209" t="s">
        <v>446</v>
      </c>
      <c r="AC21" s="291"/>
      <c r="AD21" s="226"/>
      <c r="AE21" s="307"/>
      <c r="AF21" s="306" t="s">
        <v>445</v>
      </c>
      <c r="AG21" s="203" t="str">
        <f t="shared" si="2"/>
        <v>NG</v>
      </c>
      <c r="AH21" s="226"/>
      <c r="AI21" s="307"/>
      <c r="AJ21" s="306" t="s">
        <v>445</v>
      </c>
      <c r="AK21" s="203" t="str">
        <f t="shared" si="4"/>
        <v>NG</v>
      </c>
      <c r="AL21" s="226"/>
      <c r="AM21" s="307"/>
      <c r="AN21" s="306" t="s">
        <v>445</v>
      </c>
      <c r="AO21" s="203" t="str">
        <f t="shared" si="6"/>
        <v>NG</v>
      </c>
      <c r="AP21" s="226"/>
      <c r="AQ21" s="307"/>
      <c r="AR21" s="306" t="s">
        <v>445</v>
      </c>
      <c r="AS21" s="203" t="str">
        <f t="shared" si="8"/>
        <v>NG</v>
      </c>
      <c r="AT21" s="226"/>
      <c r="AU21" s="307"/>
      <c r="AV21" s="306" t="s">
        <v>445</v>
      </c>
      <c r="AW21" s="203" t="str">
        <f t="shared" si="10"/>
        <v>NG</v>
      </c>
      <c r="AX21" s="226"/>
      <c r="AY21" s="307"/>
      <c r="AZ21" s="306" t="s">
        <v>445</v>
      </c>
      <c r="BA21" s="203" t="str">
        <f t="shared" si="12"/>
        <v>NG</v>
      </c>
      <c r="BB21" s="226"/>
      <c r="BC21" s="307"/>
      <c r="BD21" s="306" t="s">
        <v>445</v>
      </c>
      <c r="BE21" s="203" t="str">
        <f t="shared" si="14"/>
        <v>NG</v>
      </c>
      <c r="BF21" s="226"/>
      <c r="BG21" s="307"/>
      <c r="BH21" s="306" t="s">
        <v>445</v>
      </c>
      <c r="BI21" s="203" t="str">
        <f t="shared" si="16"/>
        <v>NG</v>
      </c>
      <c r="BJ21" s="226"/>
      <c r="BK21" s="307"/>
      <c r="BL21" s="306" t="s">
        <v>445</v>
      </c>
      <c r="BM21" s="203" t="str">
        <f t="shared" si="18"/>
        <v>NG</v>
      </c>
      <c r="BN21" s="226"/>
      <c r="BO21" s="307"/>
      <c r="BP21" s="306" t="s">
        <v>445</v>
      </c>
      <c r="BQ21" s="203" t="str">
        <f t="shared" si="20"/>
        <v>NG</v>
      </c>
      <c r="BR21" s="226"/>
      <c r="BS21" s="307"/>
      <c r="BT21" s="306" t="s">
        <v>445</v>
      </c>
      <c r="BU21" s="203" t="str">
        <f t="shared" si="22"/>
        <v>NG</v>
      </c>
      <c r="BV21" s="226"/>
      <c r="BW21" s="307"/>
      <c r="BX21" s="306" t="s">
        <v>445</v>
      </c>
      <c r="BY21" s="203" t="str">
        <f t="shared" si="24"/>
        <v>NG</v>
      </c>
      <c r="BZ21" s="226"/>
      <c r="CA21" s="307"/>
      <c r="CB21" s="306" t="s">
        <v>445</v>
      </c>
      <c r="CC21" s="203" t="str">
        <f t="shared" si="26"/>
        <v>NG</v>
      </c>
      <c r="CD21" s="226"/>
      <c r="CE21" s="307"/>
      <c r="CF21" s="306" t="s">
        <v>445</v>
      </c>
      <c r="CG21" s="203" t="str">
        <f t="shared" si="28"/>
        <v>NG</v>
      </c>
      <c r="CH21" s="226"/>
      <c r="CI21" s="307"/>
      <c r="CJ21" s="306" t="s">
        <v>445</v>
      </c>
      <c r="CK21" s="203" t="str">
        <f t="shared" si="30"/>
        <v>NG</v>
      </c>
      <c r="CL21" s="226"/>
      <c r="CM21" s="307"/>
      <c r="CN21" s="306" t="s">
        <v>445</v>
      </c>
      <c r="CO21" s="203" t="str">
        <f t="shared" si="32"/>
        <v>NG</v>
      </c>
      <c r="CP21" s="226"/>
      <c r="CQ21" s="307"/>
      <c r="CR21" s="306" t="s">
        <v>445</v>
      </c>
      <c r="CS21" s="203" t="str">
        <f t="shared" si="34"/>
        <v>NG</v>
      </c>
      <c r="CT21" s="226"/>
      <c r="CU21" s="307"/>
      <c r="CV21" s="306" t="s">
        <v>445</v>
      </c>
      <c r="CW21" s="203" t="str">
        <f t="shared" si="36"/>
        <v>NG</v>
      </c>
      <c r="CX21" s="226"/>
      <c r="CY21" s="307"/>
      <c r="CZ21" s="306" t="s">
        <v>445</v>
      </c>
      <c r="DA21" s="203" t="str">
        <f t="shared" si="38"/>
        <v>NG</v>
      </c>
      <c r="DB21" s="226"/>
      <c r="DC21" s="307"/>
      <c r="DD21" s="306" t="s">
        <v>445</v>
      </c>
      <c r="DE21" s="203" t="str">
        <f t="shared" si="40"/>
        <v>NG</v>
      </c>
      <c r="DF21" s="226"/>
      <c r="DG21" s="307"/>
      <c r="DH21" s="306" t="s">
        <v>445</v>
      </c>
      <c r="DI21" s="203" t="str">
        <f t="shared" si="42"/>
        <v>NG</v>
      </c>
      <c r="DJ21" s="226"/>
      <c r="DK21" s="307"/>
      <c r="DL21" s="306" t="s">
        <v>445</v>
      </c>
      <c r="DM21" s="203" t="str">
        <f t="shared" si="44"/>
        <v>NG</v>
      </c>
      <c r="DN21" s="226"/>
      <c r="DO21" s="307"/>
      <c r="DP21" s="306" t="s">
        <v>445</v>
      </c>
      <c r="DQ21" s="203" t="str">
        <f t="shared" si="46"/>
        <v>NG</v>
      </c>
      <c r="DR21" s="226"/>
      <c r="DS21" s="307"/>
      <c r="DT21" s="306" t="s">
        <v>445</v>
      </c>
      <c r="DU21" s="203" t="str">
        <f t="shared" si="48"/>
        <v>NG</v>
      </c>
      <c r="DV21" s="226"/>
      <c r="DW21" s="307"/>
      <c r="DX21" s="306" t="s">
        <v>445</v>
      </c>
      <c r="DY21" s="203" t="str">
        <f t="shared" si="50"/>
        <v>NG</v>
      </c>
      <c r="DZ21" s="226"/>
      <c r="EA21" s="307"/>
      <c r="EB21" s="306" t="s">
        <v>445</v>
      </c>
      <c r="EC21" s="203" t="str">
        <f t="shared" si="52"/>
        <v>NG</v>
      </c>
      <c r="ED21" s="226"/>
      <c r="EE21" s="307"/>
      <c r="EF21" s="306" t="s">
        <v>445</v>
      </c>
      <c r="EG21" s="203" t="str">
        <f t="shared" si="54"/>
        <v>NG</v>
      </c>
      <c r="EH21" s="226"/>
      <c r="EI21" s="307"/>
      <c r="EJ21" s="306" t="s">
        <v>445</v>
      </c>
      <c r="EK21" s="203" t="str">
        <f t="shared" si="56"/>
        <v>NG</v>
      </c>
      <c r="EL21" s="226"/>
      <c r="EM21" s="307"/>
      <c r="EN21" s="306" t="s">
        <v>445</v>
      </c>
      <c r="EO21" s="203" t="str">
        <f t="shared" si="58"/>
        <v>NG</v>
      </c>
      <c r="EP21" s="226"/>
      <c r="EQ21" s="307"/>
      <c r="ER21" s="306" t="s">
        <v>445</v>
      </c>
      <c r="ES21" s="203" t="str">
        <f t="shared" si="60"/>
        <v>NG</v>
      </c>
      <c r="ET21" s="226"/>
      <c r="EU21" s="307"/>
      <c r="EV21" s="306" t="s">
        <v>445</v>
      </c>
      <c r="EW21" s="203" t="str">
        <f t="shared" si="62"/>
        <v>NG</v>
      </c>
      <c r="EX21" s="226"/>
      <c r="EY21" s="307"/>
      <c r="EZ21" s="306" t="s">
        <v>445</v>
      </c>
      <c r="FA21" s="203" t="str">
        <f t="shared" si="64"/>
        <v>NG</v>
      </c>
      <c r="FB21" s="226"/>
      <c r="FC21" s="307"/>
      <c r="FD21" s="306" t="s">
        <v>445</v>
      </c>
      <c r="FE21" s="203" t="str">
        <f t="shared" si="66"/>
        <v>NG</v>
      </c>
      <c r="FF21" s="226"/>
      <c r="FG21" s="307"/>
      <c r="FH21" s="306" t="s">
        <v>445</v>
      </c>
      <c r="FI21" s="203" t="str">
        <f t="shared" si="68"/>
        <v>NG</v>
      </c>
      <c r="FJ21" s="226"/>
      <c r="FK21" s="307"/>
      <c r="FL21" s="306" t="s">
        <v>445</v>
      </c>
      <c r="FM21" s="203" t="str">
        <f t="shared" si="70"/>
        <v>NG</v>
      </c>
      <c r="FN21" s="226"/>
      <c r="FO21" s="307"/>
      <c r="FP21" s="306" t="s">
        <v>445</v>
      </c>
      <c r="FQ21" s="203" t="str">
        <f t="shared" si="72"/>
        <v>NG</v>
      </c>
      <c r="FR21" s="226"/>
      <c r="FS21" s="307"/>
      <c r="FT21" s="306" t="s">
        <v>445</v>
      </c>
      <c r="FU21" s="203" t="str">
        <f t="shared" si="74"/>
        <v>NG</v>
      </c>
      <c r="FV21" s="226"/>
      <c r="FW21" s="307"/>
      <c r="FX21" s="306" t="s">
        <v>445</v>
      </c>
      <c r="FY21" s="203" t="str">
        <f t="shared" si="76"/>
        <v>NG</v>
      </c>
      <c r="FZ21" s="226"/>
      <c r="GA21" s="307"/>
      <c r="GB21" s="306" t="s">
        <v>445</v>
      </c>
      <c r="GC21" s="203" t="str">
        <f t="shared" si="78"/>
        <v>NG</v>
      </c>
      <c r="GD21" s="226"/>
      <c r="GE21" s="307"/>
      <c r="GF21" s="306" t="s">
        <v>445</v>
      </c>
      <c r="GG21" s="203" t="str">
        <f t="shared" si="80"/>
        <v>NG</v>
      </c>
      <c r="GH21" s="226"/>
      <c r="GI21" s="307"/>
      <c r="GJ21" s="306" t="s">
        <v>445</v>
      </c>
      <c r="GK21" s="203" t="str">
        <f t="shared" si="82"/>
        <v>NG</v>
      </c>
      <c r="GL21" s="226"/>
      <c r="GM21" s="307"/>
      <c r="GN21" s="306" t="s">
        <v>445</v>
      </c>
      <c r="GO21" s="203" t="str">
        <f t="shared" si="84"/>
        <v>NG</v>
      </c>
      <c r="GP21" s="226"/>
      <c r="GQ21" s="307"/>
      <c r="GR21" s="306" t="s">
        <v>445</v>
      </c>
      <c r="GS21" s="203" t="str">
        <f t="shared" si="86"/>
        <v>NG</v>
      </c>
      <c r="GT21" s="202"/>
      <c r="GU21" s="202"/>
      <c r="GV21" s="201"/>
      <c r="GW21" s="201"/>
      <c r="GX21" s="201"/>
    </row>
    <row r="22" spans="1:206" ht="102.4" thickBot="1">
      <c r="A22" s="200" t="s">
        <v>444</v>
      </c>
      <c r="B22" s="305">
        <v>14</v>
      </c>
      <c r="C22" s="304"/>
      <c r="D22" s="303"/>
      <c r="E22" s="302" t="s">
        <v>443</v>
      </c>
      <c r="F22" s="302"/>
      <c r="G22" s="302"/>
      <c r="H22" s="301"/>
      <c r="I22" s="300"/>
      <c r="J22" s="300" t="s">
        <v>442</v>
      </c>
      <c r="K22" s="300"/>
      <c r="L22" s="251"/>
      <c r="M22" s="299" t="s">
        <v>46</v>
      </c>
      <c r="N22" s="251"/>
      <c r="O22" s="298"/>
      <c r="P22" s="297">
        <v>11</v>
      </c>
      <c r="Q22" s="296">
        <v>1</v>
      </c>
      <c r="R22" s="294" t="s">
        <v>60</v>
      </c>
      <c r="S22" s="295"/>
      <c r="T22" s="295"/>
      <c r="U22" s="294" t="s">
        <v>58</v>
      </c>
      <c r="V22" s="293" t="s">
        <v>62</v>
      </c>
      <c r="W22" s="292" t="str">
        <f>IF(C22&lt;&gt;"","0",IF(D22&lt;&gt;"","1",IF(E22&lt;&gt;"","2",IF(F22&lt;&gt;"","3",IF(G22&lt;&gt;"","4",IF(H22&lt;&gt;"","5"))))))</f>
        <v>2</v>
      </c>
      <c r="X22" s="210" t="s">
        <v>63</v>
      </c>
      <c r="Y22" s="210">
        <v>1</v>
      </c>
      <c r="Z22" s="210">
        <v>1</v>
      </c>
      <c r="AA22" s="209" t="s">
        <v>60</v>
      </c>
      <c r="AB22" s="209"/>
      <c r="AC22" s="291"/>
      <c r="AD22" s="290"/>
      <c r="AE22" s="289"/>
      <c r="AF22" s="288" t="str">
        <f>IF($AA22="","",IF(AD22="","",AD22))</f>
        <v/>
      </c>
      <c r="AG22" s="287" t="str">
        <f t="shared" si="2"/>
        <v>OK</v>
      </c>
      <c r="AH22" s="290"/>
      <c r="AI22" s="289"/>
      <c r="AJ22" s="288" t="str">
        <f>IF($AA22="","",IF(AH22="","",AH22))</f>
        <v/>
      </c>
      <c r="AK22" s="287" t="str">
        <f t="shared" si="4"/>
        <v>OK</v>
      </c>
      <c r="AL22" s="290"/>
      <c r="AM22" s="289"/>
      <c r="AN22" s="288" t="str">
        <f>IF($AA22="","",IF(AL22="","",AL22))</f>
        <v/>
      </c>
      <c r="AO22" s="287" t="str">
        <f t="shared" si="6"/>
        <v>OK</v>
      </c>
      <c r="AP22" s="290"/>
      <c r="AQ22" s="289"/>
      <c r="AR22" s="288" t="str">
        <f>IF($AA22="","",IF(AP22="","",AP22))</f>
        <v/>
      </c>
      <c r="AS22" s="287" t="str">
        <f t="shared" si="8"/>
        <v>OK</v>
      </c>
      <c r="AT22" s="290"/>
      <c r="AU22" s="289"/>
      <c r="AV22" s="288" t="str">
        <f>IF($AA22="","",IF(AT22="","",AT22))</f>
        <v/>
      </c>
      <c r="AW22" s="287" t="str">
        <f t="shared" si="10"/>
        <v>OK</v>
      </c>
      <c r="AX22" s="290"/>
      <c r="AY22" s="289"/>
      <c r="AZ22" s="288" t="str">
        <f>IF($AA22="","",IF(AX22="","",AX22))</f>
        <v/>
      </c>
      <c r="BA22" s="287" t="str">
        <f t="shared" si="12"/>
        <v>OK</v>
      </c>
      <c r="BB22" s="290"/>
      <c r="BC22" s="289"/>
      <c r="BD22" s="288" t="str">
        <f>IF($AA22="","",IF(BB22="","",BB22))</f>
        <v/>
      </c>
      <c r="BE22" s="287" t="str">
        <f t="shared" si="14"/>
        <v>OK</v>
      </c>
      <c r="BF22" s="290"/>
      <c r="BG22" s="289"/>
      <c r="BH22" s="288" t="str">
        <f>IF($AA22="","",IF(BF22="","",BF22))</f>
        <v/>
      </c>
      <c r="BI22" s="287" t="str">
        <f t="shared" si="16"/>
        <v>OK</v>
      </c>
      <c r="BJ22" s="290"/>
      <c r="BK22" s="289"/>
      <c r="BL22" s="288" t="str">
        <f>IF($AA22="","",IF(BJ22="","",BJ22))</f>
        <v/>
      </c>
      <c r="BM22" s="287" t="str">
        <f t="shared" si="18"/>
        <v>OK</v>
      </c>
      <c r="BN22" s="290"/>
      <c r="BO22" s="289"/>
      <c r="BP22" s="288" t="str">
        <f>IF($AA22="","",IF(BN22="","",BN22))</f>
        <v/>
      </c>
      <c r="BQ22" s="287" t="str">
        <f t="shared" si="20"/>
        <v>OK</v>
      </c>
      <c r="BR22" s="290"/>
      <c r="BS22" s="289"/>
      <c r="BT22" s="288" t="str">
        <f>IF($AA22="","",IF(BR22="","",BR22))</f>
        <v/>
      </c>
      <c r="BU22" s="287" t="str">
        <f t="shared" si="22"/>
        <v>OK</v>
      </c>
      <c r="BV22" s="290"/>
      <c r="BW22" s="289"/>
      <c r="BX22" s="288" t="str">
        <f>IF($AA22="","",IF(BV22="","",BV22))</f>
        <v/>
      </c>
      <c r="BY22" s="287" t="str">
        <f t="shared" si="24"/>
        <v>OK</v>
      </c>
      <c r="BZ22" s="290"/>
      <c r="CA22" s="289"/>
      <c r="CB22" s="288" t="str">
        <f>IF($AA22="","",IF(BZ22="","",BZ22))</f>
        <v/>
      </c>
      <c r="CC22" s="287" t="str">
        <f t="shared" si="26"/>
        <v>OK</v>
      </c>
      <c r="CD22" s="290"/>
      <c r="CE22" s="289"/>
      <c r="CF22" s="288" t="str">
        <f>IF($AA22="","",IF(CD22="","",CD22))</f>
        <v/>
      </c>
      <c r="CG22" s="287" t="str">
        <f t="shared" si="28"/>
        <v>OK</v>
      </c>
      <c r="CH22" s="290"/>
      <c r="CI22" s="289"/>
      <c r="CJ22" s="288" t="str">
        <f>IF($AA22="","",IF(CH22="","",CH22))</f>
        <v/>
      </c>
      <c r="CK22" s="287" t="str">
        <f t="shared" si="30"/>
        <v>OK</v>
      </c>
      <c r="CL22" s="290"/>
      <c r="CM22" s="289"/>
      <c r="CN22" s="288" t="str">
        <f>IF($AA22="","",IF(CL22="","",CL22))</f>
        <v/>
      </c>
      <c r="CO22" s="287" t="str">
        <f t="shared" si="32"/>
        <v>OK</v>
      </c>
      <c r="CP22" s="290"/>
      <c r="CQ22" s="289"/>
      <c r="CR22" s="288" t="str">
        <f>IF($AA22="","",IF(CP22="","",CP22))</f>
        <v/>
      </c>
      <c r="CS22" s="287" t="str">
        <f t="shared" si="34"/>
        <v>OK</v>
      </c>
      <c r="CT22" s="290"/>
      <c r="CU22" s="289"/>
      <c r="CV22" s="288" t="str">
        <f>IF($AA22="","",IF(CT22="","",CT22))</f>
        <v/>
      </c>
      <c r="CW22" s="287" t="str">
        <f t="shared" si="36"/>
        <v>OK</v>
      </c>
      <c r="CX22" s="290"/>
      <c r="CY22" s="289"/>
      <c r="CZ22" s="288" t="str">
        <f>IF($AA22="","",IF(CX22="","",CX22))</f>
        <v/>
      </c>
      <c r="DA22" s="287" t="str">
        <f t="shared" si="38"/>
        <v>OK</v>
      </c>
      <c r="DB22" s="290"/>
      <c r="DC22" s="289"/>
      <c r="DD22" s="288" t="str">
        <f>IF($AA22="","",IF(DB22="","",DB22))</f>
        <v/>
      </c>
      <c r="DE22" s="287" t="str">
        <f t="shared" si="40"/>
        <v>OK</v>
      </c>
      <c r="DF22" s="290"/>
      <c r="DG22" s="289"/>
      <c r="DH22" s="288" t="str">
        <f>IF($AA22="","",IF(DF22="","",DF22))</f>
        <v/>
      </c>
      <c r="DI22" s="287" t="str">
        <f t="shared" si="42"/>
        <v>OK</v>
      </c>
      <c r="DJ22" s="290"/>
      <c r="DK22" s="289"/>
      <c r="DL22" s="288" t="str">
        <f>IF($AA22="","",IF(DJ22="","",DJ22))</f>
        <v/>
      </c>
      <c r="DM22" s="287" t="str">
        <f t="shared" si="44"/>
        <v>OK</v>
      </c>
      <c r="DN22" s="290"/>
      <c r="DO22" s="289"/>
      <c r="DP22" s="288" t="str">
        <f>IF($AA22="","",IF(DN22="","",DN22))</f>
        <v/>
      </c>
      <c r="DQ22" s="287" t="str">
        <f t="shared" si="46"/>
        <v>OK</v>
      </c>
      <c r="DR22" s="290"/>
      <c r="DS22" s="289"/>
      <c r="DT22" s="288" t="str">
        <f>IF($AA22="","",IF(DR22="","",DR22))</f>
        <v/>
      </c>
      <c r="DU22" s="287" t="str">
        <f t="shared" si="48"/>
        <v>OK</v>
      </c>
      <c r="DV22" s="290"/>
      <c r="DW22" s="289"/>
      <c r="DX22" s="288" t="str">
        <f>IF($AA22="","",IF(DV22="","",DV22))</f>
        <v/>
      </c>
      <c r="DY22" s="287" t="str">
        <f t="shared" si="50"/>
        <v>OK</v>
      </c>
      <c r="DZ22" s="290"/>
      <c r="EA22" s="289"/>
      <c r="EB22" s="288" t="str">
        <f>IF($AA22="","",IF(DZ22="","",DZ22))</f>
        <v/>
      </c>
      <c r="EC22" s="287" t="str">
        <f t="shared" si="52"/>
        <v>OK</v>
      </c>
      <c r="ED22" s="290"/>
      <c r="EE22" s="289"/>
      <c r="EF22" s="288" t="str">
        <f>IF($AA22="","",IF(ED22="","",ED22))</f>
        <v/>
      </c>
      <c r="EG22" s="287" t="str">
        <f t="shared" si="54"/>
        <v>OK</v>
      </c>
      <c r="EH22" s="290"/>
      <c r="EI22" s="289"/>
      <c r="EJ22" s="288" t="str">
        <f>IF($AA22="","",IF(EH22="","",EH22))</f>
        <v/>
      </c>
      <c r="EK22" s="287" t="str">
        <f t="shared" si="56"/>
        <v>OK</v>
      </c>
      <c r="EL22" s="290"/>
      <c r="EM22" s="289"/>
      <c r="EN22" s="288" t="str">
        <f>IF($AA22="","",IF(EL22="","",EL22))</f>
        <v/>
      </c>
      <c r="EO22" s="287" t="str">
        <f t="shared" si="58"/>
        <v>OK</v>
      </c>
      <c r="EP22" s="290"/>
      <c r="EQ22" s="289"/>
      <c r="ER22" s="288" t="str">
        <f>IF($AA22="","",IF(EP22="","",EP22))</f>
        <v/>
      </c>
      <c r="ES22" s="287" t="str">
        <f t="shared" si="60"/>
        <v>OK</v>
      </c>
      <c r="ET22" s="290"/>
      <c r="EU22" s="289"/>
      <c r="EV22" s="288" t="str">
        <f>IF($AA22="","",IF(ET22="","",ET22))</f>
        <v/>
      </c>
      <c r="EW22" s="287" t="str">
        <f t="shared" si="62"/>
        <v>OK</v>
      </c>
      <c r="EX22" s="290"/>
      <c r="EY22" s="289"/>
      <c r="EZ22" s="288" t="str">
        <f>IF($AA22="","",IF(EX22="","",EX22))</f>
        <v/>
      </c>
      <c r="FA22" s="287" t="str">
        <f t="shared" si="64"/>
        <v>OK</v>
      </c>
      <c r="FB22" s="290"/>
      <c r="FC22" s="289"/>
      <c r="FD22" s="288" t="str">
        <f>IF($AA22="","",IF(FB22="","",FB22))</f>
        <v/>
      </c>
      <c r="FE22" s="287" t="str">
        <f t="shared" si="66"/>
        <v>OK</v>
      </c>
      <c r="FF22" s="290"/>
      <c r="FG22" s="289"/>
      <c r="FH22" s="288" t="str">
        <f>IF($AA22="","",IF(FF22="","",FF22))</f>
        <v/>
      </c>
      <c r="FI22" s="287" t="str">
        <f t="shared" si="68"/>
        <v>OK</v>
      </c>
      <c r="FJ22" s="290"/>
      <c r="FK22" s="289"/>
      <c r="FL22" s="288" t="str">
        <f>IF($AA22="","",IF(FJ22="","",FJ22))</f>
        <v/>
      </c>
      <c r="FM22" s="287" t="str">
        <f t="shared" si="70"/>
        <v>OK</v>
      </c>
      <c r="FN22" s="290"/>
      <c r="FO22" s="289"/>
      <c r="FP22" s="288" t="str">
        <f>IF($AA22="","",IF(FN22="","",FN22))</f>
        <v/>
      </c>
      <c r="FQ22" s="287" t="str">
        <f t="shared" si="72"/>
        <v>OK</v>
      </c>
      <c r="FR22" s="290"/>
      <c r="FS22" s="289"/>
      <c r="FT22" s="288" t="str">
        <f>IF($AA22="","",IF(FR22="","",FR22))</f>
        <v/>
      </c>
      <c r="FU22" s="287" t="str">
        <f t="shared" si="74"/>
        <v>OK</v>
      </c>
      <c r="FV22" s="290"/>
      <c r="FW22" s="289"/>
      <c r="FX22" s="288" t="str">
        <f>IF($AA22="","",IF(FV22="","",FV22))</f>
        <v/>
      </c>
      <c r="FY22" s="287" t="str">
        <f t="shared" si="76"/>
        <v>OK</v>
      </c>
      <c r="FZ22" s="290"/>
      <c r="GA22" s="289"/>
      <c r="GB22" s="288" t="str">
        <f>IF($AA22="","",IF(FZ22="","",FZ22))</f>
        <v/>
      </c>
      <c r="GC22" s="287" t="str">
        <f t="shared" si="78"/>
        <v>OK</v>
      </c>
      <c r="GD22" s="290"/>
      <c r="GE22" s="289"/>
      <c r="GF22" s="288" t="str">
        <f>IF($AA22="","",IF(GD22="","",GD22))</f>
        <v/>
      </c>
      <c r="GG22" s="287" t="str">
        <f t="shared" si="80"/>
        <v>OK</v>
      </c>
      <c r="GH22" s="290"/>
      <c r="GI22" s="289"/>
      <c r="GJ22" s="288" t="str">
        <f>IF($AA22="","",IF(GH22="","",GH22))</f>
        <v/>
      </c>
      <c r="GK22" s="287" t="str">
        <f t="shared" si="82"/>
        <v>OK</v>
      </c>
      <c r="GL22" s="290"/>
      <c r="GM22" s="289"/>
      <c r="GN22" s="288" t="str">
        <f>IF($AA22="","",IF(GL22="","",GL22))</f>
        <v/>
      </c>
      <c r="GO22" s="287" t="str">
        <f t="shared" si="84"/>
        <v>OK</v>
      </c>
      <c r="GP22" s="290"/>
      <c r="GQ22" s="289"/>
      <c r="GR22" s="288" t="str">
        <f>IF($AA22="","",IF(GP22="","",GP22))</f>
        <v/>
      </c>
      <c r="GS22" s="287" t="str">
        <f t="shared" si="86"/>
        <v>OK</v>
      </c>
      <c r="GT22" s="286"/>
      <c r="GU22" s="286"/>
      <c r="GV22" s="201"/>
      <c r="GW22" s="201"/>
      <c r="GX22" s="201"/>
    </row>
    <row r="23" spans="1:206" ht="13.15" thickTop="1">
      <c r="A23" s="200" t="s">
        <v>59</v>
      </c>
      <c r="B23" s="225">
        <f t="shared" ref="B23:B54" si="130">ROW()-7</f>
        <v>16</v>
      </c>
      <c r="C23" s="285"/>
      <c r="D23" s="233" t="s">
        <v>441</v>
      </c>
      <c r="E23" s="221"/>
      <c r="F23" s="221"/>
      <c r="G23" s="221"/>
      <c r="H23" s="220"/>
      <c r="I23" s="274"/>
      <c r="J23" s="282" t="s">
        <v>23</v>
      </c>
      <c r="K23" s="284"/>
      <c r="L23" s="284"/>
      <c r="M23" s="283"/>
      <c r="N23" s="282"/>
      <c r="O23" s="281"/>
      <c r="P23" s="277"/>
      <c r="Q23" s="277"/>
      <c r="R23" s="280"/>
      <c r="S23" s="279"/>
      <c r="T23" s="277"/>
      <c r="U23" s="278"/>
      <c r="V23" s="277"/>
      <c r="W23" s="276">
        <v>1</v>
      </c>
      <c r="X23" s="275" t="s">
        <v>53</v>
      </c>
      <c r="Y23" s="275"/>
      <c r="Z23" s="275"/>
      <c r="AA23" s="274"/>
      <c r="AB23" s="274" t="s">
        <v>440</v>
      </c>
      <c r="AC23" s="273"/>
      <c r="AD23" s="272"/>
      <c r="AE23" s="271"/>
      <c r="AF23" s="270" t="str">
        <f>IF($AA23="","",IF(AD23="","",AD23))</f>
        <v/>
      </c>
      <c r="AG23" s="269" t="str">
        <f t="shared" si="2"/>
        <v>OK</v>
      </c>
      <c r="AH23" s="272"/>
      <c r="AI23" s="271"/>
      <c r="AJ23" s="270" t="str">
        <f>IF($AA23="","",IF(AH23="","",AH23))</f>
        <v/>
      </c>
      <c r="AK23" s="269" t="str">
        <f t="shared" si="4"/>
        <v>OK</v>
      </c>
      <c r="AL23" s="272"/>
      <c r="AM23" s="271"/>
      <c r="AN23" s="270" t="str">
        <f>IF($AA23="","",IF(AL23="","",AL23))</f>
        <v/>
      </c>
      <c r="AO23" s="269" t="str">
        <f t="shared" si="6"/>
        <v>OK</v>
      </c>
      <c r="AP23" s="272"/>
      <c r="AQ23" s="271"/>
      <c r="AR23" s="270" t="str">
        <f>IF($AA23="","",IF(AP23="","",AP23))</f>
        <v/>
      </c>
      <c r="AS23" s="269" t="str">
        <f t="shared" si="8"/>
        <v>OK</v>
      </c>
      <c r="AT23" s="272"/>
      <c r="AU23" s="271"/>
      <c r="AV23" s="270" t="str">
        <f>IF($AA23="","",IF(AT23="","",AT23))</f>
        <v/>
      </c>
      <c r="AW23" s="269" t="str">
        <f t="shared" si="10"/>
        <v>OK</v>
      </c>
      <c r="AX23" s="272"/>
      <c r="AY23" s="271"/>
      <c r="AZ23" s="270" t="str">
        <f>IF($AA23="","",IF(AX23="","",AX23))</f>
        <v/>
      </c>
      <c r="BA23" s="269" t="str">
        <f t="shared" si="12"/>
        <v>OK</v>
      </c>
      <c r="BB23" s="272"/>
      <c r="BC23" s="271"/>
      <c r="BD23" s="270" t="str">
        <f>IF($AA23="","",IF(BB23="","",BB23))</f>
        <v/>
      </c>
      <c r="BE23" s="269" t="str">
        <f t="shared" si="14"/>
        <v>OK</v>
      </c>
      <c r="BF23" s="272"/>
      <c r="BG23" s="271"/>
      <c r="BH23" s="270" t="str">
        <f>IF($AA23="","",IF(BF23="","",BF23))</f>
        <v/>
      </c>
      <c r="BI23" s="269" t="str">
        <f t="shared" si="16"/>
        <v>OK</v>
      </c>
      <c r="BJ23" s="272"/>
      <c r="BK23" s="271"/>
      <c r="BL23" s="270" t="str">
        <f>IF($AA23="","",IF(BJ23="","",BJ23))</f>
        <v/>
      </c>
      <c r="BM23" s="269" t="str">
        <f t="shared" si="18"/>
        <v>OK</v>
      </c>
      <c r="BN23" s="272"/>
      <c r="BO23" s="271"/>
      <c r="BP23" s="270" t="str">
        <f>IF($AA23="","",IF(BN23="","",BN23))</f>
        <v/>
      </c>
      <c r="BQ23" s="269" t="str">
        <f t="shared" si="20"/>
        <v>OK</v>
      </c>
      <c r="BR23" s="272"/>
      <c r="BS23" s="271"/>
      <c r="BT23" s="270" t="str">
        <f>IF($AA23="","",IF(BR23="","",BR23))</f>
        <v/>
      </c>
      <c r="BU23" s="269" t="str">
        <f t="shared" si="22"/>
        <v>OK</v>
      </c>
      <c r="BV23" s="272"/>
      <c r="BW23" s="271"/>
      <c r="BX23" s="270" t="str">
        <f>IF($AA23="","",IF(BV23="","",BV23))</f>
        <v/>
      </c>
      <c r="BY23" s="269" t="str">
        <f t="shared" si="24"/>
        <v>OK</v>
      </c>
      <c r="BZ23" s="272"/>
      <c r="CA23" s="271"/>
      <c r="CB23" s="270" t="str">
        <f>IF($AA23="","",IF(BZ23="","",BZ23))</f>
        <v/>
      </c>
      <c r="CC23" s="269" t="str">
        <f t="shared" si="26"/>
        <v>OK</v>
      </c>
      <c r="CD23" s="272"/>
      <c r="CE23" s="271"/>
      <c r="CF23" s="270" t="str">
        <f>IF($AA23="","",IF(CD23="","",CD23))</f>
        <v/>
      </c>
      <c r="CG23" s="269" t="str">
        <f t="shared" si="28"/>
        <v>OK</v>
      </c>
      <c r="CH23" s="272"/>
      <c r="CI23" s="271"/>
      <c r="CJ23" s="270" t="str">
        <f>IF($AA23="","",IF(CH23="","",CH23))</f>
        <v/>
      </c>
      <c r="CK23" s="269" t="str">
        <f t="shared" si="30"/>
        <v>OK</v>
      </c>
      <c r="CL23" s="272"/>
      <c r="CM23" s="271"/>
      <c r="CN23" s="270" t="str">
        <f>IF($AA23="","",IF(CL23="","",CL23))</f>
        <v/>
      </c>
      <c r="CO23" s="269" t="str">
        <f t="shared" si="32"/>
        <v>OK</v>
      </c>
      <c r="CP23" s="272"/>
      <c r="CQ23" s="271"/>
      <c r="CR23" s="270" t="str">
        <f>IF($AA23="","",IF(CP23="","",CP23))</f>
        <v/>
      </c>
      <c r="CS23" s="269" t="str">
        <f t="shared" si="34"/>
        <v>OK</v>
      </c>
      <c r="CT23" s="272"/>
      <c r="CU23" s="271"/>
      <c r="CV23" s="270" t="str">
        <f>IF($AA23="","",IF(CT23="","",CT23))</f>
        <v/>
      </c>
      <c r="CW23" s="269" t="str">
        <f t="shared" si="36"/>
        <v>OK</v>
      </c>
      <c r="CX23" s="272"/>
      <c r="CY23" s="271"/>
      <c r="CZ23" s="270" t="str">
        <f>IF($AA23="","",IF(CX23="","",CX23))</f>
        <v/>
      </c>
      <c r="DA23" s="269" t="str">
        <f t="shared" si="38"/>
        <v>OK</v>
      </c>
      <c r="DB23" s="272"/>
      <c r="DC23" s="271"/>
      <c r="DD23" s="270" t="str">
        <f>IF($AA23="","",IF(DB23="","",DB23))</f>
        <v/>
      </c>
      <c r="DE23" s="269" t="str">
        <f t="shared" si="40"/>
        <v>OK</v>
      </c>
      <c r="DF23" s="272"/>
      <c r="DG23" s="271"/>
      <c r="DH23" s="270" t="str">
        <f>IF($AA23="","",IF(DF23="","",DF23))</f>
        <v/>
      </c>
      <c r="DI23" s="269" t="str">
        <f t="shared" si="42"/>
        <v>OK</v>
      </c>
      <c r="DJ23" s="272"/>
      <c r="DK23" s="271"/>
      <c r="DL23" s="270" t="str">
        <f>IF($AA23="","",IF(DJ23="","",DJ23))</f>
        <v/>
      </c>
      <c r="DM23" s="269" t="str">
        <f t="shared" si="44"/>
        <v>OK</v>
      </c>
      <c r="DN23" s="272"/>
      <c r="DO23" s="271"/>
      <c r="DP23" s="270" t="str">
        <f>IF($AA23="","",IF(DN23="","",DN23))</f>
        <v/>
      </c>
      <c r="DQ23" s="269" t="str">
        <f t="shared" si="46"/>
        <v>OK</v>
      </c>
      <c r="DR23" s="272"/>
      <c r="DS23" s="271"/>
      <c r="DT23" s="270" t="str">
        <f>IF($AA23="","",IF(DR23="","",DR23))</f>
        <v/>
      </c>
      <c r="DU23" s="269" t="str">
        <f t="shared" si="48"/>
        <v>OK</v>
      </c>
      <c r="DV23" s="272"/>
      <c r="DW23" s="271"/>
      <c r="DX23" s="270" t="str">
        <f>IF($AA23="","",IF(DV23="","",DV23))</f>
        <v/>
      </c>
      <c r="DY23" s="269" t="str">
        <f t="shared" si="50"/>
        <v>OK</v>
      </c>
      <c r="DZ23" s="272"/>
      <c r="EA23" s="271"/>
      <c r="EB23" s="270" t="str">
        <f>IF($AA23="","",IF(DZ23="","",DZ23))</f>
        <v/>
      </c>
      <c r="EC23" s="269" t="str">
        <f t="shared" si="52"/>
        <v>OK</v>
      </c>
      <c r="ED23" s="272"/>
      <c r="EE23" s="271"/>
      <c r="EF23" s="270" t="str">
        <f>IF($AA23="","",IF(ED23="","",ED23))</f>
        <v/>
      </c>
      <c r="EG23" s="269" t="str">
        <f t="shared" si="54"/>
        <v>OK</v>
      </c>
      <c r="EH23" s="272"/>
      <c r="EI23" s="271"/>
      <c r="EJ23" s="270" t="str">
        <f>IF($AA23="","",IF(EH23="","",EH23))</f>
        <v/>
      </c>
      <c r="EK23" s="269" t="str">
        <f t="shared" si="56"/>
        <v>OK</v>
      </c>
      <c r="EL23" s="272"/>
      <c r="EM23" s="271"/>
      <c r="EN23" s="270" t="str">
        <f>IF($AA23="","",IF(EL23="","",EL23))</f>
        <v/>
      </c>
      <c r="EO23" s="269" t="str">
        <f t="shared" si="58"/>
        <v>OK</v>
      </c>
      <c r="EP23" s="272"/>
      <c r="EQ23" s="271"/>
      <c r="ER23" s="270" t="str">
        <f>IF($AA23="","",IF(EP23="","",EP23))</f>
        <v/>
      </c>
      <c r="ES23" s="269" t="str">
        <f t="shared" si="60"/>
        <v>OK</v>
      </c>
      <c r="ET23" s="272"/>
      <c r="EU23" s="271"/>
      <c r="EV23" s="270" t="str">
        <f>IF($AA23="","",IF(ET23="","",ET23))</f>
        <v/>
      </c>
      <c r="EW23" s="269" t="str">
        <f t="shared" si="62"/>
        <v>OK</v>
      </c>
      <c r="EX23" s="272"/>
      <c r="EY23" s="271"/>
      <c r="EZ23" s="270" t="str">
        <f>IF($AA23="","",IF(EX23="","",EX23))</f>
        <v/>
      </c>
      <c r="FA23" s="269" t="str">
        <f t="shared" si="64"/>
        <v>OK</v>
      </c>
      <c r="FB23" s="272"/>
      <c r="FC23" s="271"/>
      <c r="FD23" s="270" t="str">
        <f>IF($AA23="","",IF(FB23="","",FB23))</f>
        <v/>
      </c>
      <c r="FE23" s="269" t="str">
        <f t="shared" si="66"/>
        <v>OK</v>
      </c>
      <c r="FF23" s="272"/>
      <c r="FG23" s="271"/>
      <c r="FH23" s="270" t="str">
        <f>IF($AA23="","",IF(FF23="","",FF23))</f>
        <v/>
      </c>
      <c r="FI23" s="269" t="str">
        <f t="shared" si="68"/>
        <v>OK</v>
      </c>
      <c r="FJ23" s="272"/>
      <c r="FK23" s="271"/>
      <c r="FL23" s="270" t="str">
        <f>IF($AA23="","",IF(FJ23="","",FJ23))</f>
        <v/>
      </c>
      <c r="FM23" s="269" t="str">
        <f t="shared" si="70"/>
        <v>OK</v>
      </c>
      <c r="FN23" s="272"/>
      <c r="FO23" s="271"/>
      <c r="FP23" s="270" t="str">
        <f>IF($AA23="","",IF(FN23="","",FN23))</f>
        <v/>
      </c>
      <c r="FQ23" s="269" t="str">
        <f t="shared" si="72"/>
        <v>OK</v>
      </c>
      <c r="FR23" s="272"/>
      <c r="FS23" s="271"/>
      <c r="FT23" s="270" t="str">
        <f>IF($AA23="","",IF(FR23="","",FR23))</f>
        <v/>
      </c>
      <c r="FU23" s="269" t="str">
        <f t="shared" si="74"/>
        <v>OK</v>
      </c>
      <c r="FV23" s="272"/>
      <c r="FW23" s="271"/>
      <c r="FX23" s="270" t="str">
        <f>IF($AA23="","",IF(FV23="","",FV23))</f>
        <v/>
      </c>
      <c r="FY23" s="269" t="str">
        <f t="shared" si="76"/>
        <v>OK</v>
      </c>
      <c r="FZ23" s="272"/>
      <c r="GA23" s="271"/>
      <c r="GB23" s="270" t="str">
        <f>IF($AA23="","",IF(FZ23="","",FZ23))</f>
        <v/>
      </c>
      <c r="GC23" s="269" t="str">
        <f t="shared" si="78"/>
        <v>OK</v>
      </c>
      <c r="GD23" s="272"/>
      <c r="GE23" s="271"/>
      <c r="GF23" s="270" t="str">
        <f>IF($AA23="","",IF(GD23="","",GD23))</f>
        <v/>
      </c>
      <c r="GG23" s="269" t="str">
        <f t="shared" si="80"/>
        <v>OK</v>
      </c>
      <c r="GH23" s="272"/>
      <c r="GI23" s="271"/>
      <c r="GJ23" s="270" t="str">
        <f>IF($AA23="","",IF(GH23="","",GH23))</f>
        <v/>
      </c>
      <c r="GK23" s="269" t="str">
        <f t="shared" si="82"/>
        <v>OK</v>
      </c>
      <c r="GL23" s="272"/>
      <c r="GM23" s="271"/>
      <c r="GN23" s="270" t="str">
        <f>IF($AA23="","",IF(GL23="","",GL23))</f>
        <v/>
      </c>
      <c r="GO23" s="269" t="str">
        <f t="shared" si="84"/>
        <v>OK</v>
      </c>
      <c r="GP23" s="272"/>
      <c r="GQ23" s="271"/>
      <c r="GR23" s="270" t="str">
        <f>IF($AA23="","",IF(GP23="","",GP23))</f>
        <v/>
      </c>
      <c r="GS23" s="269" t="str">
        <f t="shared" si="86"/>
        <v>OK</v>
      </c>
      <c r="GT23" s="268"/>
      <c r="GU23" s="268"/>
      <c r="GV23" s="255"/>
      <c r="GW23" s="255"/>
      <c r="GX23" s="255"/>
    </row>
    <row r="24" spans="1:206">
      <c r="A24" s="200" t="s">
        <v>336</v>
      </c>
      <c r="B24" s="225">
        <f t="shared" si="130"/>
        <v>17</v>
      </c>
      <c r="C24" s="229"/>
      <c r="D24" s="229"/>
      <c r="E24" s="234" t="s">
        <v>439</v>
      </c>
      <c r="F24" s="221"/>
      <c r="G24" s="221"/>
      <c r="H24" s="220"/>
      <c r="I24" s="208"/>
      <c r="J24" s="208" t="s">
        <v>23</v>
      </c>
      <c r="K24" s="267"/>
      <c r="L24" s="267"/>
      <c r="M24" s="236"/>
      <c r="N24" s="266"/>
      <c r="O24" s="265"/>
      <c r="P24" s="261"/>
      <c r="Q24" s="261"/>
      <c r="R24" s="264"/>
      <c r="S24" s="263"/>
      <c r="T24" s="261"/>
      <c r="U24" s="262"/>
      <c r="V24" s="261"/>
      <c r="W24" s="211" t="str">
        <f t="shared" ref="W24:W55" si="131">IF(C24&lt;&gt;"","0",IF(D24&lt;&gt;"","1",IF(E24&lt;&gt;"","2",IF(F24&lt;&gt;"","3",IF(G24&lt;&gt;"","4",IF(H24&lt;&gt;"","5"))))))</f>
        <v>2</v>
      </c>
      <c r="X24" s="224" t="s">
        <v>438</v>
      </c>
      <c r="Y24" s="224"/>
      <c r="Z24" s="224"/>
      <c r="AA24" s="208"/>
      <c r="AB24" s="209" t="s">
        <v>306</v>
      </c>
      <c r="AC24" s="260"/>
      <c r="AD24" s="206"/>
      <c r="AE24" s="230"/>
      <c r="AF24" s="183"/>
      <c r="AG24" s="203" t="str">
        <f t="shared" si="2"/>
        <v>OK</v>
      </c>
      <c r="AH24" s="206"/>
      <c r="AI24" s="230"/>
      <c r="AJ24" s="183"/>
      <c r="AK24" s="203" t="str">
        <f t="shared" si="4"/>
        <v>OK</v>
      </c>
      <c r="AL24" s="206"/>
      <c r="AM24" s="230"/>
      <c r="AN24" s="183"/>
      <c r="AO24" s="203" t="str">
        <f t="shared" si="6"/>
        <v>OK</v>
      </c>
      <c r="AP24" s="206"/>
      <c r="AQ24" s="230"/>
      <c r="AR24" s="183"/>
      <c r="AS24" s="203" t="str">
        <f t="shared" si="8"/>
        <v>OK</v>
      </c>
      <c r="AT24" s="206"/>
      <c r="AU24" s="230"/>
      <c r="AV24" s="183"/>
      <c r="AW24" s="203" t="str">
        <f t="shared" si="10"/>
        <v>OK</v>
      </c>
      <c r="AX24" s="206"/>
      <c r="AY24" s="230"/>
      <c r="AZ24" s="183"/>
      <c r="BA24" s="203" t="str">
        <f t="shared" si="12"/>
        <v>OK</v>
      </c>
      <c r="BB24" s="206"/>
      <c r="BC24" s="230"/>
      <c r="BD24" s="183"/>
      <c r="BE24" s="203" t="str">
        <f t="shared" si="14"/>
        <v>OK</v>
      </c>
      <c r="BF24" s="206"/>
      <c r="BG24" s="230"/>
      <c r="BH24" s="183"/>
      <c r="BI24" s="203" t="str">
        <f t="shared" si="16"/>
        <v>OK</v>
      </c>
      <c r="BJ24" s="206"/>
      <c r="BK24" s="230"/>
      <c r="BL24" s="183"/>
      <c r="BM24" s="203" t="str">
        <f t="shared" si="18"/>
        <v>OK</v>
      </c>
      <c r="BN24" s="206"/>
      <c r="BO24" s="230"/>
      <c r="BP24" s="183"/>
      <c r="BQ24" s="203" t="str">
        <f t="shared" si="20"/>
        <v>OK</v>
      </c>
      <c r="BR24" s="206"/>
      <c r="BS24" s="230"/>
      <c r="BT24" s="183"/>
      <c r="BU24" s="203" t="str">
        <f t="shared" si="22"/>
        <v>OK</v>
      </c>
      <c r="BV24" s="206"/>
      <c r="BW24" s="230"/>
      <c r="BX24" s="183"/>
      <c r="BY24" s="203" t="str">
        <f t="shared" si="24"/>
        <v>OK</v>
      </c>
      <c r="BZ24" s="206"/>
      <c r="CA24" s="230"/>
      <c r="CB24" s="183"/>
      <c r="CC24" s="203" t="str">
        <f t="shared" si="26"/>
        <v>OK</v>
      </c>
      <c r="CD24" s="206"/>
      <c r="CE24" s="230"/>
      <c r="CF24" s="183"/>
      <c r="CG24" s="203" t="str">
        <f t="shared" si="28"/>
        <v>OK</v>
      </c>
      <c r="CH24" s="206"/>
      <c r="CI24" s="230"/>
      <c r="CJ24" s="183"/>
      <c r="CK24" s="203" t="str">
        <f t="shared" si="30"/>
        <v>OK</v>
      </c>
      <c r="CL24" s="206"/>
      <c r="CM24" s="230"/>
      <c r="CN24" s="183"/>
      <c r="CO24" s="203" t="str">
        <f t="shared" si="32"/>
        <v>OK</v>
      </c>
      <c r="CP24" s="206"/>
      <c r="CQ24" s="230"/>
      <c r="CR24" s="183"/>
      <c r="CS24" s="203" t="str">
        <f t="shared" si="34"/>
        <v>OK</v>
      </c>
      <c r="CT24" s="206"/>
      <c r="CU24" s="230"/>
      <c r="CV24" s="183"/>
      <c r="CW24" s="203" t="str">
        <f t="shared" si="36"/>
        <v>OK</v>
      </c>
      <c r="CX24" s="206"/>
      <c r="CY24" s="230"/>
      <c r="CZ24" s="183"/>
      <c r="DA24" s="203" t="str">
        <f t="shared" si="38"/>
        <v>OK</v>
      </c>
      <c r="DB24" s="206"/>
      <c r="DC24" s="230"/>
      <c r="DD24" s="183"/>
      <c r="DE24" s="203" t="str">
        <f t="shared" si="40"/>
        <v>OK</v>
      </c>
      <c r="DF24" s="206"/>
      <c r="DG24" s="230"/>
      <c r="DH24" s="183"/>
      <c r="DI24" s="203" t="str">
        <f t="shared" si="42"/>
        <v>OK</v>
      </c>
      <c r="DJ24" s="206"/>
      <c r="DK24" s="230"/>
      <c r="DL24" s="183"/>
      <c r="DM24" s="203" t="str">
        <f t="shared" si="44"/>
        <v>OK</v>
      </c>
      <c r="DN24" s="206"/>
      <c r="DO24" s="230"/>
      <c r="DP24" s="183"/>
      <c r="DQ24" s="203" t="str">
        <f t="shared" si="46"/>
        <v>OK</v>
      </c>
      <c r="DR24" s="206"/>
      <c r="DS24" s="230"/>
      <c r="DT24" s="183"/>
      <c r="DU24" s="203" t="str">
        <f t="shared" si="48"/>
        <v>OK</v>
      </c>
      <c r="DV24" s="206"/>
      <c r="DW24" s="230"/>
      <c r="DX24" s="183"/>
      <c r="DY24" s="203" t="str">
        <f t="shared" si="50"/>
        <v>OK</v>
      </c>
      <c r="DZ24" s="206"/>
      <c r="EA24" s="230"/>
      <c r="EB24" s="183"/>
      <c r="EC24" s="203" t="str">
        <f t="shared" si="52"/>
        <v>OK</v>
      </c>
      <c r="ED24" s="206"/>
      <c r="EE24" s="230"/>
      <c r="EF24" s="183"/>
      <c r="EG24" s="203" t="str">
        <f t="shared" si="54"/>
        <v>OK</v>
      </c>
      <c r="EH24" s="206"/>
      <c r="EI24" s="230"/>
      <c r="EJ24" s="183"/>
      <c r="EK24" s="203" t="str">
        <f t="shared" si="56"/>
        <v>OK</v>
      </c>
      <c r="EL24" s="206"/>
      <c r="EM24" s="230"/>
      <c r="EN24" s="183"/>
      <c r="EO24" s="203" t="str">
        <f t="shared" si="58"/>
        <v>OK</v>
      </c>
      <c r="EP24" s="206"/>
      <c r="EQ24" s="230"/>
      <c r="ER24" s="183"/>
      <c r="ES24" s="203" t="str">
        <f t="shared" si="60"/>
        <v>OK</v>
      </c>
      <c r="ET24" s="206"/>
      <c r="EU24" s="230"/>
      <c r="EV24" s="183"/>
      <c r="EW24" s="203" t="str">
        <f t="shared" si="62"/>
        <v>OK</v>
      </c>
      <c r="EX24" s="206"/>
      <c r="EY24" s="230"/>
      <c r="EZ24" s="183"/>
      <c r="FA24" s="203" t="str">
        <f t="shared" si="64"/>
        <v>OK</v>
      </c>
      <c r="FB24" s="206"/>
      <c r="FC24" s="230"/>
      <c r="FD24" s="183"/>
      <c r="FE24" s="203" t="str">
        <f t="shared" si="66"/>
        <v>OK</v>
      </c>
      <c r="FF24" s="206"/>
      <c r="FG24" s="230"/>
      <c r="FH24" s="183"/>
      <c r="FI24" s="203" t="str">
        <f t="shared" si="68"/>
        <v>OK</v>
      </c>
      <c r="FJ24" s="206"/>
      <c r="FK24" s="230"/>
      <c r="FL24" s="183"/>
      <c r="FM24" s="203" t="str">
        <f t="shared" si="70"/>
        <v>OK</v>
      </c>
      <c r="FN24" s="206"/>
      <c r="FO24" s="230"/>
      <c r="FP24" s="183"/>
      <c r="FQ24" s="203" t="str">
        <f t="shared" si="72"/>
        <v>OK</v>
      </c>
      <c r="FR24" s="206"/>
      <c r="FS24" s="230"/>
      <c r="FT24" s="183"/>
      <c r="FU24" s="203" t="str">
        <f t="shared" si="74"/>
        <v>OK</v>
      </c>
      <c r="FV24" s="206"/>
      <c r="FW24" s="230"/>
      <c r="FX24" s="183"/>
      <c r="FY24" s="203" t="str">
        <f t="shared" si="76"/>
        <v>OK</v>
      </c>
      <c r="FZ24" s="206"/>
      <c r="GA24" s="230"/>
      <c r="GB24" s="183"/>
      <c r="GC24" s="203" t="str">
        <f t="shared" si="78"/>
        <v>OK</v>
      </c>
      <c r="GD24" s="206"/>
      <c r="GE24" s="230"/>
      <c r="GF24" s="183"/>
      <c r="GG24" s="203" t="str">
        <f t="shared" si="80"/>
        <v>OK</v>
      </c>
      <c r="GH24" s="206"/>
      <c r="GI24" s="230"/>
      <c r="GJ24" s="183"/>
      <c r="GK24" s="203" t="str">
        <f t="shared" si="82"/>
        <v>OK</v>
      </c>
      <c r="GL24" s="206"/>
      <c r="GM24" s="230"/>
      <c r="GN24" s="183"/>
      <c r="GO24" s="203" t="str">
        <f t="shared" si="84"/>
        <v>OK</v>
      </c>
      <c r="GP24" s="206"/>
      <c r="GQ24" s="230"/>
      <c r="GR24" s="183"/>
      <c r="GS24" s="203" t="str">
        <f t="shared" si="86"/>
        <v>OK</v>
      </c>
      <c r="GT24" s="202"/>
      <c r="GU24" s="202"/>
      <c r="GV24" s="201"/>
      <c r="GW24" s="201"/>
      <c r="GX24" s="201"/>
    </row>
    <row r="25" spans="1:206" ht="25.5">
      <c r="A25" s="200" t="s">
        <v>336</v>
      </c>
      <c r="B25" s="225">
        <f t="shared" si="130"/>
        <v>18</v>
      </c>
      <c r="C25" s="229"/>
      <c r="D25" s="229"/>
      <c r="E25" s="229"/>
      <c r="F25" s="221" t="s">
        <v>437</v>
      </c>
      <c r="G25" s="221"/>
      <c r="H25" s="220"/>
      <c r="I25" s="209"/>
      <c r="J25" s="217" t="s">
        <v>23</v>
      </c>
      <c r="K25" s="219"/>
      <c r="L25" s="219"/>
      <c r="M25" s="218" t="s">
        <v>436</v>
      </c>
      <c r="N25" s="217">
        <v>8</v>
      </c>
      <c r="O25" s="216"/>
      <c r="P25" s="212"/>
      <c r="Q25" s="212"/>
      <c r="R25" s="215"/>
      <c r="S25" s="214"/>
      <c r="T25" s="212"/>
      <c r="U25" s="213"/>
      <c r="V25" s="212"/>
      <c r="W25" s="211" t="str">
        <f t="shared" si="131"/>
        <v>3</v>
      </c>
      <c r="X25" s="210" t="s">
        <v>435</v>
      </c>
      <c r="Y25" s="210">
        <v>1</v>
      </c>
      <c r="Z25" s="210">
        <v>1</v>
      </c>
      <c r="AA25" s="209" t="s">
        <v>54</v>
      </c>
      <c r="AB25" s="209" t="s">
        <v>306</v>
      </c>
      <c r="AC25" s="252"/>
      <c r="AD25" s="226" t="s">
        <v>276</v>
      </c>
      <c r="AE25" s="230"/>
      <c r="AF25" s="183" t="str">
        <f t="shared" ref="AF25:AF40" si="132">IF($AB25="I","",IF($AA25="","",IF(AD25="","",AD25)))</f>
        <v/>
      </c>
      <c r="AG25" s="203" t="str">
        <f t="shared" si="2"/>
        <v>OK</v>
      </c>
      <c r="AH25" s="226" t="s">
        <v>276</v>
      </c>
      <c r="AI25" s="230"/>
      <c r="AJ25" s="183" t="str">
        <f t="shared" ref="AJ25:AJ40" si="133">IF($AB25="I","",IF($AA25="","",IF(AH25="","",AH25)))</f>
        <v/>
      </c>
      <c r="AK25" s="203" t="str">
        <f t="shared" si="4"/>
        <v>OK</v>
      </c>
      <c r="AL25" s="226" t="s">
        <v>276</v>
      </c>
      <c r="AM25" s="230"/>
      <c r="AN25" s="183" t="str">
        <f t="shared" ref="AN25:AN40" si="134">IF($AB25="I","",IF($AA25="","",IF(AL25="","",AL25)))</f>
        <v/>
      </c>
      <c r="AO25" s="203" t="str">
        <f t="shared" si="6"/>
        <v>OK</v>
      </c>
      <c r="AP25" s="226" t="s">
        <v>276</v>
      </c>
      <c r="AQ25" s="230"/>
      <c r="AR25" s="183" t="str">
        <f t="shared" ref="AR25:AR40" si="135">IF($AB25="I","",IF($AA25="","",IF(AP25="","",AP25)))</f>
        <v/>
      </c>
      <c r="AS25" s="203" t="str">
        <f t="shared" si="8"/>
        <v>OK</v>
      </c>
      <c r="AT25" s="226" t="s">
        <v>276</v>
      </c>
      <c r="AU25" s="230"/>
      <c r="AV25" s="183" t="str">
        <f t="shared" ref="AV25:AV40" si="136">IF($AB25="I","",IF($AA25="","",IF(AT25="","",AT25)))</f>
        <v/>
      </c>
      <c r="AW25" s="203" t="str">
        <f t="shared" si="10"/>
        <v>OK</v>
      </c>
      <c r="AX25" s="226" t="s">
        <v>276</v>
      </c>
      <c r="AY25" s="230"/>
      <c r="AZ25" s="183" t="str">
        <f t="shared" ref="AZ25:AZ40" si="137">IF($AB25="I","",IF($AA25="","",IF(AX25="","",AX25)))</f>
        <v/>
      </c>
      <c r="BA25" s="203" t="str">
        <f t="shared" si="12"/>
        <v>OK</v>
      </c>
      <c r="BB25" s="226" t="s">
        <v>276</v>
      </c>
      <c r="BC25" s="230"/>
      <c r="BD25" s="183" t="str">
        <f t="shared" ref="BD25:BD40" si="138">IF($AB25="I","",IF($AA25="","",IF(BB25="","",BB25)))</f>
        <v/>
      </c>
      <c r="BE25" s="203" t="str">
        <f t="shared" si="14"/>
        <v>OK</v>
      </c>
      <c r="BF25" s="226" t="s">
        <v>276</v>
      </c>
      <c r="BG25" s="230"/>
      <c r="BH25" s="183" t="str">
        <f t="shared" ref="BH25:BH40" si="139">IF($AB25="I","",IF($AA25="","",IF(BF25="","",BF25)))</f>
        <v/>
      </c>
      <c r="BI25" s="203" t="str">
        <f t="shared" si="16"/>
        <v>OK</v>
      </c>
      <c r="BJ25" s="226" t="s">
        <v>276</v>
      </c>
      <c r="BK25" s="230"/>
      <c r="BL25" s="183" t="str">
        <f t="shared" ref="BL25:BL40" si="140">IF($AB25="I","",IF($AA25="","",IF(BJ25="","",BJ25)))</f>
        <v/>
      </c>
      <c r="BM25" s="203" t="str">
        <f t="shared" si="18"/>
        <v>OK</v>
      </c>
      <c r="BN25" s="226" t="s">
        <v>276</v>
      </c>
      <c r="BO25" s="230"/>
      <c r="BP25" s="183" t="str">
        <f t="shared" ref="BP25:BP40" si="141">IF($AB25="I","",IF($AA25="","",IF(BN25="","",BN25)))</f>
        <v/>
      </c>
      <c r="BQ25" s="203" t="str">
        <f t="shared" si="20"/>
        <v>OK</v>
      </c>
      <c r="BR25" s="226" t="s">
        <v>276</v>
      </c>
      <c r="BS25" s="230"/>
      <c r="BT25" s="183" t="str">
        <f t="shared" ref="BT25:BT40" si="142">IF($AB25="I","",IF($AA25="","",IF(BR25="","",BR25)))</f>
        <v/>
      </c>
      <c r="BU25" s="203" t="str">
        <f t="shared" si="22"/>
        <v>OK</v>
      </c>
      <c r="BV25" s="226" t="s">
        <v>276</v>
      </c>
      <c r="BW25" s="230"/>
      <c r="BX25" s="183" t="str">
        <f t="shared" ref="BX25:BX40" si="143">IF($AB25="I","",IF($AA25="","",IF(BV25="","",BV25)))</f>
        <v/>
      </c>
      <c r="BY25" s="203" t="str">
        <f t="shared" si="24"/>
        <v>OK</v>
      </c>
      <c r="BZ25" s="226" t="s">
        <v>276</v>
      </c>
      <c r="CA25" s="230"/>
      <c r="CB25" s="183" t="str">
        <f t="shared" ref="CB25:CB40" si="144">IF($AB25="I","",IF($AA25="","",IF(BZ25="","",BZ25)))</f>
        <v/>
      </c>
      <c r="CC25" s="203" t="str">
        <f t="shared" si="26"/>
        <v>OK</v>
      </c>
      <c r="CD25" s="226" t="s">
        <v>276</v>
      </c>
      <c r="CE25" s="230"/>
      <c r="CF25" s="183" t="str">
        <f t="shared" ref="CF25:CF40" si="145">IF($AB25="I","",IF($AA25="","",IF(CD25="","",CD25)))</f>
        <v/>
      </c>
      <c r="CG25" s="203" t="str">
        <f t="shared" si="28"/>
        <v>OK</v>
      </c>
      <c r="CH25" s="226" t="s">
        <v>276</v>
      </c>
      <c r="CI25" s="230"/>
      <c r="CJ25" s="183" t="str">
        <f t="shared" ref="CJ25:CJ40" si="146">IF($AB25="I","",IF($AA25="","",IF(CH25="","",CH25)))</f>
        <v/>
      </c>
      <c r="CK25" s="203" t="str">
        <f t="shared" si="30"/>
        <v>OK</v>
      </c>
      <c r="CL25" s="226" t="s">
        <v>276</v>
      </c>
      <c r="CM25" s="230"/>
      <c r="CN25" s="183" t="str">
        <f t="shared" ref="CN25:CN40" si="147">IF($AB25="I","",IF($AA25="","",IF(CL25="","",CL25)))</f>
        <v/>
      </c>
      <c r="CO25" s="203" t="str">
        <f t="shared" si="32"/>
        <v>OK</v>
      </c>
      <c r="CP25" s="226" t="s">
        <v>276</v>
      </c>
      <c r="CQ25" s="230"/>
      <c r="CR25" s="183" t="str">
        <f t="shared" ref="CR25:CR40" si="148">IF($AB25="I","",IF($AA25="","",IF(CP25="","",CP25)))</f>
        <v/>
      </c>
      <c r="CS25" s="203" t="str">
        <f t="shared" si="34"/>
        <v>OK</v>
      </c>
      <c r="CT25" s="226" t="s">
        <v>276</v>
      </c>
      <c r="CU25" s="230"/>
      <c r="CV25" s="183" t="str">
        <f t="shared" ref="CV25:CV40" si="149">IF($AB25="I","",IF($AA25="","",IF(CT25="","",CT25)))</f>
        <v/>
      </c>
      <c r="CW25" s="203" t="str">
        <f t="shared" si="36"/>
        <v>OK</v>
      </c>
      <c r="CX25" s="226" t="s">
        <v>276</v>
      </c>
      <c r="CY25" s="230"/>
      <c r="CZ25" s="183" t="str">
        <f t="shared" ref="CZ25:CZ40" si="150">IF($AB25="I","",IF($AA25="","",IF(CX25="","",CX25)))</f>
        <v/>
      </c>
      <c r="DA25" s="203" t="str">
        <f t="shared" si="38"/>
        <v>OK</v>
      </c>
      <c r="DB25" s="226" t="s">
        <v>276</v>
      </c>
      <c r="DC25" s="230"/>
      <c r="DD25" s="183" t="str">
        <f t="shared" ref="DD25:DD40" si="151">IF($AB25="I","",IF($AA25="","",IF(DB25="","",DB25)))</f>
        <v/>
      </c>
      <c r="DE25" s="203" t="str">
        <f t="shared" si="40"/>
        <v>OK</v>
      </c>
      <c r="DF25" s="226" t="s">
        <v>276</v>
      </c>
      <c r="DG25" s="230"/>
      <c r="DH25" s="183" t="str">
        <f t="shared" ref="DH25:DH40" si="152">IF($AB25="I","",IF($AA25="","",IF(DF25="","",DF25)))</f>
        <v/>
      </c>
      <c r="DI25" s="203" t="str">
        <f t="shared" si="42"/>
        <v>OK</v>
      </c>
      <c r="DJ25" s="226" t="s">
        <v>276</v>
      </c>
      <c r="DK25" s="230"/>
      <c r="DL25" s="183" t="str">
        <f t="shared" ref="DL25:DL40" si="153">IF($AB25="I","",IF($AA25="","",IF(DJ25="","",DJ25)))</f>
        <v/>
      </c>
      <c r="DM25" s="203" t="str">
        <f t="shared" si="44"/>
        <v>OK</v>
      </c>
      <c r="DN25" s="226" t="s">
        <v>276</v>
      </c>
      <c r="DO25" s="230"/>
      <c r="DP25" s="183" t="str">
        <f t="shared" ref="DP25:DP40" si="154">IF($AB25="I","",IF($AA25="","",IF(DN25="","",DN25)))</f>
        <v/>
      </c>
      <c r="DQ25" s="203" t="str">
        <f t="shared" si="46"/>
        <v>OK</v>
      </c>
      <c r="DR25" s="226" t="s">
        <v>276</v>
      </c>
      <c r="DS25" s="230"/>
      <c r="DT25" s="183" t="str">
        <f t="shared" ref="DT25:DT40" si="155">IF($AB25="I","",IF($AA25="","",IF(DR25="","",DR25)))</f>
        <v/>
      </c>
      <c r="DU25" s="203" t="str">
        <f t="shared" si="48"/>
        <v>OK</v>
      </c>
      <c r="DV25" s="226" t="s">
        <v>276</v>
      </c>
      <c r="DW25" s="230"/>
      <c r="DX25" s="183" t="str">
        <f t="shared" ref="DX25:DX40" si="156">IF($AB25="I","",IF($AA25="","",IF(DV25="","",DV25)))</f>
        <v/>
      </c>
      <c r="DY25" s="203" t="str">
        <f t="shared" si="50"/>
        <v>OK</v>
      </c>
      <c r="DZ25" s="226" t="s">
        <v>276</v>
      </c>
      <c r="EA25" s="230"/>
      <c r="EB25" s="183" t="str">
        <f t="shared" ref="EB25:EB40" si="157">IF($AB25="I","",IF($AA25="","",IF(DZ25="","",DZ25)))</f>
        <v/>
      </c>
      <c r="EC25" s="203" t="str">
        <f t="shared" si="52"/>
        <v>OK</v>
      </c>
      <c r="ED25" s="226" t="s">
        <v>276</v>
      </c>
      <c r="EE25" s="230"/>
      <c r="EF25" s="183" t="str">
        <f t="shared" ref="EF25:EF40" si="158">IF($AB25="I","",IF($AA25="","",IF(ED25="","",ED25)))</f>
        <v/>
      </c>
      <c r="EG25" s="203" t="str">
        <f t="shared" si="54"/>
        <v>OK</v>
      </c>
      <c r="EH25" s="226" t="s">
        <v>276</v>
      </c>
      <c r="EI25" s="230"/>
      <c r="EJ25" s="183" t="str">
        <f t="shared" ref="EJ25:EJ40" si="159">IF($AB25="I","",IF($AA25="","",IF(EH25="","",EH25)))</f>
        <v/>
      </c>
      <c r="EK25" s="203" t="str">
        <f t="shared" si="56"/>
        <v>OK</v>
      </c>
      <c r="EL25" s="226" t="s">
        <v>276</v>
      </c>
      <c r="EM25" s="230"/>
      <c r="EN25" s="183" t="str">
        <f t="shared" ref="EN25:EN40" si="160">IF($AB25="I","",IF($AA25="","",IF(EL25="","",EL25)))</f>
        <v/>
      </c>
      <c r="EO25" s="203" t="str">
        <f t="shared" si="58"/>
        <v>OK</v>
      </c>
      <c r="EP25" s="226" t="s">
        <v>276</v>
      </c>
      <c r="EQ25" s="230"/>
      <c r="ER25" s="183" t="str">
        <f t="shared" ref="ER25:ER40" si="161">IF($AB25="I","",IF($AA25="","",IF(EP25="","",EP25)))</f>
        <v/>
      </c>
      <c r="ES25" s="203" t="str">
        <f t="shared" si="60"/>
        <v>OK</v>
      </c>
      <c r="ET25" s="226" t="s">
        <v>276</v>
      </c>
      <c r="EU25" s="230"/>
      <c r="EV25" s="183" t="str">
        <f t="shared" ref="EV25:EV40" si="162">IF($AB25="I","",IF($AA25="","",IF(ET25="","",ET25)))</f>
        <v/>
      </c>
      <c r="EW25" s="203" t="str">
        <f t="shared" si="62"/>
        <v>OK</v>
      </c>
      <c r="EX25" s="226" t="s">
        <v>276</v>
      </c>
      <c r="EY25" s="230"/>
      <c r="EZ25" s="183" t="str">
        <f t="shared" ref="EZ25:EZ40" si="163">IF($AB25="I","",IF($AA25="","",IF(EX25="","",EX25)))</f>
        <v/>
      </c>
      <c r="FA25" s="203" t="str">
        <f t="shared" si="64"/>
        <v>OK</v>
      </c>
      <c r="FB25" s="226" t="s">
        <v>276</v>
      </c>
      <c r="FC25" s="230"/>
      <c r="FD25" s="183" t="str">
        <f t="shared" ref="FD25:FD40" si="164">IF($AB25="I","",IF($AA25="","",IF(FB25="","",FB25)))</f>
        <v/>
      </c>
      <c r="FE25" s="203" t="str">
        <f t="shared" si="66"/>
        <v>OK</v>
      </c>
      <c r="FF25" s="226" t="s">
        <v>276</v>
      </c>
      <c r="FG25" s="230"/>
      <c r="FH25" s="183" t="str">
        <f t="shared" ref="FH25:FH40" si="165">IF($AB25="I","",IF($AA25="","",IF(FF25="","",FF25)))</f>
        <v/>
      </c>
      <c r="FI25" s="203" t="str">
        <f t="shared" si="68"/>
        <v>OK</v>
      </c>
      <c r="FJ25" s="226" t="s">
        <v>276</v>
      </c>
      <c r="FK25" s="230"/>
      <c r="FL25" s="183" t="str">
        <f t="shared" ref="FL25:FL40" si="166">IF($AB25="I","",IF($AA25="","",IF(FJ25="","",FJ25)))</f>
        <v/>
      </c>
      <c r="FM25" s="203" t="str">
        <f t="shared" si="70"/>
        <v>OK</v>
      </c>
      <c r="FN25" s="226" t="s">
        <v>276</v>
      </c>
      <c r="FO25" s="230"/>
      <c r="FP25" s="183" t="str">
        <f t="shared" ref="FP25:FP40" si="167">IF($AB25="I","",IF($AA25="","",IF(FN25="","",FN25)))</f>
        <v/>
      </c>
      <c r="FQ25" s="203" t="str">
        <f t="shared" si="72"/>
        <v>OK</v>
      </c>
      <c r="FR25" s="226" t="s">
        <v>276</v>
      </c>
      <c r="FS25" s="230"/>
      <c r="FT25" s="183" t="str">
        <f t="shared" ref="FT25:FT40" si="168">IF($AB25="I","",IF($AA25="","",IF(FR25="","",FR25)))</f>
        <v/>
      </c>
      <c r="FU25" s="203" t="str">
        <f t="shared" si="74"/>
        <v>OK</v>
      </c>
      <c r="FV25" s="226" t="s">
        <v>276</v>
      </c>
      <c r="FW25" s="230"/>
      <c r="FX25" s="183" t="str">
        <f t="shared" ref="FX25:FX40" si="169">IF($AB25="I","",IF($AA25="","",IF(FV25="","",FV25)))</f>
        <v/>
      </c>
      <c r="FY25" s="203" t="str">
        <f t="shared" si="76"/>
        <v>OK</v>
      </c>
      <c r="FZ25" s="226" t="s">
        <v>276</v>
      </c>
      <c r="GA25" s="230"/>
      <c r="GB25" s="183" t="str">
        <f t="shared" ref="GB25:GB40" si="170">IF($AB25="I","",IF($AA25="","",IF(FZ25="","",FZ25)))</f>
        <v/>
      </c>
      <c r="GC25" s="203" t="str">
        <f t="shared" si="78"/>
        <v>OK</v>
      </c>
      <c r="GD25" s="226" t="s">
        <v>276</v>
      </c>
      <c r="GE25" s="230"/>
      <c r="GF25" s="183" t="str">
        <f t="shared" ref="GF25:GF40" si="171">IF($AB25="I","",IF($AA25="","",IF(GD25="","",GD25)))</f>
        <v/>
      </c>
      <c r="GG25" s="203" t="str">
        <f t="shared" si="80"/>
        <v>OK</v>
      </c>
      <c r="GH25" s="226" t="s">
        <v>276</v>
      </c>
      <c r="GI25" s="230"/>
      <c r="GJ25" s="183" t="str">
        <f t="shared" ref="GJ25:GJ40" si="172">IF($AB25="I","",IF($AA25="","",IF(GH25="","",GH25)))</f>
        <v/>
      </c>
      <c r="GK25" s="203" t="str">
        <f t="shared" si="82"/>
        <v>OK</v>
      </c>
      <c r="GL25" s="226" t="s">
        <v>276</v>
      </c>
      <c r="GM25" s="230"/>
      <c r="GN25" s="183" t="str">
        <f t="shared" ref="GN25:GN40" si="173">IF($AB25="I","",IF($AA25="","",IF(GL25="","",GL25)))</f>
        <v/>
      </c>
      <c r="GO25" s="203" t="str">
        <f t="shared" si="84"/>
        <v>OK</v>
      </c>
      <c r="GP25" s="226" t="s">
        <v>276</v>
      </c>
      <c r="GQ25" s="230"/>
      <c r="GR25" s="183" t="str">
        <f t="shared" ref="GR25:GR40" si="174">IF($AB25="I","",IF($AA25="","",IF(GP25="","",GP25)))</f>
        <v/>
      </c>
      <c r="GS25" s="203" t="str">
        <f t="shared" si="86"/>
        <v>OK</v>
      </c>
      <c r="GT25" s="202"/>
      <c r="GU25" s="202"/>
      <c r="GV25" s="255"/>
      <c r="GW25" s="255"/>
      <c r="GX25" s="255"/>
    </row>
    <row r="26" spans="1:206">
      <c r="A26" s="200" t="s">
        <v>59</v>
      </c>
      <c r="B26" s="225">
        <f t="shared" si="130"/>
        <v>19</v>
      </c>
      <c r="C26" s="229"/>
      <c r="D26" s="229"/>
      <c r="E26" s="229"/>
      <c r="F26" s="234" t="s">
        <v>434</v>
      </c>
      <c r="G26" s="221"/>
      <c r="H26" s="221"/>
      <c r="I26" s="209"/>
      <c r="J26" s="217" t="s">
        <v>23</v>
      </c>
      <c r="K26" s="219"/>
      <c r="L26" s="219"/>
      <c r="M26" s="218"/>
      <c r="N26" s="217"/>
      <c r="O26" s="259"/>
      <c r="P26" s="212"/>
      <c r="Q26" s="212"/>
      <c r="R26" s="215"/>
      <c r="S26" s="214"/>
      <c r="T26" s="212"/>
      <c r="U26" s="213"/>
      <c r="V26" s="212"/>
      <c r="W26" s="225" t="str">
        <f t="shared" si="131"/>
        <v>3</v>
      </c>
      <c r="X26" s="210" t="s">
        <v>433</v>
      </c>
      <c r="Y26" s="210"/>
      <c r="Z26" s="210"/>
      <c r="AA26" s="209"/>
      <c r="AB26" s="209" t="s">
        <v>306</v>
      </c>
      <c r="AC26" s="252"/>
      <c r="AD26" s="226"/>
      <c r="AE26" s="230"/>
      <c r="AF26" s="183" t="str">
        <f t="shared" si="132"/>
        <v/>
      </c>
      <c r="AG26" s="203" t="str">
        <f t="shared" si="2"/>
        <v>OK</v>
      </c>
      <c r="AH26" s="226"/>
      <c r="AI26" s="230"/>
      <c r="AJ26" s="183" t="str">
        <f t="shared" si="133"/>
        <v/>
      </c>
      <c r="AK26" s="203" t="str">
        <f t="shared" si="4"/>
        <v>OK</v>
      </c>
      <c r="AL26" s="226"/>
      <c r="AM26" s="230"/>
      <c r="AN26" s="183" t="str">
        <f t="shared" si="134"/>
        <v/>
      </c>
      <c r="AO26" s="203" t="str">
        <f t="shared" si="6"/>
        <v>OK</v>
      </c>
      <c r="AP26" s="226"/>
      <c r="AQ26" s="230"/>
      <c r="AR26" s="183" t="str">
        <f t="shared" si="135"/>
        <v/>
      </c>
      <c r="AS26" s="203" t="str">
        <f t="shared" si="8"/>
        <v>OK</v>
      </c>
      <c r="AT26" s="226"/>
      <c r="AU26" s="230"/>
      <c r="AV26" s="183" t="str">
        <f t="shared" si="136"/>
        <v/>
      </c>
      <c r="AW26" s="203" t="str">
        <f t="shared" si="10"/>
        <v>OK</v>
      </c>
      <c r="AX26" s="226"/>
      <c r="AY26" s="230"/>
      <c r="AZ26" s="183" t="str">
        <f t="shared" si="137"/>
        <v/>
      </c>
      <c r="BA26" s="203" t="str">
        <f t="shared" si="12"/>
        <v>OK</v>
      </c>
      <c r="BB26" s="226"/>
      <c r="BC26" s="230"/>
      <c r="BD26" s="183" t="str">
        <f t="shared" si="138"/>
        <v/>
      </c>
      <c r="BE26" s="203" t="str">
        <f t="shared" si="14"/>
        <v>OK</v>
      </c>
      <c r="BF26" s="226"/>
      <c r="BG26" s="230"/>
      <c r="BH26" s="183" t="str">
        <f t="shared" si="139"/>
        <v/>
      </c>
      <c r="BI26" s="203" t="str">
        <f t="shared" si="16"/>
        <v>OK</v>
      </c>
      <c r="BJ26" s="226"/>
      <c r="BK26" s="230"/>
      <c r="BL26" s="183" t="str">
        <f t="shared" si="140"/>
        <v/>
      </c>
      <c r="BM26" s="203" t="str">
        <f t="shared" si="18"/>
        <v>OK</v>
      </c>
      <c r="BN26" s="226"/>
      <c r="BO26" s="230"/>
      <c r="BP26" s="183" t="str">
        <f t="shared" si="141"/>
        <v/>
      </c>
      <c r="BQ26" s="203" t="str">
        <f t="shared" si="20"/>
        <v>OK</v>
      </c>
      <c r="BR26" s="226"/>
      <c r="BS26" s="230"/>
      <c r="BT26" s="183" t="str">
        <f t="shared" si="142"/>
        <v/>
      </c>
      <c r="BU26" s="203" t="str">
        <f t="shared" si="22"/>
        <v>OK</v>
      </c>
      <c r="BV26" s="226"/>
      <c r="BW26" s="230"/>
      <c r="BX26" s="183" t="str">
        <f t="shared" si="143"/>
        <v/>
      </c>
      <c r="BY26" s="203" t="str">
        <f t="shared" si="24"/>
        <v>OK</v>
      </c>
      <c r="BZ26" s="226"/>
      <c r="CA26" s="230"/>
      <c r="CB26" s="183" t="str">
        <f t="shared" si="144"/>
        <v/>
      </c>
      <c r="CC26" s="203" t="str">
        <f t="shared" si="26"/>
        <v>OK</v>
      </c>
      <c r="CD26" s="226"/>
      <c r="CE26" s="230"/>
      <c r="CF26" s="183" t="str">
        <f t="shared" si="145"/>
        <v/>
      </c>
      <c r="CG26" s="203" t="str">
        <f t="shared" si="28"/>
        <v>OK</v>
      </c>
      <c r="CH26" s="226"/>
      <c r="CI26" s="230"/>
      <c r="CJ26" s="183" t="str">
        <f t="shared" si="146"/>
        <v/>
      </c>
      <c r="CK26" s="203" t="str">
        <f t="shared" si="30"/>
        <v>OK</v>
      </c>
      <c r="CL26" s="226"/>
      <c r="CM26" s="230"/>
      <c r="CN26" s="183" t="str">
        <f t="shared" si="147"/>
        <v/>
      </c>
      <c r="CO26" s="203" t="str">
        <f t="shared" si="32"/>
        <v>OK</v>
      </c>
      <c r="CP26" s="226"/>
      <c r="CQ26" s="230"/>
      <c r="CR26" s="183" t="str">
        <f t="shared" si="148"/>
        <v/>
      </c>
      <c r="CS26" s="203" t="str">
        <f t="shared" si="34"/>
        <v>OK</v>
      </c>
      <c r="CT26" s="226"/>
      <c r="CU26" s="230"/>
      <c r="CV26" s="183" t="str">
        <f t="shared" si="149"/>
        <v/>
      </c>
      <c r="CW26" s="203" t="str">
        <f t="shared" si="36"/>
        <v>OK</v>
      </c>
      <c r="CX26" s="226"/>
      <c r="CY26" s="230"/>
      <c r="CZ26" s="183" t="str">
        <f t="shared" si="150"/>
        <v/>
      </c>
      <c r="DA26" s="203" t="str">
        <f t="shared" si="38"/>
        <v>OK</v>
      </c>
      <c r="DB26" s="226"/>
      <c r="DC26" s="230"/>
      <c r="DD26" s="183" t="str">
        <f t="shared" si="151"/>
        <v/>
      </c>
      <c r="DE26" s="203" t="str">
        <f t="shared" si="40"/>
        <v>OK</v>
      </c>
      <c r="DF26" s="226"/>
      <c r="DG26" s="230"/>
      <c r="DH26" s="183" t="str">
        <f t="shared" si="152"/>
        <v/>
      </c>
      <c r="DI26" s="203" t="str">
        <f t="shared" si="42"/>
        <v>OK</v>
      </c>
      <c r="DJ26" s="226"/>
      <c r="DK26" s="230"/>
      <c r="DL26" s="183" t="str">
        <f t="shared" si="153"/>
        <v/>
      </c>
      <c r="DM26" s="203" t="str">
        <f t="shared" si="44"/>
        <v>OK</v>
      </c>
      <c r="DN26" s="226"/>
      <c r="DO26" s="230"/>
      <c r="DP26" s="183" t="str">
        <f t="shared" si="154"/>
        <v/>
      </c>
      <c r="DQ26" s="203" t="str">
        <f t="shared" si="46"/>
        <v>OK</v>
      </c>
      <c r="DR26" s="226"/>
      <c r="DS26" s="230"/>
      <c r="DT26" s="183" t="str">
        <f t="shared" si="155"/>
        <v/>
      </c>
      <c r="DU26" s="203" t="str">
        <f t="shared" si="48"/>
        <v>OK</v>
      </c>
      <c r="DV26" s="226"/>
      <c r="DW26" s="230"/>
      <c r="DX26" s="183" t="str">
        <f t="shared" si="156"/>
        <v/>
      </c>
      <c r="DY26" s="203" t="str">
        <f t="shared" si="50"/>
        <v>OK</v>
      </c>
      <c r="DZ26" s="226"/>
      <c r="EA26" s="230"/>
      <c r="EB26" s="183" t="str">
        <f t="shared" si="157"/>
        <v/>
      </c>
      <c r="EC26" s="203" t="str">
        <f t="shared" si="52"/>
        <v>OK</v>
      </c>
      <c r="ED26" s="226"/>
      <c r="EE26" s="230"/>
      <c r="EF26" s="183" t="str">
        <f t="shared" si="158"/>
        <v/>
      </c>
      <c r="EG26" s="203" t="str">
        <f t="shared" si="54"/>
        <v>OK</v>
      </c>
      <c r="EH26" s="226"/>
      <c r="EI26" s="230"/>
      <c r="EJ26" s="183" t="str">
        <f t="shared" si="159"/>
        <v/>
      </c>
      <c r="EK26" s="203" t="str">
        <f t="shared" si="56"/>
        <v>OK</v>
      </c>
      <c r="EL26" s="226"/>
      <c r="EM26" s="230"/>
      <c r="EN26" s="183" t="str">
        <f t="shared" si="160"/>
        <v/>
      </c>
      <c r="EO26" s="203" t="str">
        <f t="shared" si="58"/>
        <v>OK</v>
      </c>
      <c r="EP26" s="226"/>
      <c r="EQ26" s="230"/>
      <c r="ER26" s="183" t="str">
        <f t="shared" si="161"/>
        <v/>
      </c>
      <c r="ES26" s="203" t="str">
        <f t="shared" si="60"/>
        <v>OK</v>
      </c>
      <c r="ET26" s="226"/>
      <c r="EU26" s="230"/>
      <c r="EV26" s="183" t="str">
        <f t="shared" si="162"/>
        <v/>
      </c>
      <c r="EW26" s="203" t="str">
        <f t="shared" si="62"/>
        <v>OK</v>
      </c>
      <c r="EX26" s="226"/>
      <c r="EY26" s="230"/>
      <c r="EZ26" s="183" t="str">
        <f t="shared" si="163"/>
        <v/>
      </c>
      <c r="FA26" s="203" t="str">
        <f t="shared" si="64"/>
        <v>OK</v>
      </c>
      <c r="FB26" s="226"/>
      <c r="FC26" s="230"/>
      <c r="FD26" s="183" t="str">
        <f t="shared" si="164"/>
        <v/>
      </c>
      <c r="FE26" s="203" t="str">
        <f t="shared" si="66"/>
        <v>OK</v>
      </c>
      <c r="FF26" s="226"/>
      <c r="FG26" s="230"/>
      <c r="FH26" s="183" t="str">
        <f t="shared" si="165"/>
        <v/>
      </c>
      <c r="FI26" s="203" t="str">
        <f t="shared" si="68"/>
        <v>OK</v>
      </c>
      <c r="FJ26" s="226"/>
      <c r="FK26" s="230"/>
      <c r="FL26" s="183" t="str">
        <f t="shared" si="166"/>
        <v/>
      </c>
      <c r="FM26" s="203" t="str">
        <f t="shared" si="70"/>
        <v>OK</v>
      </c>
      <c r="FN26" s="226"/>
      <c r="FO26" s="230"/>
      <c r="FP26" s="183" t="str">
        <f t="shared" si="167"/>
        <v/>
      </c>
      <c r="FQ26" s="203" t="str">
        <f t="shared" si="72"/>
        <v>OK</v>
      </c>
      <c r="FR26" s="226"/>
      <c r="FS26" s="230"/>
      <c r="FT26" s="183" t="str">
        <f t="shared" si="168"/>
        <v/>
      </c>
      <c r="FU26" s="203" t="str">
        <f t="shared" si="74"/>
        <v>OK</v>
      </c>
      <c r="FV26" s="226"/>
      <c r="FW26" s="230"/>
      <c r="FX26" s="183" t="str">
        <f t="shared" si="169"/>
        <v/>
      </c>
      <c r="FY26" s="203" t="str">
        <f t="shared" si="76"/>
        <v>OK</v>
      </c>
      <c r="FZ26" s="226"/>
      <c r="GA26" s="230"/>
      <c r="GB26" s="183" t="str">
        <f t="shared" si="170"/>
        <v/>
      </c>
      <c r="GC26" s="203" t="str">
        <f t="shared" si="78"/>
        <v>OK</v>
      </c>
      <c r="GD26" s="226"/>
      <c r="GE26" s="230"/>
      <c r="GF26" s="183" t="str">
        <f t="shared" si="171"/>
        <v/>
      </c>
      <c r="GG26" s="203" t="str">
        <f t="shared" si="80"/>
        <v>OK</v>
      </c>
      <c r="GH26" s="226"/>
      <c r="GI26" s="230"/>
      <c r="GJ26" s="183" t="str">
        <f t="shared" si="172"/>
        <v/>
      </c>
      <c r="GK26" s="203" t="str">
        <f t="shared" si="82"/>
        <v>OK</v>
      </c>
      <c r="GL26" s="226"/>
      <c r="GM26" s="230"/>
      <c r="GN26" s="183" t="str">
        <f t="shared" si="173"/>
        <v/>
      </c>
      <c r="GO26" s="203" t="str">
        <f t="shared" si="84"/>
        <v>OK</v>
      </c>
      <c r="GP26" s="226"/>
      <c r="GQ26" s="230"/>
      <c r="GR26" s="183" t="str">
        <f t="shared" si="174"/>
        <v/>
      </c>
      <c r="GS26" s="203" t="str">
        <f t="shared" si="86"/>
        <v>OK</v>
      </c>
      <c r="GT26" s="202"/>
      <c r="GU26" s="202"/>
      <c r="GV26" s="255"/>
      <c r="GW26" s="255"/>
      <c r="GX26" s="255"/>
    </row>
    <row r="27" spans="1:206">
      <c r="A27" s="200" t="s">
        <v>336</v>
      </c>
      <c r="B27" s="225">
        <f t="shared" si="130"/>
        <v>20</v>
      </c>
      <c r="C27" s="229"/>
      <c r="D27" s="229"/>
      <c r="E27" s="229"/>
      <c r="F27" s="229"/>
      <c r="G27" s="222" t="s">
        <v>432</v>
      </c>
      <c r="H27" s="221"/>
      <c r="I27" s="209"/>
      <c r="J27" s="217" t="s">
        <v>23</v>
      </c>
      <c r="K27" s="219"/>
      <c r="L27" s="219"/>
      <c r="M27" s="218" t="s">
        <v>431</v>
      </c>
      <c r="N27" s="217"/>
      <c r="O27" s="216"/>
      <c r="P27" s="212"/>
      <c r="Q27" s="212"/>
      <c r="R27" s="215"/>
      <c r="S27" s="214"/>
      <c r="T27" s="212"/>
      <c r="U27" s="213"/>
      <c r="V27" s="212"/>
      <c r="W27" s="225" t="str">
        <f t="shared" si="131"/>
        <v>4</v>
      </c>
      <c r="X27" s="210" t="s">
        <v>430</v>
      </c>
      <c r="Y27" s="210">
        <v>1</v>
      </c>
      <c r="Z27" s="210">
        <v>25</v>
      </c>
      <c r="AA27" s="209" t="s">
        <v>69</v>
      </c>
      <c r="AB27" s="209" t="s">
        <v>306</v>
      </c>
      <c r="AC27" s="252"/>
      <c r="AD27" s="231" t="s">
        <v>429</v>
      </c>
      <c r="AE27" s="230"/>
      <c r="AF27" s="183" t="str">
        <f t="shared" si="132"/>
        <v/>
      </c>
      <c r="AG27" s="203" t="str">
        <f t="shared" si="2"/>
        <v>OK</v>
      </c>
      <c r="AH27" s="231" t="s">
        <v>429</v>
      </c>
      <c r="AI27" s="230"/>
      <c r="AJ27" s="183" t="str">
        <f t="shared" si="133"/>
        <v/>
      </c>
      <c r="AK27" s="203" t="str">
        <f t="shared" si="4"/>
        <v>OK</v>
      </c>
      <c r="AL27" s="231" t="s">
        <v>429</v>
      </c>
      <c r="AM27" s="230"/>
      <c r="AN27" s="183" t="str">
        <f t="shared" si="134"/>
        <v/>
      </c>
      <c r="AO27" s="203" t="str">
        <f t="shared" si="6"/>
        <v>OK</v>
      </c>
      <c r="AP27" s="231" t="s">
        <v>429</v>
      </c>
      <c r="AQ27" s="230"/>
      <c r="AR27" s="183" t="str">
        <f t="shared" si="135"/>
        <v/>
      </c>
      <c r="AS27" s="203" t="str">
        <f t="shared" si="8"/>
        <v>OK</v>
      </c>
      <c r="AT27" s="231" t="s">
        <v>429</v>
      </c>
      <c r="AU27" s="230"/>
      <c r="AV27" s="183" t="str">
        <f t="shared" si="136"/>
        <v/>
      </c>
      <c r="AW27" s="203" t="str">
        <f t="shared" si="10"/>
        <v>OK</v>
      </c>
      <c r="AX27" s="231" t="s">
        <v>429</v>
      </c>
      <c r="AY27" s="230"/>
      <c r="AZ27" s="183" t="str">
        <f t="shared" si="137"/>
        <v/>
      </c>
      <c r="BA27" s="203" t="str">
        <f t="shared" si="12"/>
        <v>OK</v>
      </c>
      <c r="BB27" s="231" t="s">
        <v>429</v>
      </c>
      <c r="BC27" s="230"/>
      <c r="BD27" s="183" t="str">
        <f t="shared" si="138"/>
        <v/>
      </c>
      <c r="BE27" s="203" t="str">
        <f t="shared" si="14"/>
        <v>OK</v>
      </c>
      <c r="BF27" s="231" t="s">
        <v>429</v>
      </c>
      <c r="BG27" s="230"/>
      <c r="BH27" s="183" t="str">
        <f t="shared" si="139"/>
        <v/>
      </c>
      <c r="BI27" s="203" t="str">
        <f t="shared" si="16"/>
        <v>OK</v>
      </c>
      <c r="BJ27" s="231" t="s">
        <v>429</v>
      </c>
      <c r="BK27" s="230"/>
      <c r="BL27" s="183" t="str">
        <f t="shared" si="140"/>
        <v/>
      </c>
      <c r="BM27" s="203" t="str">
        <f t="shared" si="18"/>
        <v>OK</v>
      </c>
      <c r="BN27" s="231" t="s">
        <v>429</v>
      </c>
      <c r="BO27" s="230"/>
      <c r="BP27" s="183" t="str">
        <f t="shared" si="141"/>
        <v/>
      </c>
      <c r="BQ27" s="203" t="str">
        <f t="shared" si="20"/>
        <v>OK</v>
      </c>
      <c r="BR27" s="231" t="s">
        <v>429</v>
      </c>
      <c r="BS27" s="230"/>
      <c r="BT27" s="183" t="str">
        <f t="shared" si="142"/>
        <v/>
      </c>
      <c r="BU27" s="203" t="str">
        <f t="shared" si="22"/>
        <v>OK</v>
      </c>
      <c r="BV27" s="231" t="s">
        <v>429</v>
      </c>
      <c r="BW27" s="230"/>
      <c r="BX27" s="183" t="str">
        <f t="shared" si="143"/>
        <v/>
      </c>
      <c r="BY27" s="203" t="str">
        <f t="shared" si="24"/>
        <v>OK</v>
      </c>
      <c r="BZ27" s="231" t="s">
        <v>429</v>
      </c>
      <c r="CA27" s="230"/>
      <c r="CB27" s="183" t="str">
        <f t="shared" si="144"/>
        <v/>
      </c>
      <c r="CC27" s="203" t="str">
        <f t="shared" si="26"/>
        <v>OK</v>
      </c>
      <c r="CD27" s="231" t="s">
        <v>429</v>
      </c>
      <c r="CE27" s="230"/>
      <c r="CF27" s="183" t="str">
        <f t="shared" si="145"/>
        <v/>
      </c>
      <c r="CG27" s="203" t="str">
        <f t="shared" si="28"/>
        <v>OK</v>
      </c>
      <c r="CH27" s="231" t="s">
        <v>429</v>
      </c>
      <c r="CI27" s="230"/>
      <c r="CJ27" s="183" t="str">
        <f t="shared" si="146"/>
        <v/>
      </c>
      <c r="CK27" s="203" t="str">
        <f t="shared" si="30"/>
        <v>OK</v>
      </c>
      <c r="CL27" s="231" t="s">
        <v>429</v>
      </c>
      <c r="CM27" s="230"/>
      <c r="CN27" s="183" t="str">
        <f t="shared" si="147"/>
        <v/>
      </c>
      <c r="CO27" s="203" t="str">
        <f t="shared" si="32"/>
        <v>OK</v>
      </c>
      <c r="CP27" s="231" t="s">
        <v>429</v>
      </c>
      <c r="CQ27" s="230"/>
      <c r="CR27" s="183" t="str">
        <f t="shared" si="148"/>
        <v/>
      </c>
      <c r="CS27" s="203" t="str">
        <f t="shared" si="34"/>
        <v>OK</v>
      </c>
      <c r="CT27" s="231" t="s">
        <v>429</v>
      </c>
      <c r="CU27" s="230"/>
      <c r="CV27" s="183" t="str">
        <f t="shared" si="149"/>
        <v/>
      </c>
      <c r="CW27" s="203" t="str">
        <f t="shared" si="36"/>
        <v>OK</v>
      </c>
      <c r="CX27" s="231" t="s">
        <v>429</v>
      </c>
      <c r="CY27" s="230"/>
      <c r="CZ27" s="183" t="str">
        <f t="shared" si="150"/>
        <v/>
      </c>
      <c r="DA27" s="203" t="str">
        <f t="shared" si="38"/>
        <v>OK</v>
      </c>
      <c r="DB27" s="231" t="s">
        <v>429</v>
      </c>
      <c r="DC27" s="230"/>
      <c r="DD27" s="183" t="str">
        <f t="shared" si="151"/>
        <v/>
      </c>
      <c r="DE27" s="203" t="str">
        <f t="shared" si="40"/>
        <v>OK</v>
      </c>
      <c r="DF27" s="231" t="s">
        <v>429</v>
      </c>
      <c r="DG27" s="230"/>
      <c r="DH27" s="183" t="str">
        <f t="shared" si="152"/>
        <v/>
      </c>
      <c r="DI27" s="203" t="str">
        <f t="shared" si="42"/>
        <v>OK</v>
      </c>
      <c r="DJ27" s="231" t="s">
        <v>429</v>
      </c>
      <c r="DK27" s="230"/>
      <c r="DL27" s="183" t="str">
        <f t="shared" si="153"/>
        <v/>
      </c>
      <c r="DM27" s="203" t="str">
        <f t="shared" si="44"/>
        <v>OK</v>
      </c>
      <c r="DN27" s="231" t="s">
        <v>429</v>
      </c>
      <c r="DO27" s="230"/>
      <c r="DP27" s="183" t="str">
        <f t="shared" si="154"/>
        <v/>
      </c>
      <c r="DQ27" s="203" t="str">
        <f t="shared" si="46"/>
        <v>OK</v>
      </c>
      <c r="DR27" s="231" t="s">
        <v>429</v>
      </c>
      <c r="DS27" s="230"/>
      <c r="DT27" s="183" t="str">
        <f t="shared" si="155"/>
        <v/>
      </c>
      <c r="DU27" s="203" t="str">
        <f t="shared" si="48"/>
        <v>OK</v>
      </c>
      <c r="DV27" s="231" t="s">
        <v>429</v>
      </c>
      <c r="DW27" s="230"/>
      <c r="DX27" s="183" t="str">
        <f t="shared" si="156"/>
        <v/>
      </c>
      <c r="DY27" s="203" t="str">
        <f t="shared" si="50"/>
        <v>OK</v>
      </c>
      <c r="DZ27" s="231" t="s">
        <v>429</v>
      </c>
      <c r="EA27" s="230"/>
      <c r="EB27" s="183" t="str">
        <f t="shared" si="157"/>
        <v/>
      </c>
      <c r="EC27" s="203" t="str">
        <f t="shared" si="52"/>
        <v>OK</v>
      </c>
      <c r="ED27" s="231" t="s">
        <v>429</v>
      </c>
      <c r="EE27" s="230"/>
      <c r="EF27" s="183" t="str">
        <f t="shared" si="158"/>
        <v/>
      </c>
      <c r="EG27" s="203" t="str">
        <f t="shared" si="54"/>
        <v>OK</v>
      </c>
      <c r="EH27" s="231" t="s">
        <v>429</v>
      </c>
      <c r="EI27" s="230"/>
      <c r="EJ27" s="183" t="str">
        <f t="shared" si="159"/>
        <v/>
      </c>
      <c r="EK27" s="203" t="str">
        <f t="shared" si="56"/>
        <v>OK</v>
      </c>
      <c r="EL27" s="231" t="s">
        <v>429</v>
      </c>
      <c r="EM27" s="230"/>
      <c r="EN27" s="183" t="str">
        <f t="shared" si="160"/>
        <v/>
      </c>
      <c r="EO27" s="203" t="str">
        <f t="shared" si="58"/>
        <v>OK</v>
      </c>
      <c r="EP27" s="231" t="s">
        <v>429</v>
      </c>
      <c r="EQ27" s="230"/>
      <c r="ER27" s="183" t="str">
        <f t="shared" si="161"/>
        <v/>
      </c>
      <c r="ES27" s="203" t="str">
        <f t="shared" si="60"/>
        <v>OK</v>
      </c>
      <c r="ET27" s="231" t="s">
        <v>429</v>
      </c>
      <c r="EU27" s="230"/>
      <c r="EV27" s="183" t="str">
        <f t="shared" si="162"/>
        <v/>
      </c>
      <c r="EW27" s="203" t="str">
        <f t="shared" si="62"/>
        <v>OK</v>
      </c>
      <c r="EX27" s="231" t="s">
        <v>429</v>
      </c>
      <c r="EY27" s="230"/>
      <c r="EZ27" s="183" t="str">
        <f t="shared" si="163"/>
        <v/>
      </c>
      <c r="FA27" s="203" t="str">
        <f t="shared" si="64"/>
        <v>OK</v>
      </c>
      <c r="FB27" s="231" t="s">
        <v>429</v>
      </c>
      <c r="FC27" s="230"/>
      <c r="FD27" s="183" t="str">
        <f t="shared" si="164"/>
        <v/>
      </c>
      <c r="FE27" s="203" t="str">
        <f t="shared" si="66"/>
        <v>OK</v>
      </c>
      <c r="FF27" s="231" t="s">
        <v>429</v>
      </c>
      <c r="FG27" s="230"/>
      <c r="FH27" s="183" t="str">
        <f t="shared" si="165"/>
        <v/>
      </c>
      <c r="FI27" s="203" t="str">
        <f t="shared" si="68"/>
        <v>OK</v>
      </c>
      <c r="FJ27" s="231" t="s">
        <v>429</v>
      </c>
      <c r="FK27" s="230"/>
      <c r="FL27" s="183" t="str">
        <f t="shared" si="166"/>
        <v/>
      </c>
      <c r="FM27" s="203" t="str">
        <f t="shared" si="70"/>
        <v>OK</v>
      </c>
      <c r="FN27" s="231" t="s">
        <v>429</v>
      </c>
      <c r="FO27" s="230"/>
      <c r="FP27" s="183" t="str">
        <f t="shared" si="167"/>
        <v/>
      </c>
      <c r="FQ27" s="203" t="str">
        <f t="shared" si="72"/>
        <v>OK</v>
      </c>
      <c r="FR27" s="231" t="s">
        <v>429</v>
      </c>
      <c r="FS27" s="230"/>
      <c r="FT27" s="183" t="str">
        <f t="shared" si="168"/>
        <v/>
      </c>
      <c r="FU27" s="203" t="str">
        <f t="shared" si="74"/>
        <v>OK</v>
      </c>
      <c r="FV27" s="231" t="s">
        <v>429</v>
      </c>
      <c r="FW27" s="230"/>
      <c r="FX27" s="183" t="str">
        <f t="shared" si="169"/>
        <v/>
      </c>
      <c r="FY27" s="203" t="str">
        <f t="shared" si="76"/>
        <v>OK</v>
      </c>
      <c r="FZ27" s="231" t="s">
        <v>429</v>
      </c>
      <c r="GA27" s="230"/>
      <c r="GB27" s="183" t="str">
        <f t="shared" si="170"/>
        <v/>
      </c>
      <c r="GC27" s="203" t="str">
        <f t="shared" si="78"/>
        <v>OK</v>
      </c>
      <c r="GD27" s="231" t="s">
        <v>429</v>
      </c>
      <c r="GE27" s="230"/>
      <c r="GF27" s="183" t="str">
        <f t="shared" si="171"/>
        <v/>
      </c>
      <c r="GG27" s="203" t="str">
        <f t="shared" si="80"/>
        <v>OK</v>
      </c>
      <c r="GH27" s="231" t="s">
        <v>429</v>
      </c>
      <c r="GI27" s="230"/>
      <c r="GJ27" s="183" t="str">
        <f t="shared" si="172"/>
        <v/>
      </c>
      <c r="GK27" s="203" t="str">
        <f t="shared" si="82"/>
        <v>OK</v>
      </c>
      <c r="GL27" s="231" t="s">
        <v>429</v>
      </c>
      <c r="GM27" s="230"/>
      <c r="GN27" s="183" t="str">
        <f t="shared" si="173"/>
        <v/>
      </c>
      <c r="GO27" s="203" t="str">
        <f t="shared" si="84"/>
        <v>OK</v>
      </c>
      <c r="GP27" s="231" t="s">
        <v>429</v>
      </c>
      <c r="GQ27" s="230"/>
      <c r="GR27" s="183" t="str">
        <f t="shared" si="174"/>
        <v/>
      </c>
      <c r="GS27" s="203" t="str">
        <f t="shared" si="86"/>
        <v>OK</v>
      </c>
      <c r="GT27" s="202"/>
      <c r="GU27" s="202"/>
      <c r="GV27" s="255"/>
      <c r="GW27" s="255"/>
      <c r="GX27" s="255"/>
    </row>
    <row r="28" spans="1:206">
      <c r="A28" s="200" t="s">
        <v>336</v>
      </c>
      <c r="B28" s="225">
        <f t="shared" si="130"/>
        <v>21</v>
      </c>
      <c r="C28" s="229"/>
      <c r="D28" s="229"/>
      <c r="E28" s="229"/>
      <c r="F28" s="229"/>
      <c r="G28" s="258" t="s">
        <v>428</v>
      </c>
      <c r="H28" s="255"/>
      <c r="I28" s="209"/>
      <c r="J28" s="217" t="s">
        <v>23</v>
      </c>
      <c r="K28" s="219"/>
      <c r="L28" s="219"/>
      <c r="M28" s="218" t="s">
        <v>427</v>
      </c>
      <c r="N28" s="217"/>
      <c r="O28" s="216"/>
      <c r="P28" s="212"/>
      <c r="Q28" s="212"/>
      <c r="R28" s="215"/>
      <c r="S28" s="214"/>
      <c r="T28" s="212"/>
      <c r="U28" s="213"/>
      <c r="V28" s="212"/>
      <c r="W28" s="225" t="str">
        <f t="shared" si="131"/>
        <v>4</v>
      </c>
      <c r="X28" s="210" t="s">
        <v>426</v>
      </c>
      <c r="Y28" s="210">
        <v>1</v>
      </c>
      <c r="Z28" s="210">
        <v>15</v>
      </c>
      <c r="AA28" s="209" t="s">
        <v>69</v>
      </c>
      <c r="AB28" s="209" t="s">
        <v>306</v>
      </c>
      <c r="AC28" s="257"/>
      <c r="AD28" s="226" t="s">
        <v>425</v>
      </c>
      <c r="AE28" s="230"/>
      <c r="AF28" s="183" t="str">
        <f t="shared" si="132"/>
        <v/>
      </c>
      <c r="AG28" s="203" t="str">
        <f t="shared" si="2"/>
        <v>OK</v>
      </c>
      <c r="AH28" s="226" t="s">
        <v>425</v>
      </c>
      <c r="AI28" s="230"/>
      <c r="AJ28" s="183" t="str">
        <f t="shared" si="133"/>
        <v/>
      </c>
      <c r="AK28" s="203" t="str">
        <f t="shared" si="4"/>
        <v>OK</v>
      </c>
      <c r="AL28" s="226" t="s">
        <v>425</v>
      </c>
      <c r="AM28" s="230"/>
      <c r="AN28" s="183" t="str">
        <f t="shared" si="134"/>
        <v/>
      </c>
      <c r="AO28" s="203" t="str">
        <f t="shared" si="6"/>
        <v>OK</v>
      </c>
      <c r="AP28" s="226" t="s">
        <v>425</v>
      </c>
      <c r="AQ28" s="230"/>
      <c r="AR28" s="183" t="str">
        <f t="shared" si="135"/>
        <v/>
      </c>
      <c r="AS28" s="203" t="str">
        <f t="shared" si="8"/>
        <v>OK</v>
      </c>
      <c r="AT28" s="226" t="s">
        <v>425</v>
      </c>
      <c r="AU28" s="230"/>
      <c r="AV28" s="183" t="str">
        <f t="shared" si="136"/>
        <v/>
      </c>
      <c r="AW28" s="203" t="str">
        <f t="shared" si="10"/>
        <v>OK</v>
      </c>
      <c r="AX28" s="226" t="s">
        <v>425</v>
      </c>
      <c r="AY28" s="230"/>
      <c r="AZ28" s="183" t="str">
        <f t="shared" si="137"/>
        <v/>
      </c>
      <c r="BA28" s="203" t="str">
        <f t="shared" si="12"/>
        <v>OK</v>
      </c>
      <c r="BB28" s="226" t="s">
        <v>425</v>
      </c>
      <c r="BC28" s="230"/>
      <c r="BD28" s="183" t="str">
        <f t="shared" si="138"/>
        <v/>
      </c>
      <c r="BE28" s="203" t="str">
        <f t="shared" si="14"/>
        <v>OK</v>
      </c>
      <c r="BF28" s="226" t="s">
        <v>425</v>
      </c>
      <c r="BG28" s="230"/>
      <c r="BH28" s="183" t="str">
        <f t="shared" si="139"/>
        <v/>
      </c>
      <c r="BI28" s="203" t="str">
        <f t="shared" si="16"/>
        <v>OK</v>
      </c>
      <c r="BJ28" s="226" t="s">
        <v>425</v>
      </c>
      <c r="BK28" s="230"/>
      <c r="BL28" s="183" t="str">
        <f t="shared" si="140"/>
        <v/>
      </c>
      <c r="BM28" s="203" t="str">
        <f t="shared" si="18"/>
        <v>OK</v>
      </c>
      <c r="BN28" s="226" t="s">
        <v>425</v>
      </c>
      <c r="BO28" s="230"/>
      <c r="BP28" s="183" t="str">
        <f t="shared" si="141"/>
        <v/>
      </c>
      <c r="BQ28" s="203" t="str">
        <f t="shared" si="20"/>
        <v>OK</v>
      </c>
      <c r="BR28" s="226" t="s">
        <v>425</v>
      </c>
      <c r="BS28" s="230"/>
      <c r="BT28" s="183" t="str">
        <f t="shared" si="142"/>
        <v/>
      </c>
      <c r="BU28" s="203" t="str">
        <f t="shared" si="22"/>
        <v>OK</v>
      </c>
      <c r="BV28" s="226" t="s">
        <v>425</v>
      </c>
      <c r="BW28" s="230"/>
      <c r="BX28" s="183" t="str">
        <f t="shared" si="143"/>
        <v/>
      </c>
      <c r="BY28" s="203" t="str">
        <f t="shared" si="24"/>
        <v>OK</v>
      </c>
      <c r="BZ28" s="226" t="s">
        <v>425</v>
      </c>
      <c r="CA28" s="230"/>
      <c r="CB28" s="183" t="str">
        <f t="shared" si="144"/>
        <v/>
      </c>
      <c r="CC28" s="203" t="str">
        <f t="shared" si="26"/>
        <v>OK</v>
      </c>
      <c r="CD28" s="226" t="s">
        <v>425</v>
      </c>
      <c r="CE28" s="230"/>
      <c r="CF28" s="183" t="str">
        <f t="shared" si="145"/>
        <v/>
      </c>
      <c r="CG28" s="203" t="str">
        <f t="shared" si="28"/>
        <v>OK</v>
      </c>
      <c r="CH28" s="226" t="s">
        <v>425</v>
      </c>
      <c r="CI28" s="230"/>
      <c r="CJ28" s="183" t="str">
        <f t="shared" si="146"/>
        <v/>
      </c>
      <c r="CK28" s="203" t="str">
        <f t="shared" si="30"/>
        <v>OK</v>
      </c>
      <c r="CL28" s="226" t="s">
        <v>425</v>
      </c>
      <c r="CM28" s="230"/>
      <c r="CN28" s="183" t="str">
        <f t="shared" si="147"/>
        <v/>
      </c>
      <c r="CO28" s="203" t="str">
        <f t="shared" si="32"/>
        <v>OK</v>
      </c>
      <c r="CP28" s="226" t="s">
        <v>425</v>
      </c>
      <c r="CQ28" s="230"/>
      <c r="CR28" s="183" t="str">
        <f t="shared" si="148"/>
        <v/>
      </c>
      <c r="CS28" s="203" t="str">
        <f t="shared" si="34"/>
        <v>OK</v>
      </c>
      <c r="CT28" s="226" t="s">
        <v>425</v>
      </c>
      <c r="CU28" s="230"/>
      <c r="CV28" s="183" t="str">
        <f t="shared" si="149"/>
        <v/>
      </c>
      <c r="CW28" s="203" t="str">
        <f t="shared" si="36"/>
        <v>OK</v>
      </c>
      <c r="CX28" s="226" t="s">
        <v>425</v>
      </c>
      <c r="CY28" s="230"/>
      <c r="CZ28" s="183" t="str">
        <f t="shared" si="150"/>
        <v/>
      </c>
      <c r="DA28" s="203" t="str">
        <f t="shared" si="38"/>
        <v>OK</v>
      </c>
      <c r="DB28" s="226" t="s">
        <v>425</v>
      </c>
      <c r="DC28" s="230"/>
      <c r="DD28" s="183" t="str">
        <f t="shared" si="151"/>
        <v/>
      </c>
      <c r="DE28" s="203" t="str">
        <f t="shared" si="40"/>
        <v>OK</v>
      </c>
      <c r="DF28" s="226" t="s">
        <v>425</v>
      </c>
      <c r="DG28" s="230"/>
      <c r="DH28" s="183" t="str">
        <f t="shared" si="152"/>
        <v/>
      </c>
      <c r="DI28" s="203" t="str">
        <f t="shared" si="42"/>
        <v>OK</v>
      </c>
      <c r="DJ28" s="226" t="s">
        <v>425</v>
      </c>
      <c r="DK28" s="230"/>
      <c r="DL28" s="183" t="str">
        <f t="shared" si="153"/>
        <v/>
      </c>
      <c r="DM28" s="203" t="str">
        <f t="shared" si="44"/>
        <v>OK</v>
      </c>
      <c r="DN28" s="226" t="s">
        <v>425</v>
      </c>
      <c r="DO28" s="230"/>
      <c r="DP28" s="183" t="str">
        <f t="shared" si="154"/>
        <v/>
      </c>
      <c r="DQ28" s="203" t="str">
        <f t="shared" si="46"/>
        <v>OK</v>
      </c>
      <c r="DR28" s="226" t="s">
        <v>425</v>
      </c>
      <c r="DS28" s="230"/>
      <c r="DT28" s="183" t="str">
        <f t="shared" si="155"/>
        <v/>
      </c>
      <c r="DU28" s="203" t="str">
        <f t="shared" si="48"/>
        <v>OK</v>
      </c>
      <c r="DV28" s="226" t="s">
        <v>425</v>
      </c>
      <c r="DW28" s="230"/>
      <c r="DX28" s="183" t="str">
        <f t="shared" si="156"/>
        <v/>
      </c>
      <c r="DY28" s="203" t="str">
        <f t="shared" si="50"/>
        <v>OK</v>
      </c>
      <c r="DZ28" s="226" t="s">
        <v>425</v>
      </c>
      <c r="EA28" s="230"/>
      <c r="EB28" s="183" t="str">
        <f t="shared" si="157"/>
        <v/>
      </c>
      <c r="EC28" s="203" t="str">
        <f t="shared" si="52"/>
        <v>OK</v>
      </c>
      <c r="ED28" s="226" t="s">
        <v>425</v>
      </c>
      <c r="EE28" s="230"/>
      <c r="EF28" s="183" t="str">
        <f t="shared" si="158"/>
        <v/>
      </c>
      <c r="EG28" s="203" t="str">
        <f t="shared" si="54"/>
        <v>OK</v>
      </c>
      <c r="EH28" s="226" t="s">
        <v>425</v>
      </c>
      <c r="EI28" s="230"/>
      <c r="EJ28" s="183" t="str">
        <f t="shared" si="159"/>
        <v/>
      </c>
      <c r="EK28" s="203" t="str">
        <f t="shared" si="56"/>
        <v>OK</v>
      </c>
      <c r="EL28" s="226" t="s">
        <v>425</v>
      </c>
      <c r="EM28" s="230"/>
      <c r="EN28" s="183" t="str">
        <f t="shared" si="160"/>
        <v/>
      </c>
      <c r="EO28" s="203" t="str">
        <f t="shared" si="58"/>
        <v>OK</v>
      </c>
      <c r="EP28" s="226" t="s">
        <v>425</v>
      </c>
      <c r="EQ28" s="230"/>
      <c r="ER28" s="183" t="str">
        <f t="shared" si="161"/>
        <v/>
      </c>
      <c r="ES28" s="203" t="str">
        <f t="shared" si="60"/>
        <v>OK</v>
      </c>
      <c r="ET28" s="226" t="s">
        <v>425</v>
      </c>
      <c r="EU28" s="230"/>
      <c r="EV28" s="183" t="str">
        <f t="shared" si="162"/>
        <v/>
      </c>
      <c r="EW28" s="203" t="str">
        <f t="shared" si="62"/>
        <v>OK</v>
      </c>
      <c r="EX28" s="226" t="s">
        <v>425</v>
      </c>
      <c r="EY28" s="230"/>
      <c r="EZ28" s="183" t="str">
        <f t="shared" si="163"/>
        <v/>
      </c>
      <c r="FA28" s="203" t="str">
        <f t="shared" si="64"/>
        <v>OK</v>
      </c>
      <c r="FB28" s="226" t="s">
        <v>425</v>
      </c>
      <c r="FC28" s="230"/>
      <c r="FD28" s="183" t="str">
        <f t="shared" si="164"/>
        <v/>
      </c>
      <c r="FE28" s="203" t="str">
        <f t="shared" si="66"/>
        <v>OK</v>
      </c>
      <c r="FF28" s="226" t="s">
        <v>425</v>
      </c>
      <c r="FG28" s="230"/>
      <c r="FH28" s="183" t="str">
        <f t="shared" si="165"/>
        <v/>
      </c>
      <c r="FI28" s="203" t="str">
        <f t="shared" si="68"/>
        <v>OK</v>
      </c>
      <c r="FJ28" s="226" t="s">
        <v>425</v>
      </c>
      <c r="FK28" s="230"/>
      <c r="FL28" s="183" t="str">
        <f t="shared" si="166"/>
        <v/>
      </c>
      <c r="FM28" s="203" t="str">
        <f t="shared" si="70"/>
        <v>OK</v>
      </c>
      <c r="FN28" s="226" t="s">
        <v>425</v>
      </c>
      <c r="FO28" s="230"/>
      <c r="FP28" s="183" t="str">
        <f t="shared" si="167"/>
        <v/>
      </c>
      <c r="FQ28" s="203" t="str">
        <f t="shared" si="72"/>
        <v>OK</v>
      </c>
      <c r="FR28" s="226" t="s">
        <v>425</v>
      </c>
      <c r="FS28" s="230"/>
      <c r="FT28" s="183" t="str">
        <f t="shared" si="168"/>
        <v/>
      </c>
      <c r="FU28" s="203" t="str">
        <f t="shared" si="74"/>
        <v>OK</v>
      </c>
      <c r="FV28" s="226" t="s">
        <v>425</v>
      </c>
      <c r="FW28" s="230"/>
      <c r="FX28" s="183" t="str">
        <f t="shared" si="169"/>
        <v/>
      </c>
      <c r="FY28" s="203" t="str">
        <f t="shared" si="76"/>
        <v>OK</v>
      </c>
      <c r="FZ28" s="226" t="s">
        <v>425</v>
      </c>
      <c r="GA28" s="230"/>
      <c r="GB28" s="183" t="str">
        <f t="shared" si="170"/>
        <v/>
      </c>
      <c r="GC28" s="203" t="str">
        <f t="shared" si="78"/>
        <v>OK</v>
      </c>
      <c r="GD28" s="226" t="s">
        <v>425</v>
      </c>
      <c r="GE28" s="230"/>
      <c r="GF28" s="183" t="str">
        <f t="shared" si="171"/>
        <v/>
      </c>
      <c r="GG28" s="203" t="str">
        <f t="shared" si="80"/>
        <v>OK</v>
      </c>
      <c r="GH28" s="226" t="s">
        <v>425</v>
      </c>
      <c r="GI28" s="230"/>
      <c r="GJ28" s="183" t="str">
        <f t="shared" si="172"/>
        <v/>
      </c>
      <c r="GK28" s="203" t="str">
        <f t="shared" si="82"/>
        <v>OK</v>
      </c>
      <c r="GL28" s="226" t="s">
        <v>425</v>
      </c>
      <c r="GM28" s="230"/>
      <c r="GN28" s="183" t="str">
        <f t="shared" si="173"/>
        <v/>
      </c>
      <c r="GO28" s="203" t="str">
        <f t="shared" si="84"/>
        <v>OK</v>
      </c>
      <c r="GP28" s="226" t="s">
        <v>425</v>
      </c>
      <c r="GQ28" s="230"/>
      <c r="GR28" s="183" t="str">
        <f t="shared" si="174"/>
        <v/>
      </c>
      <c r="GS28" s="203" t="str">
        <f t="shared" si="86"/>
        <v>OK</v>
      </c>
      <c r="GT28" s="202"/>
      <c r="GU28" s="202"/>
      <c r="GV28" s="255"/>
      <c r="GW28" s="255"/>
      <c r="GX28" s="255"/>
    </row>
    <row r="29" spans="1:206">
      <c r="A29" s="200" t="s">
        <v>336</v>
      </c>
      <c r="B29" s="225">
        <f t="shared" si="130"/>
        <v>22</v>
      </c>
      <c r="C29" s="229"/>
      <c r="D29" s="229"/>
      <c r="E29" s="229"/>
      <c r="F29" s="229"/>
      <c r="G29" s="221" t="s">
        <v>424</v>
      </c>
      <c r="H29" s="221"/>
      <c r="I29" s="209"/>
      <c r="J29" s="217"/>
      <c r="K29" s="219"/>
      <c r="L29" s="219"/>
      <c r="M29" s="218" t="s">
        <v>423</v>
      </c>
      <c r="N29" s="217"/>
      <c r="O29" s="216"/>
      <c r="P29" s="212"/>
      <c r="Q29" s="212"/>
      <c r="R29" s="215"/>
      <c r="S29" s="214"/>
      <c r="T29" s="212"/>
      <c r="U29" s="213"/>
      <c r="V29" s="212"/>
      <c r="W29" s="225" t="str">
        <f t="shared" si="131"/>
        <v>4</v>
      </c>
      <c r="X29" s="210" t="s">
        <v>422</v>
      </c>
      <c r="Y29" s="210">
        <v>1</v>
      </c>
      <c r="Z29" s="210">
        <v>15</v>
      </c>
      <c r="AA29" s="209" t="s">
        <v>69</v>
      </c>
      <c r="AB29" s="209" t="s">
        <v>306</v>
      </c>
      <c r="AC29" s="252"/>
      <c r="AD29" s="226"/>
      <c r="AE29" s="230"/>
      <c r="AF29" s="183" t="str">
        <f t="shared" si="132"/>
        <v/>
      </c>
      <c r="AG29" s="203" t="str">
        <f t="shared" si="2"/>
        <v>OK</v>
      </c>
      <c r="AH29" s="226"/>
      <c r="AI29" s="230"/>
      <c r="AJ29" s="183" t="str">
        <f t="shared" si="133"/>
        <v/>
      </c>
      <c r="AK29" s="203" t="str">
        <f t="shared" si="4"/>
        <v>OK</v>
      </c>
      <c r="AL29" s="226"/>
      <c r="AM29" s="230"/>
      <c r="AN29" s="183" t="str">
        <f t="shared" si="134"/>
        <v/>
      </c>
      <c r="AO29" s="203" t="str">
        <f t="shared" si="6"/>
        <v>OK</v>
      </c>
      <c r="AP29" s="226"/>
      <c r="AQ29" s="230"/>
      <c r="AR29" s="183" t="str">
        <f t="shared" si="135"/>
        <v/>
      </c>
      <c r="AS29" s="203" t="str">
        <f t="shared" si="8"/>
        <v>OK</v>
      </c>
      <c r="AT29" s="226"/>
      <c r="AU29" s="230"/>
      <c r="AV29" s="183" t="str">
        <f t="shared" si="136"/>
        <v/>
      </c>
      <c r="AW29" s="203" t="str">
        <f t="shared" si="10"/>
        <v>OK</v>
      </c>
      <c r="AX29" s="226"/>
      <c r="AY29" s="230"/>
      <c r="AZ29" s="183" t="str">
        <f t="shared" si="137"/>
        <v/>
      </c>
      <c r="BA29" s="203" t="str">
        <f t="shared" si="12"/>
        <v>OK</v>
      </c>
      <c r="BB29" s="226"/>
      <c r="BC29" s="230"/>
      <c r="BD29" s="183" t="str">
        <f t="shared" si="138"/>
        <v/>
      </c>
      <c r="BE29" s="203" t="str">
        <f t="shared" si="14"/>
        <v>OK</v>
      </c>
      <c r="BF29" s="226"/>
      <c r="BG29" s="230"/>
      <c r="BH29" s="183" t="str">
        <f t="shared" si="139"/>
        <v/>
      </c>
      <c r="BI29" s="203" t="str">
        <f t="shared" si="16"/>
        <v>OK</v>
      </c>
      <c r="BJ29" s="226"/>
      <c r="BK29" s="230"/>
      <c r="BL29" s="183" t="str">
        <f t="shared" si="140"/>
        <v/>
      </c>
      <c r="BM29" s="203" t="str">
        <f t="shared" si="18"/>
        <v>OK</v>
      </c>
      <c r="BN29" s="226"/>
      <c r="BO29" s="230"/>
      <c r="BP29" s="183" t="str">
        <f t="shared" si="141"/>
        <v/>
      </c>
      <c r="BQ29" s="203" t="str">
        <f t="shared" si="20"/>
        <v>OK</v>
      </c>
      <c r="BR29" s="226"/>
      <c r="BS29" s="230"/>
      <c r="BT29" s="183" t="str">
        <f t="shared" si="142"/>
        <v/>
      </c>
      <c r="BU29" s="203" t="str">
        <f t="shared" si="22"/>
        <v>OK</v>
      </c>
      <c r="BV29" s="226"/>
      <c r="BW29" s="230"/>
      <c r="BX29" s="183" t="str">
        <f t="shared" si="143"/>
        <v/>
      </c>
      <c r="BY29" s="203" t="str">
        <f t="shared" si="24"/>
        <v>OK</v>
      </c>
      <c r="BZ29" s="226"/>
      <c r="CA29" s="230"/>
      <c r="CB29" s="183" t="str">
        <f t="shared" si="144"/>
        <v/>
      </c>
      <c r="CC29" s="203" t="str">
        <f t="shared" si="26"/>
        <v>OK</v>
      </c>
      <c r="CD29" s="226"/>
      <c r="CE29" s="230"/>
      <c r="CF29" s="183" t="str">
        <f t="shared" si="145"/>
        <v/>
      </c>
      <c r="CG29" s="203" t="str">
        <f t="shared" si="28"/>
        <v>OK</v>
      </c>
      <c r="CH29" s="226"/>
      <c r="CI29" s="230"/>
      <c r="CJ29" s="183" t="str">
        <f t="shared" si="146"/>
        <v/>
      </c>
      <c r="CK29" s="203" t="str">
        <f t="shared" si="30"/>
        <v>OK</v>
      </c>
      <c r="CL29" s="226"/>
      <c r="CM29" s="230"/>
      <c r="CN29" s="183" t="str">
        <f t="shared" si="147"/>
        <v/>
      </c>
      <c r="CO29" s="203" t="str">
        <f t="shared" si="32"/>
        <v>OK</v>
      </c>
      <c r="CP29" s="226"/>
      <c r="CQ29" s="230"/>
      <c r="CR29" s="183" t="str">
        <f t="shared" si="148"/>
        <v/>
      </c>
      <c r="CS29" s="203" t="str">
        <f t="shared" si="34"/>
        <v>OK</v>
      </c>
      <c r="CT29" s="226"/>
      <c r="CU29" s="230"/>
      <c r="CV29" s="183" t="str">
        <f t="shared" si="149"/>
        <v/>
      </c>
      <c r="CW29" s="203" t="str">
        <f t="shared" si="36"/>
        <v>OK</v>
      </c>
      <c r="CX29" s="226"/>
      <c r="CY29" s="230"/>
      <c r="CZ29" s="183" t="str">
        <f t="shared" si="150"/>
        <v/>
      </c>
      <c r="DA29" s="203" t="str">
        <f t="shared" si="38"/>
        <v>OK</v>
      </c>
      <c r="DB29" s="226"/>
      <c r="DC29" s="230"/>
      <c r="DD29" s="183" t="str">
        <f t="shared" si="151"/>
        <v/>
      </c>
      <c r="DE29" s="203" t="str">
        <f t="shared" si="40"/>
        <v>OK</v>
      </c>
      <c r="DF29" s="226"/>
      <c r="DG29" s="230"/>
      <c r="DH29" s="183" t="str">
        <f t="shared" si="152"/>
        <v/>
      </c>
      <c r="DI29" s="203" t="str">
        <f t="shared" si="42"/>
        <v>OK</v>
      </c>
      <c r="DJ29" s="226"/>
      <c r="DK29" s="230"/>
      <c r="DL29" s="183" t="str">
        <f t="shared" si="153"/>
        <v/>
      </c>
      <c r="DM29" s="203" t="str">
        <f t="shared" si="44"/>
        <v>OK</v>
      </c>
      <c r="DN29" s="226"/>
      <c r="DO29" s="230"/>
      <c r="DP29" s="183" t="str">
        <f t="shared" si="154"/>
        <v/>
      </c>
      <c r="DQ29" s="203" t="str">
        <f t="shared" si="46"/>
        <v>OK</v>
      </c>
      <c r="DR29" s="226"/>
      <c r="DS29" s="230"/>
      <c r="DT29" s="183" t="str">
        <f t="shared" si="155"/>
        <v/>
      </c>
      <c r="DU29" s="203" t="str">
        <f t="shared" si="48"/>
        <v>OK</v>
      </c>
      <c r="DV29" s="226"/>
      <c r="DW29" s="230"/>
      <c r="DX29" s="183" t="str">
        <f t="shared" si="156"/>
        <v/>
      </c>
      <c r="DY29" s="203" t="str">
        <f t="shared" si="50"/>
        <v>OK</v>
      </c>
      <c r="DZ29" s="226"/>
      <c r="EA29" s="230"/>
      <c r="EB29" s="183" t="str">
        <f t="shared" si="157"/>
        <v/>
      </c>
      <c r="EC29" s="203" t="str">
        <f t="shared" si="52"/>
        <v>OK</v>
      </c>
      <c r="ED29" s="226"/>
      <c r="EE29" s="230"/>
      <c r="EF29" s="183" t="str">
        <f t="shared" si="158"/>
        <v/>
      </c>
      <c r="EG29" s="203" t="str">
        <f t="shared" si="54"/>
        <v>OK</v>
      </c>
      <c r="EH29" s="226"/>
      <c r="EI29" s="230"/>
      <c r="EJ29" s="183" t="str">
        <f t="shared" si="159"/>
        <v/>
      </c>
      <c r="EK29" s="203" t="str">
        <f t="shared" si="56"/>
        <v>OK</v>
      </c>
      <c r="EL29" s="226"/>
      <c r="EM29" s="230"/>
      <c r="EN29" s="183" t="str">
        <f t="shared" si="160"/>
        <v/>
      </c>
      <c r="EO29" s="203" t="str">
        <f t="shared" si="58"/>
        <v>OK</v>
      </c>
      <c r="EP29" s="226"/>
      <c r="EQ29" s="230"/>
      <c r="ER29" s="183" t="str">
        <f t="shared" si="161"/>
        <v/>
      </c>
      <c r="ES29" s="203" t="str">
        <f t="shared" si="60"/>
        <v>OK</v>
      </c>
      <c r="ET29" s="226"/>
      <c r="EU29" s="230"/>
      <c r="EV29" s="183" t="str">
        <f t="shared" si="162"/>
        <v/>
      </c>
      <c r="EW29" s="203" t="str">
        <f t="shared" si="62"/>
        <v>OK</v>
      </c>
      <c r="EX29" s="226"/>
      <c r="EY29" s="230"/>
      <c r="EZ29" s="183" t="str">
        <f t="shared" si="163"/>
        <v/>
      </c>
      <c r="FA29" s="203" t="str">
        <f t="shared" si="64"/>
        <v>OK</v>
      </c>
      <c r="FB29" s="226"/>
      <c r="FC29" s="230"/>
      <c r="FD29" s="183" t="str">
        <f t="shared" si="164"/>
        <v/>
      </c>
      <c r="FE29" s="203" t="str">
        <f t="shared" si="66"/>
        <v>OK</v>
      </c>
      <c r="FF29" s="226"/>
      <c r="FG29" s="230"/>
      <c r="FH29" s="183" t="str">
        <f t="shared" si="165"/>
        <v/>
      </c>
      <c r="FI29" s="203" t="str">
        <f t="shared" si="68"/>
        <v>OK</v>
      </c>
      <c r="FJ29" s="226"/>
      <c r="FK29" s="230"/>
      <c r="FL29" s="183" t="str">
        <f t="shared" si="166"/>
        <v/>
      </c>
      <c r="FM29" s="203" t="str">
        <f t="shared" si="70"/>
        <v>OK</v>
      </c>
      <c r="FN29" s="226"/>
      <c r="FO29" s="230"/>
      <c r="FP29" s="183" t="str">
        <f t="shared" si="167"/>
        <v/>
      </c>
      <c r="FQ29" s="203" t="str">
        <f t="shared" si="72"/>
        <v>OK</v>
      </c>
      <c r="FR29" s="226"/>
      <c r="FS29" s="230"/>
      <c r="FT29" s="183" t="str">
        <f t="shared" si="168"/>
        <v/>
      </c>
      <c r="FU29" s="203" t="str">
        <f t="shared" si="74"/>
        <v>OK</v>
      </c>
      <c r="FV29" s="226"/>
      <c r="FW29" s="230"/>
      <c r="FX29" s="183" t="str">
        <f t="shared" si="169"/>
        <v/>
      </c>
      <c r="FY29" s="203" t="str">
        <f t="shared" si="76"/>
        <v>OK</v>
      </c>
      <c r="FZ29" s="226"/>
      <c r="GA29" s="230"/>
      <c r="GB29" s="183" t="str">
        <f t="shared" si="170"/>
        <v/>
      </c>
      <c r="GC29" s="203" t="str">
        <f t="shared" si="78"/>
        <v>OK</v>
      </c>
      <c r="GD29" s="226"/>
      <c r="GE29" s="230"/>
      <c r="GF29" s="183" t="str">
        <f t="shared" si="171"/>
        <v/>
      </c>
      <c r="GG29" s="203" t="str">
        <f t="shared" si="80"/>
        <v>OK</v>
      </c>
      <c r="GH29" s="226"/>
      <c r="GI29" s="230"/>
      <c r="GJ29" s="183" t="str">
        <f t="shared" si="172"/>
        <v/>
      </c>
      <c r="GK29" s="203" t="str">
        <f t="shared" si="82"/>
        <v>OK</v>
      </c>
      <c r="GL29" s="226"/>
      <c r="GM29" s="230"/>
      <c r="GN29" s="183" t="str">
        <f t="shared" si="173"/>
        <v/>
      </c>
      <c r="GO29" s="203" t="str">
        <f t="shared" si="84"/>
        <v>OK</v>
      </c>
      <c r="GP29" s="376"/>
      <c r="GQ29" s="230"/>
      <c r="GR29" s="183" t="str">
        <f t="shared" si="174"/>
        <v/>
      </c>
      <c r="GS29" s="203" t="str">
        <f t="shared" si="86"/>
        <v>OK</v>
      </c>
      <c r="GT29" s="202"/>
      <c r="GU29" s="202"/>
      <c r="GV29" s="255"/>
      <c r="GW29" s="255"/>
      <c r="GX29" s="255"/>
    </row>
    <row r="30" spans="1:206">
      <c r="A30" s="200" t="s">
        <v>336</v>
      </c>
      <c r="B30" s="225">
        <f t="shared" si="130"/>
        <v>23</v>
      </c>
      <c r="C30" s="229"/>
      <c r="D30" s="229"/>
      <c r="E30" s="229"/>
      <c r="F30" s="224"/>
      <c r="G30" s="221" t="s">
        <v>421</v>
      </c>
      <c r="H30" s="221"/>
      <c r="I30" s="209"/>
      <c r="J30" s="217"/>
      <c r="K30" s="219"/>
      <c r="L30" s="219"/>
      <c r="M30" s="218" t="s">
        <v>420</v>
      </c>
      <c r="N30" s="217"/>
      <c r="O30" s="216"/>
      <c r="P30" s="212"/>
      <c r="Q30" s="212"/>
      <c r="R30" s="215"/>
      <c r="S30" s="214"/>
      <c r="T30" s="212"/>
      <c r="U30" s="213"/>
      <c r="V30" s="212"/>
      <c r="W30" s="225" t="str">
        <f t="shared" si="131"/>
        <v>4</v>
      </c>
      <c r="X30" s="210" t="s">
        <v>419</v>
      </c>
      <c r="Y30" s="210">
        <v>8</v>
      </c>
      <c r="Z30" s="210">
        <v>15</v>
      </c>
      <c r="AA30" s="209" t="s">
        <v>54</v>
      </c>
      <c r="AB30" s="209" t="s">
        <v>306</v>
      </c>
      <c r="AC30" s="256"/>
      <c r="AD30" s="226"/>
      <c r="AE30" s="230"/>
      <c r="AF30" s="183" t="str">
        <f t="shared" si="132"/>
        <v/>
      </c>
      <c r="AG30" s="203" t="str">
        <f t="shared" si="2"/>
        <v>OK</v>
      </c>
      <c r="AH30" s="226"/>
      <c r="AI30" s="230"/>
      <c r="AJ30" s="183" t="str">
        <f t="shared" si="133"/>
        <v/>
      </c>
      <c r="AK30" s="203" t="str">
        <f t="shared" si="4"/>
        <v>OK</v>
      </c>
      <c r="AL30" s="226"/>
      <c r="AM30" s="230"/>
      <c r="AN30" s="183" t="str">
        <f t="shared" si="134"/>
        <v/>
      </c>
      <c r="AO30" s="203" t="str">
        <f t="shared" si="6"/>
        <v>OK</v>
      </c>
      <c r="AP30" s="226"/>
      <c r="AQ30" s="230"/>
      <c r="AR30" s="183" t="str">
        <f t="shared" si="135"/>
        <v/>
      </c>
      <c r="AS30" s="203" t="str">
        <f t="shared" si="8"/>
        <v>OK</v>
      </c>
      <c r="AT30" s="226"/>
      <c r="AU30" s="230"/>
      <c r="AV30" s="183" t="str">
        <f t="shared" si="136"/>
        <v/>
      </c>
      <c r="AW30" s="203" t="str">
        <f t="shared" si="10"/>
        <v>OK</v>
      </c>
      <c r="AX30" s="226"/>
      <c r="AY30" s="230"/>
      <c r="AZ30" s="183" t="str">
        <f t="shared" si="137"/>
        <v/>
      </c>
      <c r="BA30" s="203" t="str">
        <f t="shared" si="12"/>
        <v>OK</v>
      </c>
      <c r="BB30" s="226"/>
      <c r="BC30" s="230"/>
      <c r="BD30" s="183" t="str">
        <f t="shared" si="138"/>
        <v/>
      </c>
      <c r="BE30" s="203" t="str">
        <f t="shared" si="14"/>
        <v>OK</v>
      </c>
      <c r="BF30" s="226"/>
      <c r="BG30" s="230"/>
      <c r="BH30" s="183" t="str">
        <f t="shared" si="139"/>
        <v/>
      </c>
      <c r="BI30" s="203" t="str">
        <f t="shared" si="16"/>
        <v>OK</v>
      </c>
      <c r="BJ30" s="226"/>
      <c r="BK30" s="230"/>
      <c r="BL30" s="183" t="str">
        <f t="shared" si="140"/>
        <v/>
      </c>
      <c r="BM30" s="203" t="str">
        <f t="shared" si="18"/>
        <v>OK</v>
      </c>
      <c r="BN30" s="226"/>
      <c r="BO30" s="230"/>
      <c r="BP30" s="183" t="str">
        <f t="shared" si="141"/>
        <v/>
      </c>
      <c r="BQ30" s="203" t="str">
        <f t="shared" si="20"/>
        <v>OK</v>
      </c>
      <c r="BR30" s="226"/>
      <c r="BS30" s="230"/>
      <c r="BT30" s="183" t="str">
        <f t="shared" si="142"/>
        <v/>
      </c>
      <c r="BU30" s="203" t="str">
        <f t="shared" si="22"/>
        <v>OK</v>
      </c>
      <c r="BV30" s="226"/>
      <c r="BW30" s="230"/>
      <c r="BX30" s="183" t="str">
        <f t="shared" si="143"/>
        <v/>
      </c>
      <c r="BY30" s="203" t="str">
        <f t="shared" si="24"/>
        <v>OK</v>
      </c>
      <c r="BZ30" s="226"/>
      <c r="CA30" s="230"/>
      <c r="CB30" s="183" t="str">
        <f t="shared" si="144"/>
        <v/>
      </c>
      <c r="CC30" s="203" t="str">
        <f t="shared" si="26"/>
        <v>OK</v>
      </c>
      <c r="CD30" s="226"/>
      <c r="CE30" s="230"/>
      <c r="CF30" s="183" t="str">
        <f t="shared" si="145"/>
        <v/>
      </c>
      <c r="CG30" s="203" t="str">
        <f t="shared" si="28"/>
        <v>OK</v>
      </c>
      <c r="CH30" s="226"/>
      <c r="CI30" s="230"/>
      <c r="CJ30" s="183" t="str">
        <f t="shared" si="146"/>
        <v/>
      </c>
      <c r="CK30" s="203" t="str">
        <f t="shared" si="30"/>
        <v>OK</v>
      </c>
      <c r="CL30" s="226"/>
      <c r="CM30" s="230"/>
      <c r="CN30" s="183" t="str">
        <f t="shared" si="147"/>
        <v/>
      </c>
      <c r="CO30" s="203" t="str">
        <f t="shared" si="32"/>
        <v>OK</v>
      </c>
      <c r="CP30" s="226"/>
      <c r="CQ30" s="230"/>
      <c r="CR30" s="183" t="str">
        <f t="shared" si="148"/>
        <v/>
      </c>
      <c r="CS30" s="203" t="str">
        <f t="shared" si="34"/>
        <v>OK</v>
      </c>
      <c r="CT30" s="226"/>
      <c r="CU30" s="230"/>
      <c r="CV30" s="183" t="str">
        <f t="shared" si="149"/>
        <v/>
      </c>
      <c r="CW30" s="203" t="str">
        <f t="shared" si="36"/>
        <v>OK</v>
      </c>
      <c r="CX30" s="226"/>
      <c r="CY30" s="230"/>
      <c r="CZ30" s="183" t="str">
        <f t="shared" si="150"/>
        <v/>
      </c>
      <c r="DA30" s="203" t="str">
        <f t="shared" si="38"/>
        <v>OK</v>
      </c>
      <c r="DB30" s="226"/>
      <c r="DC30" s="230"/>
      <c r="DD30" s="183" t="str">
        <f t="shared" si="151"/>
        <v/>
      </c>
      <c r="DE30" s="203" t="str">
        <f t="shared" si="40"/>
        <v>OK</v>
      </c>
      <c r="DF30" s="226"/>
      <c r="DG30" s="230"/>
      <c r="DH30" s="183" t="str">
        <f t="shared" si="152"/>
        <v/>
      </c>
      <c r="DI30" s="203" t="str">
        <f t="shared" si="42"/>
        <v>OK</v>
      </c>
      <c r="DJ30" s="226"/>
      <c r="DK30" s="230"/>
      <c r="DL30" s="183" t="str">
        <f t="shared" si="153"/>
        <v/>
      </c>
      <c r="DM30" s="203" t="str">
        <f t="shared" si="44"/>
        <v>OK</v>
      </c>
      <c r="DN30" s="226"/>
      <c r="DO30" s="230"/>
      <c r="DP30" s="183" t="str">
        <f t="shared" si="154"/>
        <v/>
      </c>
      <c r="DQ30" s="203" t="str">
        <f t="shared" si="46"/>
        <v>OK</v>
      </c>
      <c r="DR30" s="226"/>
      <c r="DS30" s="230"/>
      <c r="DT30" s="183" t="str">
        <f t="shared" si="155"/>
        <v/>
      </c>
      <c r="DU30" s="203" t="str">
        <f t="shared" si="48"/>
        <v>OK</v>
      </c>
      <c r="DV30" s="226"/>
      <c r="DW30" s="230"/>
      <c r="DX30" s="183" t="str">
        <f t="shared" si="156"/>
        <v/>
      </c>
      <c r="DY30" s="203" t="str">
        <f t="shared" si="50"/>
        <v>OK</v>
      </c>
      <c r="DZ30" s="226"/>
      <c r="EA30" s="230"/>
      <c r="EB30" s="183" t="str">
        <f t="shared" si="157"/>
        <v/>
      </c>
      <c r="EC30" s="203" t="str">
        <f t="shared" si="52"/>
        <v>OK</v>
      </c>
      <c r="ED30" s="226"/>
      <c r="EE30" s="230"/>
      <c r="EF30" s="183" t="str">
        <f t="shared" si="158"/>
        <v/>
      </c>
      <c r="EG30" s="203" t="str">
        <f t="shared" si="54"/>
        <v>OK</v>
      </c>
      <c r="EH30" s="226"/>
      <c r="EI30" s="230"/>
      <c r="EJ30" s="183" t="str">
        <f t="shared" si="159"/>
        <v/>
      </c>
      <c r="EK30" s="203" t="str">
        <f t="shared" si="56"/>
        <v>OK</v>
      </c>
      <c r="EL30" s="226"/>
      <c r="EM30" s="230"/>
      <c r="EN30" s="183" t="str">
        <f t="shared" si="160"/>
        <v/>
      </c>
      <c r="EO30" s="203" t="str">
        <f t="shared" si="58"/>
        <v>OK</v>
      </c>
      <c r="EP30" s="226"/>
      <c r="EQ30" s="230"/>
      <c r="ER30" s="183" t="str">
        <f t="shared" si="161"/>
        <v/>
      </c>
      <c r="ES30" s="203" t="str">
        <f t="shared" si="60"/>
        <v>OK</v>
      </c>
      <c r="ET30" s="226"/>
      <c r="EU30" s="230"/>
      <c r="EV30" s="183" t="str">
        <f t="shared" si="162"/>
        <v/>
      </c>
      <c r="EW30" s="203" t="str">
        <f t="shared" si="62"/>
        <v>OK</v>
      </c>
      <c r="EX30" s="226"/>
      <c r="EY30" s="230"/>
      <c r="EZ30" s="183" t="str">
        <f t="shared" si="163"/>
        <v/>
      </c>
      <c r="FA30" s="203" t="str">
        <f t="shared" si="64"/>
        <v>OK</v>
      </c>
      <c r="FB30" s="226"/>
      <c r="FC30" s="230"/>
      <c r="FD30" s="183" t="str">
        <f t="shared" si="164"/>
        <v/>
      </c>
      <c r="FE30" s="203" t="str">
        <f t="shared" si="66"/>
        <v>OK</v>
      </c>
      <c r="FF30" s="226"/>
      <c r="FG30" s="230"/>
      <c r="FH30" s="183" t="str">
        <f t="shared" si="165"/>
        <v/>
      </c>
      <c r="FI30" s="203" t="str">
        <f t="shared" si="68"/>
        <v>OK</v>
      </c>
      <c r="FJ30" s="226"/>
      <c r="FK30" s="230"/>
      <c r="FL30" s="183" t="str">
        <f t="shared" si="166"/>
        <v/>
      </c>
      <c r="FM30" s="203" t="str">
        <f t="shared" si="70"/>
        <v>OK</v>
      </c>
      <c r="FN30" s="226"/>
      <c r="FO30" s="230"/>
      <c r="FP30" s="183" t="str">
        <f t="shared" si="167"/>
        <v/>
      </c>
      <c r="FQ30" s="203" t="str">
        <f t="shared" si="72"/>
        <v>OK</v>
      </c>
      <c r="FR30" s="226"/>
      <c r="FS30" s="230"/>
      <c r="FT30" s="183" t="str">
        <f t="shared" si="168"/>
        <v/>
      </c>
      <c r="FU30" s="203" t="str">
        <f t="shared" si="74"/>
        <v>OK</v>
      </c>
      <c r="FV30" s="226"/>
      <c r="FW30" s="230"/>
      <c r="FX30" s="183" t="str">
        <f t="shared" si="169"/>
        <v/>
      </c>
      <c r="FY30" s="203" t="str">
        <f t="shared" si="76"/>
        <v>OK</v>
      </c>
      <c r="FZ30" s="226"/>
      <c r="GA30" s="230"/>
      <c r="GB30" s="183" t="str">
        <f t="shared" si="170"/>
        <v/>
      </c>
      <c r="GC30" s="203" t="str">
        <f t="shared" si="78"/>
        <v>OK</v>
      </c>
      <c r="GD30" s="226"/>
      <c r="GE30" s="230"/>
      <c r="GF30" s="183" t="str">
        <f t="shared" si="171"/>
        <v/>
      </c>
      <c r="GG30" s="203" t="str">
        <f t="shared" si="80"/>
        <v>OK</v>
      </c>
      <c r="GH30" s="226"/>
      <c r="GI30" s="230"/>
      <c r="GJ30" s="183" t="str">
        <f t="shared" si="172"/>
        <v/>
      </c>
      <c r="GK30" s="203" t="str">
        <f t="shared" si="82"/>
        <v>OK</v>
      </c>
      <c r="GL30" s="226"/>
      <c r="GM30" s="230"/>
      <c r="GN30" s="183" t="str">
        <f t="shared" si="173"/>
        <v/>
      </c>
      <c r="GO30" s="203" t="str">
        <f t="shared" si="84"/>
        <v>OK</v>
      </c>
      <c r="GP30" s="226"/>
      <c r="GQ30" s="230"/>
      <c r="GR30" s="183" t="str">
        <f t="shared" si="174"/>
        <v/>
      </c>
      <c r="GS30" s="203" t="str">
        <f t="shared" si="86"/>
        <v>OK</v>
      </c>
      <c r="GT30" s="202"/>
      <c r="GU30" s="202"/>
      <c r="GV30" s="255"/>
      <c r="GW30" s="255"/>
      <c r="GX30" s="255"/>
    </row>
    <row r="31" spans="1:206">
      <c r="A31" s="200" t="s">
        <v>336</v>
      </c>
      <c r="B31" s="225">
        <f t="shared" si="130"/>
        <v>24</v>
      </c>
      <c r="C31" s="229"/>
      <c r="D31" s="229"/>
      <c r="E31" s="234" t="s">
        <v>418</v>
      </c>
      <c r="F31" s="233"/>
      <c r="G31" s="233"/>
      <c r="H31" s="232"/>
      <c r="I31" s="209"/>
      <c r="J31" s="217" t="s">
        <v>23</v>
      </c>
      <c r="K31" s="219"/>
      <c r="L31" s="219"/>
      <c r="M31" s="218"/>
      <c r="N31" s="217"/>
      <c r="O31" s="216"/>
      <c r="P31" s="212"/>
      <c r="Q31" s="212"/>
      <c r="R31" s="215"/>
      <c r="S31" s="214"/>
      <c r="T31" s="212"/>
      <c r="U31" s="213"/>
      <c r="V31" s="212"/>
      <c r="W31" s="211" t="str">
        <f t="shared" si="131"/>
        <v>2</v>
      </c>
      <c r="X31" s="210" t="s">
        <v>417</v>
      </c>
      <c r="Y31" s="210"/>
      <c r="Z31" s="210"/>
      <c r="AA31" s="209"/>
      <c r="AB31" s="209" t="s">
        <v>306</v>
      </c>
      <c r="AC31" s="252"/>
      <c r="AD31" s="226"/>
      <c r="AE31" s="230"/>
      <c r="AF31" s="183" t="str">
        <f t="shared" si="132"/>
        <v/>
      </c>
      <c r="AG31" s="203" t="str">
        <f t="shared" si="2"/>
        <v>OK</v>
      </c>
      <c r="AH31" s="226"/>
      <c r="AI31" s="230"/>
      <c r="AJ31" s="183" t="str">
        <f t="shared" si="133"/>
        <v/>
      </c>
      <c r="AK31" s="203" t="str">
        <f t="shared" si="4"/>
        <v>OK</v>
      </c>
      <c r="AL31" s="226"/>
      <c r="AM31" s="230"/>
      <c r="AN31" s="183" t="str">
        <f t="shared" si="134"/>
        <v/>
      </c>
      <c r="AO31" s="203" t="str">
        <f t="shared" si="6"/>
        <v>OK</v>
      </c>
      <c r="AP31" s="226"/>
      <c r="AQ31" s="230"/>
      <c r="AR31" s="183" t="str">
        <f t="shared" si="135"/>
        <v/>
      </c>
      <c r="AS31" s="203" t="str">
        <f t="shared" si="8"/>
        <v>OK</v>
      </c>
      <c r="AT31" s="226"/>
      <c r="AU31" s="230"/>
      <c r="AV31" s="183" t="str">
        <f t="shared" si="136"/>
        <v/>
      </c>
      <c r="AW31" s="203" t="str">
        <f t="shared" si="10"/>
        <v>OK</v>
      </c>
      <c r="AX31" s="226"/>
      <c r="AY31" s="230"/>
      <c r="AZ31" s="183" t="str">
        <f t="shared" si="137"/>
        <v/>
      </c>
      <c r="BA31" s="203" t="str">
        <f t="shared" si="12"/>
        <v>OK</v>
      </c>
      <c r="BB31" s="226"/>
      <c r="BC31" s="230"/>
      <c r="BD31" s="183" t="str">
        <f t="shared" si="138"/>
        <v/>
      </c>
      <c r="BE31" s="203" t="str">
        <f t="shared" si="14"/>
        <v>OK</v>
      </c>
      <c r="BF31" s="226"/>
      <c r="BG31" s="230"/>
      <c r="BH31" s="183" t="str">
        <f t="shared" si="139"/>
        <v/>
      </c>
      <c r="BI31" s="203" t="str">
        <f t="shared" si="16"/>
        <v>OK</v>
      </c>
      <c r="BJ31" s="226"/>
      <c r="BK31" s="230"/>
      <c r="BL31" s="183" t="str">
        <f t="shared" si="140"/>
        <v/>
      </c>
      <c r="BM31" s="203" t="str">
        <f t="shared" si="18"/>
        <v>OK</v>
      </c>
      <c r="BN31" s="226"/>
      <c r="BO31" s="230"/>
      <c r="BP31" s="183" t="str">
        <f t="shared" si="141"/>
        <v/>
      </c>
      <c r="BQ31" s="203" t="str">
        <f t="shared" si="20"/>
        <v>OK</v>
      </c>
      <c r="BR31" s="226"/>
      <c r="BS31" s="230"/>
      <c r="BT31" s="183" t="str">
        <f t="shared" si="142"/>
        <v/>
      </c>
      <c r="BU31" s="203" t="str">
        <f t="shared" si="22"/>
        <v>OK</v>
      </c>
      <c r="BV31" s="226"/>
      <c r="BW31" s="230"/>
      <c r="BX31" s="183" t="str">
        <f t="shared" si="143"/>
        <v/>
      </c>
      <c r="BY31" s="203" t="str">
        <f t="shared" si="24"/>
        <v>OK</v>
      </c>
      <c r="BZ31" s="226"/>
      <c r="CA31" s="230"/>
      <c r="CB31" s="183" t="str">
        <f t="shared" si="144"/>
        <v/>
      </c>
      <c r="CC31" s="203" t="str">
        <f t="shared" si="26"/>
        <v>OK</v>
      </c>
      <c r="CD31" s="226"/>
      <c r="CE31" s="230"/>
      <c r="CF31" s="183" t="str">
        <f t="shared" si="145"/>
        <v/>
      </c>
      <c r="CG31" s="203" t="str">
        <f t="shared" si="28"/>
        <v>OK</v>
      </c>
      <c r="CH31" s="226"/>
      <c r="CI31" s="230"/>
      <c r="CJ31" s="183" t="str">
        <f t="shared" si="146"/>
        <v/>
      </c>
      <c r="CK31" s="203" t="str">
        <f t="shared" si="30"/>
        <v>OK</v>
      </c>
      <c r="CL31" s="226"/>
      <c r="CM31" s="230"/>
      <c r="CN31" s="183" t="str">
        <f t="shared" si="147"/>
        <v/>
      </c>
      <c r="CO31" s="203" t="str">
        <f t="shared" si="32"/>
        <v>OK</v>
      </c>
      <c r="CP31" s="226"/>
      <c r="CQ31" s="230"/>
      <c r="CR31" s="183" t="str">
        <f t="shared" si="148"/>
        <v/>
      </c>
      <c r="CS31" s="203" t="str">
        <f t="shared" si="34"/>
        <v>OK</v>
      </c>
      <c r="CT31" s="226"/>
      <c r="CU31" s="230"/>
      <c r="CV31" s="183" t="str">
        <f t="shared" si="149"/>
        <v/>
      </c>
      <c r="CW31" s="203" t="str">
        <f t="shared" si="36"/>
        <v>OK</v>
      </c>
      <c r="CX31" s="226"/>
      <c r="CY31" s="230"/>
      <c r="CZ31" s="183" t="str">
        <f t="shared" si="150"/>
        <v/>
      </c>
      <c r="DA31" s="203" t="str">
        <f t="shared" si="38"/>
        <v>OK</v>
      </c>
      <c r="DB31" s="226"/>
      <c r="DC31" s="230"/>
      <c r="DD31" s="183" t="str">
        <f t="shared" si="151"/>
        <v/>
      </c>
      <c r="DE31" s="203" t="str">
        <f t="shared" si="40"/>
        <v>OK</v>
      </c>
      <c r="DF31" s="226"/>
      <c r="DG31" s="230"/>
      <c r="DH31" s="183" t="str">
        <f t="shared" si="152"/>
        <v/>
      </c>
      <c r="DI31" s="203" t="str">
        <f t="shared" si="42"/>
        <v>OK</v>
      </c>
      <c r="DJ31" s="226"/>
      <c r="DK31" s="230"/>
      <c r="DL31" s="183" t="str">
        <f t="shared" si="153"/>
        <v/>
      </c>
      <c r="DM31" s="203" t="str">
        <f t="shared" si="44"/>
        <v>OK</v>
      </c>
      <c r="DN31" s="226"/>
      <c r="DO31" s="230"/>
      <c r="DP31" s="183" t="str">
        <f t="shared" si="154"/>
        <v/>
      </c>
      <c r="DQ31" s="203" t="str">
        <f t="shared" si="46"/>
        <v>OK</v>
      </c>
      <c r="DR31" s="226"/>
      <c r="DS31" s="230"/>
      <c r="DT31" s="183" t="str">
        <f t="shared" si="155"/>
        <v/>
      </c>
      <c r="DU31" s="203" t="str">
        <f t="shared" si="48"/>
        <v>OK</v>
      </c>
      <c r="DV31" s="226"/>
      <c r="DW31" s="230"/>
      <c r="DX31" s="183" t="str">
        <f t="shared" si="156"/>
        <v/>
      </c>
      <c r="DY31" s="203" t="str">
        <f t="shared" si="50"/>
        <v>OK</v>
      </c>
      <c r="DZ31" s="226"/>
      <c r="EA31" s="230"/>
      <c r="EB31" s="183" t="str">
        <f t="shared" si="157"/>
        <v/>
      </c>
      <c r="EC31" s="203" t="str">
        <f t="shared" si="52"/>
        <v>OK</v>
      </c>
      <c r="ED31" s="226"/>
      <c r="EE31" s="230"/>
      <c r="EF31" s="183" t="str">
        <f t="shared" si="158"/>
        <v/>
      </c>
      <c r="EG31" s="203" t="str">
        <f t="shared" si="54"/>
        <v>OK</v>
      </c>
      <c r="EH31" s="226"/>
      <c r="EI31" s="230"/>
      <c r="EJ31" s="183" t="str">
        <f t="shared" si="159"/>
        <v/>
      </c>
      <c r="EK31" s="203" t="str">
        <f t="shared" si="56"/>
        <v>OK</v>
      </c>
      <c r="EL31" s="226"/>
      <c r="EM31" s="230"/>
      <c r="EN31" s="183" t="str">
        <f t="shared" si="160"/>
        <v/>
      </c>
      <c r="EO31" s="203" t="str">
        <f t="shared" si="58"/>
        <v>OK</v>
      </c>
      <c r="EP31" s="226"/>
      <c r="EQ31" s="230"/>
      <c r="ER31" s="183" t="str">
        <f t="shared" si="161"/>
        <v/>
      </c>
      <c r="ES31" s="203" t="str">
        <f t="shared" si="60"/>
        <v>OK</v>
      </c>
      <c r="ET31" s="226"/>
      <c r="EU31" s="230"/>
      <c r="EV31" s="183" t="str">
        <f t="shared" si="162"/>
        <v/>
      </c>
      <c r="EW31" s="203" t="str">
        <f t="shared" si="62"/>
        <v>OK</v>
      </c>
      <c r="EX31" s="226"/>
      <c r="EY31" s="230"/>
      <c r="EZ31" s="183" t="str">
        <f t="shared" si="163"/>
        <v/>
      </c>
      <c r="FA31" s="203" t="str">
        <f t="shared" si="64"/>
        <v>OK</v>
      </c>
      <c r="FB31" s="226"/>
      <c r="FC31" s="230"/>
      <c r="FD31" s="183" t="str">
        <f t="shared" si="164"/>
        <v/>
      </c>
      <c r="FE31" s="203" t="str">
        <f t="shared" si="66"/>
        <v>OK</v>
      </c>
      <c r="FF31" s="226"/>
      <c r="FG31" s="230"/>
      <c r="FH31" s="183" t="str">
        <f t="shared" si="165"/>
        <v/>
      </c>
      <c r="FI31" s="203" t="str">
        <f t="shared" si="68"/>
        <v>OK</v>
      </c>
      <c r="FJ31" s="226"/>
      <c r="FK31" s="230"/>
      <c r="FL31" s="183" t="str">
        <f t="shared" si="166"/>
        <v/>
      </c>
      <c r="FM31" s="203" t="str">
        <f t="shared" si="70"/>
        <v>OK</v>
      </c>
      <c r="FN31" s="226"/>
      <c r="FO31" s="230"/>
      <c r="FP31" s="183" t="str">
        <f t="shared" si="167"/>
        <v/>
      </c>
      <c r="FQ31" s="203" t="str">
        <f t="shared" si="72"/>
        <v>OK</v>
      </c>
      <c r="FR31" s="226"/>
      <c r="FS31" s="230"/>
      <c r="FT31" s="183" t="str">
        <f t="shared" si="168"/>
        <v/>
      </c>
      <c r="FU31" s="203" t="str">
        <f t="shared" si="74"/>
        <v>OK</v>
      </c>
      <c r="FV31" s="226"/>
      <c r="FW31" s="230"/>
      <c r="FX31" s="183" t="str">
        <f t="shared" si="169"/>
        <v/>
      </c>
      <c r="FY31" s="203" t="str">
        <f t="shared" si="76"/>
        <v>OK</v>
      </c>
      <c r="FZ31" s="226"/>
      <c r="GA31" s="230"/>
      <c r="GB31" s="183" t="str">
        <f t="shared" si="170"/>
        <v/>
      </c>
      <c r="GC31" s="203" t="str">
        <f t="shared" si="78"/>
        <v>OK</v>
      </c>
      <c r="GD31" s="226"/>
      <c r="GE31" s="230"/>
      <c r="GF31" s="183" t="str">
        <f t="shared" si="171"/>
        <v/>
      </c>
      <c r="GG31" s="203" t="str">
        <f t="shared" si="80"/>
        <v>OK</v>
      </c>
      <c r="GH31" s="226"/>
      <c r="GI31" s="230"/>
      <c r="GJ31" s="183" t="str">
        <f t="shared" si="172"/>
        <v/>
      </c>
      <c r="GK31" s="203" t="str">
        <f t="shared" si="82"/>
        <v>OK</v>
      </c>
      <c r="GL31" s="226"/>
      <c r="GM31" s="230"/>
      <c r="GN31" s="183" t="str">
        <f t="shared" si="173"/>
        <v/>
      </c>
      <c r="GO31" s="203" t="str">
        <f t="shared" si="84"/>
        <v>OK</v>
      </c>
      <c r="GP31" s="226"/>
      <c r="GQ31" s="230"/>
      <c r="GR31" s="183" t="str">
        <f t="shared" si="174"/>
        <v/>
      </c>
      <c r="GS31" s="203" t="str">
        <f t="shared" si="86"/>
        <v>OK</v>
      </c>
      <c r="GT31" s="202"/>
      <c r="GU31" s="202"/>
      <c r="GV31" s="255"/>
      <c r="GW31" s="255"/>
      <c r="GX31" s="255"/>
    </row>
    <row r="32" spans="1:206">
      <c r="A32" s="200" t="s">
        <v>336</v>
      </c>
      <c r="B32" s="225">
        <f t="shared" si="130"/>
        <v>25</v>
      </c>
      <c r="C32" s="229"/>
      <c r="D32" s="229"/>
      <c r="E32" s="228"/>
      <c r="F32" s="222" t="s">
        <v>416</v>
      </c>
      <c r="G32" s="221"/>
      <c r="H32" s="220"/>
      <c r="I32" s="209"/>
      <c r="J32" s="217" t="s">
        <v>23</v>
      </c>
      <c r="K32" s="219"/>
      <c r="L32" s="219"/>
      <c r="M32" s="218" t="s">
        <v>415</v>
      </c>
      <c r="N32" s="217"/>
      <c r="O32" s="216"/>
      <c r="P32" s="212"/>
      <c r="Q32" s="212"/>
      <c r="R32" s="215"/>
      <c r="S32" s="214"/>
      <c r="T32" s="212"/>
      <c r="U32" s="213"/>
      <c r="V32" s="212"/>
      <c r="W32" s="211" t="str">
        <f t="shared" si="131"/>
        <v>3</v>
      </c>
      <c r="X32" s="210" t="s">
        <v>414</v>
      </c>
      <c r="Y32" s="210">
        <v>8</v>
      </c>
      <c r="Z32" s="210">
        <v>8</v>
      </c>
      <c r="AA32" s="209">
        <v>9</v>
      </c>
      <c r="AB32" s="209" t="s">
        <v>306</v>
      </c>
      <c r="AC32" s="207"/>
      <c r="AD32" s="226" t="s">
        <v>573</v>
      </c>
      <c r="AE32" s="230"/>
      <c r="AF32" s="183" t="str">
        <f t="shared" si="132"/>
        <v/>
      </c>
      <c r="AG32" s="203" t="str">
        <f t="shared" si="2"/>
        <v>OK</v>
      </c>
      <c r="AH32" s="226" t="s">
        <v>573</v>
      </c>
      <c r="AI32" s="230"/>
      <c r="AJ32" s="183" t="str">
        <f t="shared" si="133"/>
        <v/>
      </c>
      <c r="AK32" s="203" t="str">
        <f t="shared" si="4"/>
        <v>OK</v>
      </c>
      <c r="AL32" s="226" t="s">
        <v>573</v>
      </c>
      <c r="AM32" s="230"/>
      <c r="AN32" s="183" t="str">
        <f t="shared" si="134"/>
        <v/>
      </c>
      <c r="AO32" s="203" t="str">
        <f t="shared" si="6"/>
        <v>OK</v>
      </c>
      <c r="AP32" s="226" t="s">
        <v>573</v>
      </c>
      <c r="AQ32" s="230"/>
      <c r="AR32" s="183" t="str">
        <f t="shared" si="135"/>
        <v/>
      </c>
      <c r="AS32" s="203" t="str">
        <f t="shared" si="8"/>
        <v>OK</v>
      </c>
      <c r="AT32" s="226" t="s">
        <v>573</v>
      </c>
      <c r="AU32" s="230"/>
      <c r="AV32" s="183" t="str">
        <f t="shared" si="136"/>
        <v/>
      </c>
      <c r="AW32" s="203" t="str">
        <f t="shared" si="10"/>
        <v>OK</v>
      </c>
      <c r="AX32" s="226" t="s">
        <v>573</v>
      </c>
      <c r="AY32" s="230"/>
      <c r="AZ32" s="183" t="str">
        <f t="shared" si="137"/>
        <v/>
      </c>
      <c r="BA32" s="203" t="str">
        <f t="shared" si="12"/>
        <v>OK</v>
      </c>
      <c r="BB32" s="226" t="s">
        <v>573</v>
      </c>
      <c r="BC32" s="230"/>
      <c r="BD32" s="183" t="str">
        <f t="shared" si="138"/>
        <v/>
      </c>
      <c r="BE32" s="203" t="str">
        <f t="shared" si="14"/>
        <v>OK</v>
      </c>
      <c r="BF32" s="226" t="s">
        <v>573</v>
      </c>
      <c r="BG32" s="230"/>
      <c r="BH32" s="183" t="str">
        <f t="shared" si="139"/>
        <v/>
      </c>
      <c r="BI32" s="203" t="str">
        <f t="shared" si="16"/>
        <v>OK</v>
      </c>
      <c r="BJ32" s="226" t="s">
        <v>573</v>
      </c>
      <c r="BK32" s="230"/>
      <c r="BL32" s="183" t="str">
        <f t="shared" si="140"/>
        <v/>
      </c>
      <c r="BM32" s="203" t="str">
        <f t="shared" si="18"/>
        <v>OK</v>
      </c>
      <c r="BN32" s="226" t="s">
        <v>573</v>
      </c>
      <c r="BO32" s="230"/>
      <c r="BP32" s="183" t="str">
        <f t="shared" si="141"/>
        <v/>
      </c>
      <c r="BQ32" s="203" t="str">
        <f t="shared" si="20"/>
        <v>OK</v>
      </c>
      <c r="BR32" s="226" t="s">
        <v>573</v>
      </c>
      <c r="BS32" s="230"/>
      <c r="BT32" s="183" t="str">
        <f t="shared" si="142"/>
        <v/>
      </c>
      <c r="BU32" s="203" t="str">
        <f t="shared" si="22"/>
        <v>OK</v>
      </c>
      <c r="BV32" s="226" t="s">
        <v>573</v>
      </c>
      <c r="BW32" s="230"/>
      <c r="BX32" s="183" t="str">
        <f t="shared" si="143"/>
        <v/>
      </c>
      <c r="BY32" s="203" t="str">
        <f t="shared" si="24"/>
        <v>OK</v>
      </c>
      <c r="BZ32" s="226" t="s">
        <v>573</v>
      </c>
      <c r="CA32" s="230"/>
      <c r="CB32" s="183" t="str">
        <f t="shared" si="144"/>
        <v/>
      </c>
      <c r="CC32" s="203" t="str">
        <f t="shared" si="26"/>
        <v>OK</v>
      </c>
      <c r="CD32" s="226" t="s">
        <v>573</v>
      </c>
      <c r="CE32" s="230"/>
      <c r="CF32" s="183" t="str">
        <f t="shared" si="145"/>
        <v/>
      </c>
      <c r="CG32" s="203" t="str">
        <f t="shared" si="28"/>
        <v>OK</v>
      </c>
      <c r="CH32" s="226" t="s">
        <v>573</v>
      </c>
      <c r="CI32" s="230"/>
      <c r="CJ32" s="183" t="str">
        <f t="shared" si="146"/>
        <v/>
      </c>
      <c r="CK32" s="203" t="str">
        <f t="shared" si="30"/>
        <v>OK</v>
      </c>
      <c r="CL32" s="226" t="s">
        <v>573</v>
      </c>
      <c r="CM32" s="230"/>
      <c r="CN32" s="183" t="str">
        <f t="shared" si="147"/>
        <v/>
      </c>
      <c r="CO32" s="203" t="str">
        <f t="shared" si="32"/>
        <v>OK</v>
      </c>
      <c r="CP32" s="226" t="s">
        <v>573</v>
      </c>
      <c r="CQ32" s="230"/>
      <c r="CR32" s="183" t="str">
        <f t="shared" si="148"/>
        <v/>
      </c>
      <c r="CS32" s="203" t="str">
        <f t="shared" si="34"/>
        <v>OK</v>
      </c>
      <c r="CT32" s="226" t="s">
        <v>573</v>
      </c>
      <c r="CU32" s="230"/>
      <c r="CV32" s="183" t="str">
        <f t="shared" si="149"/>
        <v/>
      </c>
      <c r="CW32" s="203" t="str">
        <f t="shared" si="36"/>
        <v>OK</v>
      </c>
      <c r="CX32" s="226" t="s">
        <v>573</v>
      </c>
      <c r="CY32" s="230"/>
      <c r="CZ32" s="183" t="str">
        <f t="shared" si="150"/>
        <v/>
      </c>
      <c r="DA32" s="203" t="str">
        <f t="shared" si="38"/>
        <v>OK</v>
      </c>
      <c r="DB32" s="226" t="s">
        <v>573</v>
      </c>
      <c r="DC32" s="230"/>
      <c r="DD32" s="183" t="str">
        <f t="shared" si="151"/>
        <v/>
      </c>
      <c r="DE32" s="203" t="str">
        <f t="shared" si="40"/>
        <v>OK</v>
      </c>
      <c r="DF32" s="226" t="s">
        <v>573</v>
      </c>
      <c r="DG32" s="230"/>
      <c r="DH32" s="183" t="str">
        <f t="shared" si="152"/>
        <v/>
      </c>
      <c r="DI32" s="203" t="str">
        <f t="shared" si="42"/>
        <v>OK</v>
      </c>
      <c r="DJ32" s="226" t="s">
        <v>573</v>
      </c>
      <c r="DK32" s="230"/>
      <c r="DL32" s="183" t="str">
        <f t="shared" si="153"/>
        <v/>
      </c>
      <c r="DM32" s="203" t="str">
        <f t="shared" si="44"/>
        <v>OK</v>
      </c>
      <c r="DN32" s="226" t="s">
        <v>573</v>
      </c>
      <c r="DO32" s="230"/>
      <c r="DP32" s="183" t="str">
        <f t="shared" si="154"/>
        <v/>
      </c>
      <c r="DQ32" s="203" t="str">
        <f t="shared" si="46"/>
        <v>OK</v>
      </c>
      <c r="DR32" s="226" t="s">
        <v>573</v>
      </c>
      <c r="DS32" s="230"/>
      <c r="DT32" s="183" t="str">
        <f t="shared" si="155"/>
        <v/>
      </c>
      <c r="DU32" s="203" t="str">
        <f t="shared" si="48"/>
        <v>OK</v>
      </c>
      <c r="DV32" s="226" t="s">
        <v>573</v>
      </c>
      <c r="DW32" s="230"/>
      <c r="DX32" s="183" t="str">
        <f t="shared" si="156"/>
        <v/>
      </c>
      <c r="DY32" s="203" t="str">
        <f t="shared" si="50"/>
        <v>OK</v>
      </c>
      <c r="DZ32" s="226" t="s">
        <v>573</v>
      </c>
      <c r="EA32" s="230"/>
      <c r="EB32" s="183" t="str">
        <f t="shared" si="157"/>
        <v/>
      </c>
      <c r="EC32" s="203" t="str">
        <f t="shared" si="52"/>
        <v>OK</v>
      </c>
      <c r="ED32" s="226" t="s">
        <v>573</v>
      </c>
      <c r="EE32" s="230"/>
      <c r="EF32" s="183" t="str">
        <f t="shared" si="158"/>
        <v/>
      </c>
      <c r="EG32" s="203" t="str">
        <f t="shared" si="54"/>
        <v>OK</v>
      </c>
      <c r="EH32" s="226" t="s">
        <v>573</v>
      </c>
      <c r="EI32" s="230"/>
      <c r="EJ32" s="183" t="str">
        <f t="shared" si="159"/>
        <v/>
      </c>
      <c r="EK32" s="203" t="str">
        <f t="shared" si="56"/>
        <v>OK</v>
      </c>
      <c r="EL32" s="226" t="s">
        <v>573</v>
      </c>
      <c r="EM32" s="230"/>
      <c r="EN32" s="183" t="str">
        <f t="shared" si="160"/>
        <v/>
      </c>
      <c r="EO32" s="203" t="str">
        <f t="shared" si="58"/>
        <v>OK</v>
      </c>
      <c r="EP32" s="226" t="s">
        <v>573</v>
      </c>
      <c r="EQ32" s="230"/>
      <c r="ER32" s="183" t="str">
        <f t="shared" si="161"/>
        <v/>
      </c>
      <c r="ES32" s="203" t="str">
        <f t="shared" si="60"/>
        <v>OK</v>
      </c>
      <c r="ET32" s="226" t="s">
        <v>573</v>
      </c>
      <c r="EU32" s="230"/>
      <c r="EV32" s="183" t="str">
        <f t="shared" si="162"/>
        <v/>
      </c>
      <c r="EW32" s="203" t="str">
        <f t="shared" si="62"/>
        <v>OK</v>
      </c>
      <c r="EX32" s="226" t="s">
        <v>573</v>
      </c>
      <c r="EY32" s="230"/>
      <c r="EZ32" s="183" t="str">
        <f t="shared" si="163"/>
        <v/>
      </c>
      <c r="FA32" s="203" t="str">
        <f t="shared" si="64"/>
        <v>OK</v>
      </c>
      <c r="FB32" s="226" t="s">
        <v>573</v>
      </c>
      <c r="FC32" s="230"/>
      <c r="FD32" s="183" t="str">
        <f t="shared" si="164"/>
        <v/>
      </c>
      <c r="FE32" s="203" t="str">
        <f t="shared" si="66"/>
        <v>OK</v>
      </c>
      <c r="FF32" s="226" t="s">
        <v>573</v>
      </c>
      <c r="FG32" s="230"/>
      <c r="FH32" s="183" t="str">
        <f t="shared" si="165"/>
        <v/>
      </c>
      <c r="FI32" s="203" t="str">
        <f t="shared" si="68"/>
        <v>OK</v>
      </c>
      <c r="FJ32" s="226" t="s">
        <v>573</v>
      </c>
      <c r="FK32" s="230"/>
      <c r="FL32" s="183" t="str">
        <f t="shared" si="166"/>
        <v/>
      </c>
      <c r="FM32" s="203" t="str">
        <f t="shared" si="70"/>
        <v>OK</v>
      </c>
      <c r="FN32" s="226" t="s">
        <v>573</v>
      </c>
      <c r="FO32" s="230"/>
      <c r="FP32" s="183" t="str">
        <f t="shared" si="167"/>
        <v/>
      </c>
      <c r="FQ32" s="203" t="str">
        <f t="shared" si="72"/>
        <v>OK</v>
      </c>
      <c r="FR32" s="226" t="s">
        <v>573</v>
      </c>
      <c r="FS32" s="230"/>
      <c r="FT32" s="183" t="str">
        <f t="shared" si="168"/>
        <v/>
      </c>
      <c r="FU32" s="203" t="str">
        <f t="shared" si="74"/>
        <v>OK</v>
      </c>
      <c r="FV32" s="226" t="s">
        <v>573</v>
      </c>
      <c r="FW32" s="230"/>
      <c r="FX32" s="183" t="str">
        <f t="shared" si="169"/>
        <v/>
      </c>
      <c r="FY32" s="203" t="str">
        <f t="shared" si="76"/>
        <v>OK</v>
      </c>
      <c r="FZ32" s="226" t="s">
        <v>573</v>
      </c>
      <c r="GA32" s="230"/>
      <c r="GB32" s="183" t="str">
        <f t="shared" si="170"/>
        <v/>
      </c>
      <c r="GC32" s="203" t="str">
        <f t="shared" si="78"/>
        <v>OK</v>
      </c>
      <c r="GD32" s="226" t="s">
        <v>573</v>
      </c>
      <c r="GE32" s="230"/>
      <c r="GF32" s="183" t="str">
        <f t="shared" si="171"/>
        <v/>
      </c>
      <c r="GG32" s="203" t="str">
        <f t="shared" si="80"/>
        <v>OK</v>
      </c>
      <c r="GH32" s="226" t="s">
        <v>573</v>
      </c>
      <c r="GI32" s="230"/>
      <c r="GJ32" s="183" t="str">
        <f t="shared" si="172"/>
        <v/>
      </c>
      <c r="GK32" s="203" t="str">
        <f t="shared" si="82"/>
        <v>OK</v>
      </c>
      <c r="GL32" s="226" t="s">
        <v>573</v>
      </c>
      <c r="GM32" s="230"/>
      <c r="GN32" s="183" t="str">
        <f t="shared" si="173"/>
        <v/>
      </c>
      <c r="GO32" s="203" t="str">
        <f t="shared" si="84"/>
        <v>OK</v>
      </c>
      <c r="GP32" s="226" t="s">
        <v>573</v>
      </c>
      <c r="GQ32" s="230"/>
      <c r="GR32" s="183" t="str">
        <f t="shared" si="174"/>
        <v/>
      </c>
      <c r="GS32" s="203" t="str">
        <f t="shared" si="86"/>
        <v>OK</v>
      </c>
      <c r="GT32" s="202"/>
      <c r="GU32" s="202"/>
      <c r="GV32" s="255"/>
      <c r="GW32" s="255"/>
      <c r="GX32" s="255"/>
    </row>
    <row r="33" spans="1:206">
      <c r="A33" s="200" t="s">
        <v>336</v>
      </c>
      <c r="B33" s="225">
        <f t="shared" si="130"/>
        <v>26</v>
      </c>
      <c r="C33" s="229"/>
      <c r="D33" s="229"/>
      <c r="E33" s="228"/>
      <c r="F33" s="222" t="s">
        <v>413</v>
      </c>
      <c r="G33" s="221"/>
      <c r="H33" s="220"/>
      <c r="I33" s="209"/>
      <c r="J33" s="217" t="s">
        <v>23</v>
      </c>
      <c r="K33" s="219"/>
      <c r="L33" s="219"/>
      <c r="M33" s="218" t="s">
        <v>412</v>
      </c>
      <c r="N33" s="217"/>
      <c r="O33" s="216"/>
      <c r="P33" s="212"/>
      <c r="Q33" s="212"/>
      <c r="R33" s="215"/>
      <c r="S33" s="214"/>
      <c r="T33" s="212"/>
      <c r="U33" s="213"/>
      <c r="V33" s="212"/>
      <c r="W33" s="211" t="str">
        <f t="shared" si="131"/>
        <v>3</v>
      </c>
      <c r="X33" s="210" t="s">
        <v>411</v>
      </c>
      <c r="Y33" s="210">
        <v>6</v>
      </c>
      <c r="Z33" s="210">
        <v>6</v>
      </c>
      <c r="AA33" s="209">
        <v>9</v>
      </c>
      <c r="AB33" s="209" t="s">
        <v>306</v>
      </c>
      <c r="AC33" s="207"/>
      <c r="AD33" s="226" t="s">
        <v>268</v>
      </c>
      <c r="AE33" s="230"/>
      <c r="AF33" s="183" t="str">
        <f t="shared" si="132"/>
        <v/>
      </c>
      <c r="AG33" s="203" t="str">
        <f t="shared" si="2"/>
        <v>OK</v>
      </c>
      <c r="AH33" s="226" t="s">
        <v>268</v>
      </c>
      <c r="AI33" s="230"/>
      <c r="AJ33" s="183" t="str">
        <f t="shared" si="133"/>
        <v/>
      </c>
      <c r="AK33" s="203" t="str">
        <f t="shared" si="4"/>
        <v>OK</v>
      </c>
      <c r="AL33" s="226" t="s">
        <v>268</v>
      </c>
      <c r="AM33" s="230"/>
      <c r="AN33" s="183" t="str">
        <f t="shared" si="134"/>
        <v/>
      </c>
      <c r="AO33" s="203" t="str">
        <f t="shared" si="6"/>
        <v>OK</v>
      </c>
      <c r="AP33" s="226" t="s">
        <v>268</v>
      </c>
      <c r="AQ33" s="230"/>
      <c r="AR33" s="183" t="str">
        <f t="shared" si="135"/>
        <v/>
      </c>
      <c r="AS33" s="203" t="str">
        <f t="shared" si="8"/>
        <v>OK</v>
      </c>
      <c r="AT33" s="226" t="s">
        <v>268</v>
      </c>
      <c r="AU33" s="230"/>
      <c r="AV33" s="183" t="str">
        <f t="shared" si="136"/>
        <v/>
      </c>
      <c r="AW33" s="203" t="str">
        <f t="shared" si="10"/>
        <v>OK</v>
      </c>
      <c r="AX33" s="226" t="s">
        <v>268</v>
      </c>
      <c r="AY33" s="230"/>
      <c r="AZ33" s="183" t="str">
        <f t="shared" si="137"/>
        <v/>
      </c>
      <c r="BA33" s="203" t="str">
        <f t="shared" si="12"/>
        <v>OK</v>
      </c>
      <c r="BB33" s="226" t="s">
        <v>268</v>
      </c>
      <c r="BC33" s="230"/>
      <c r="BD33" s="183" t="str">
        <f t="shared" si="138"/>
        <v/>
      </c>
      <c r="BE33" s="203" t="str">
        <f t="shared" si="14"/>
        <v>OK</v>
      </c>
      <c r="BF33" s="226" t="s">
        <v>268</v>
      </c>
      <c r="BG33" s="230"/>
      <c r="BH33" s="183" t="str">
        <f t="shared" si="139"/>
        <v/>
      </c>
      <c r="BI33" s="203" t="str">
        <f t="shared" si="16"/>
        <v>OK</v>
      </c>
      <c r="BJ33" s="226" t="s">
        <v>268</v>
      </c>
      <c r="BK33" s="230"/>
      <c r="BL33" s="183" t="str">
        <f t="shared" si="140"/>
        <v/>
      </c>
      <c r="BM33" s="203" t="str">
        <f t="shared" si="18"/>
        <v>OK</v>
      </c>
      <c r="BN33" s="226" t="s">
        <v>268</v>
      </c>
      <c r="BO33" s="230"/>
      <c r="BP33" s="183" t="str">
        <f t="shared" si="141"/>
        <v/>
      </c>
      <c r="BQ33" s="203" t="str">
        <f t="shared" si="20"/>
        <v>OK</v>
      </c>
      <c r="BR33" s="226" t="s">
        <v>268</v>
      </c>
      <c r="BS33" s="230"/>
      <c r="BT33" s="183" t="str">
        <f t="shared" si="142"/>
        <v/>
      </c>
      <c r="BU33" s="203" t="str">
        <f t="shared" si="22"/>
        <v>OK</v>
      </c>
      <c r="BV33" s="226" t="s">
        <v>268</v>
      </c>
      <c r="BW33" s="230"/>
      <c r="BX33" s="183" t="str">
        <f t="shared" si="143"/>
        <v/>
      </c>
      <c r="BY33" s="203" t="str">
        <f t="shared" si="24"/>
        <v>OK</v>
      </c>
      <c r="BZ33" s="226" t="s">
        <v>268</v>
      </c>
      <c r="CA33" s="230"/>
      <c r="CB33" s="183" t="str">
        <f t="shared" si="144"/>
        <v/>
      </c>
      <c r="CC33" s="203" t="str">
        <f t="shared" si="26"/>
        <v>OK</v>
      </c>
      <c r="CD33" s="226" t="s">
        <v>268</v>
      </c>
      <c r="CE33" s="230"/>
      <c r="CF33" s="183" t="str">
        <f t="shared" si="145"/>
        <v/>
      </c>
      <c r="CG33" s="203" t="str">
        <f t="shared" si="28"/>
        <v>OK</v>
      </c>
      <c r="CH33" s="226" t="s">
        <v>268</v>
      </c>
      <c r="CI33" s="230"/>
      <c r="CJ33" s="183" t="str">
        <f t="shared" si="146"/>
        <v/>
      </c>
      <c r="CK33" s="203" t="str">
        <f t="shared" si="30"/>
        <v>OK</v>
      </c>
      <c r="CL33" s="226" t="s">
        <v>268</v>
      </c>
      <c r="CM33" s="230"/>
      <c r="CN33" s="183" t="str">
        <f t="shared" si="147"/>
        <v/>
      </c>
      <c r="CO33" s="203" t="str">
        <f t="shared" si="32"/>
        <v>OK</v>
      </c>
      <c r="CP33" s="226" t="s">
        <v>268</v>
      </c>
      <c r="CQ33" s="230"/>
      <c r="CR33" s="183" t="str">
        <f t="shared" si="148"/>
        <v/>
      </c>
      <c r="CS33" s="203" t="str">
        <f t="shared" si="34"/>
        <v>OK</v>
      </c>
      <c r="CT33" s="226" t="s">
        <v>268</v>
      </c>
      <c r="CU33" s="230"/>
      <c r="CV33" s="183" t="str">
        <f t="shared" si="149"/>
        <v/>
      </c>
      <c r="CW33" s="203" t="str">
        <f t="shared" si="36"/>
        <v>OK</v>
      </c>
      <c r="CX33" s="226" t="s">
        <v>268</v>
      </c>
      <c r="CY33" s="230"/>
      <c r="CZ33" s="183" t="str">
        <f t="shared" si="150"/>
        <v/>
      </c>
      <c r="DA33" s="203" t="str">
        <f t="shared" si="38"/>
        <v>OK</v>
      </c>
      <c r="DB33" s="226" t="s">
        <v>268</v>
      </c>
      <c r="DC33" s="230"/>
      <c r="DD33" s="183" t="str">
        <f t="shared" si="151"/>
        <v/>
      </c>
      <c r="DE33" s="203" t="str">
        <f t="shared" si="40"/>
        <v>OK</v>
      </c>
      <c r="DF33" s="226" t="s">
        <v>268</v>
      </c>
      <c r="DG33" s="230"/>
      <c r="DH33" s="183" t="str">
        <f t="shared" si="152"/>
        <v/>
      </c>
      <c r="DI33" s="203" t="str">
        <f t="shared" si="42"/>
        <v>OK</v>
      </c>
      <c r="DJ33" s="226" t="s">
        <v>268</v>
      </c>
      <c r="DK33" s="230"/>
      <c r="DL33" s="183" t="str">
        <f t="shared" si="153"/>
        <v/>
      </c>
      <c r="DM33" s="203" t="str">
        <f t="shared" si="44"/>
        <v>OK</v>
      </c>
      <c r="DN33" s="226" t="s">
        <v>268</v>
      </c>
      <c r="DO33" s="230"/>
      <c r="DP33" s="183" t="str">
        <f t="shared" si="154"/>
        <v/>
      </c>
      <c r="DQ33" s="203" t="str">
        <f t="shared" si="46"/>
        <v>OK</v>
      </c>
      <c r="DR33" s="226" t="s">
        <v>268</v>
      </c>
      <c r="DS33" s="230"/>
      <c r="DT33" s="183" t="str">
        <f t="shared" si="155"/>
        <v/>
      </c>
      <c r="DU33" s="203" t="str">
        <f t="shared" si="48"/>
        <v>OK</v>
      </c>
      <c r="DV33" s="226" t="s">
        <v>268</v>
      </c>
      <c r="DW33" s="230"/>
      <c r="DX33" s="183" t="str">
        <f t="shared" si="156"/>
        <v/>
      </c>
      <c r="DY33" s="203" t="str">
        <f t="shared" si="50"/>
        <v>OK</v>
      </c>
      <c r="DZ33" s="226" t="s">
        <v>268</v>
      </c>
      <c r="EA33" s="230"/>
      <c r="EB33" s="183" t="str">
        <f t="shared" si="157"/>
        <v/>
      </c>
      <c r="EC33" s="203" t="str">
        <f t="shared" si="52"/>
        <v>OK</v>
      </c>
      <c r="ED33" s="226" t="s">
        <v>268</v>
      </c>
      <c r="EE33" s="230"/>
      <c r="EF33" s="183" t="str">
        <f t="shared" si="158"/>
        <v/>
      </c>
      <c r="EG33" s="203" t="str">
        <f t="shared" si="54"/>
        <v>OK</v>
      </c>
      <c r="EH33" s="226" t="s">
        <v>268</v>
      </c>
      <c r="EI33" s="230"/>
      <c r="EJ33" s="183" t="str">
        <f t="shared" si="159"/>
        <v/>
      </c>
      <c r="EK33" s="203" t="str">
        <f t="shared" si="56"/>
        <v>OK</v>
      </c>
      <c r="EL33" s="226" t="s">
        <v>268</v>
      </c>
      <c r="EM33" s="230"/>
      <c r="EN33" s="183" t="str">
        <f t="shared" si="160"/>
        <v/>
      </c>
      <c r="EO33" s="203" t="str">
        <f t="shared" si="58"/>
        <v>OK</v>
      </c>
      <c r="EP33" s="226" t="s">
        <v>268</v>
      </c>
      <c r="EQ33" s="230"/>
      <c r="ER33" s="183" t="str">
        <f t="shared" si="161"/>
        <v/>
      </c>
      <c r="ES33" s="203" t="str">
        <f t="shared" si="60"/>
        <v>OK</v>
      </c>
      <c r="ET33" s="226" t="s">
        <v>268</v>
      </c>
      <c r="EU33" s="230"/>
      <c r="EV33" s="183" t="str">
        <f t="shared" si="162"/>
        <v/>
      </c>
      <c r="EW33" s="203" t="str">
        <f t="shared" si="62"/>
        <v>OK</v>
      </c>
      <c r="EX33" s="226" t="s">
        <v>268</v>
      </c>
      <c r="EY33" s="230"/>
      <c r="EZ33" s="183" t="str">
        <f t="shared" si="163"/>
        <v/>
      </c>
      <c r="FA33" s="203" t="str">
        <f t="shared" si="64"/>
        <v>OK</v>
      </c>
      <c r="FB33" s="226" t="s">
        <v>268</v>
      </c>
      <c r="FC33" s="230"/>
      <c r="FD33" s="183" t="str">
        <f t="shared" si="164"/>
        <v/>
      </c>
      <c r="FE33" s="203" t="str">
        <f t="shared" si="66"/>
        <v>OK</v>
      </c>
      <c r="FF33" s="226" t="s">
        <v>268</v>
      </c>
      <c r="FG33" s="230"/>
      <c r="FH33" s="183" t="str">
        <f t="shared" si="165"/>
        <v/>
      </c>
      <c r="FI33" s="203" t="str">
        <f t="shared" si="68"/>
        <v>OK</v>
      </c>
      <c r="FJ33" s="226" t="s">
        <v>268</v>
      </c>
      <c r="FK33" s="230"/>
      <c r="FL33" s="183" t="str">
        <f t="shared" si="166"/>
        <v/>
      </c>
      <c r="FM33" s="203" t="str">
        <f t="shared" si="70"/>
        <v>OK</v>
      </c>
      <c r="FN33" s="226" t="s">
        <v>268</v>
      </c>
      <c r="FO33" s="230"/>
      <c r="FP33" s="183" t="str">
        <f t="shared" si="167"/>
        <v/>
      </c>
      <c r="FQ33" s="203" t="str">
        <f t="shared" si="72"/>
        <v>OK</v>
      </c>
      <c r="FR33" s="226" t="s">
        <v>268</v>
      </c>
      <c r="FS33" s="230"/>
      <c r="FT33" s="183" t="str">
        <f t="shared" si="168"/>
        <v/>
      </c>
      <c r="FU33" s="203" t="str">
        <f t="shared" si="74"/>
        <v>OK</v>
      </c>
      <c r="FV33" s="226" t="s">
        <v>268</v>
      </c>
      <c r="FW33" s="230"/>
      <c r="FX33" s="183" t="str">
        <f t="shared" si="169"/>
        <v/>
      </c>
      <c r="FY33" s="203" t="str">
        <f t="shared" si="76"/>
        <v>OK</v>
      </c>
      <c r="FZ33" s="226" t="s">
        <v>268</v>
      </c>
      <c r="GA33" s="230"/>
      <c r="GB33" s="183" t="str">
        <f t="shared" si="170"/>
        <v/>
      </c>
      <c r="GC33" s="203" t="str">
        <f t="shared" si="78"/>
        <v>OK</v>
      </c>
      <c r="GD33" s="226" t="s">
        <v>268</v>
      </c>
      <c r="GE33" s="230"/>
      <c r="GF33" s="183" t="str">
        <f t="shared" si="171"/>
        <v/>
      </c>
      <c r="GG33" s="203" t="str">
        <f t="shared" si="80"/>
        <v>OK</v>
      </c>
      <c r="GH33" s="226" t="s">
        <v>268</v>
      </c>
      <c r="GI33" s="230"/>
      <c r="GJ33" s="183" t="str">
        <f t="shared" si="172"/>
        <v/>
      </c>
      <c r="GK33" s="203" t="str">
        <f t="shared" si="82"/>
        <v>OK</v>
      </c>
      <c r="GL33" s="226" t="s">
        <v>268</v>
      </c>
      <c r="GM33" s="230"/>
      <c r="GN33" s="183" t="str">
        <f t="shared" si="173"/>
        <v/>
      </c>
      <c r="GO33" s="203" t="str">
        <f t="shared" si="84"/>
        <v>OK</v>
      </c>
      <c r="GP33" s="226" t="s">
        <v>268</v>
      </c>
      <c r="GQ33" s="230"/>
      <c r="GR33" s="183" t="str">
        <f t="shared" si="174"/>
        <v/>
      </c>
      <c r="GS33" s="203" t="str">
        <f t="shared" si="86"/>
        <v>OK</v>
      </c>
      <c r="GT33" s="202"/>
      <c r="GU33" s="202"/>
      <c r="GV33" s="255"/>
      <c r="GW33" s="255"/>
      <c r="GX33" s="255"/>
    </row>
    <row r="34" spans="1:206">
      <c r="A34" s="200" t="s">
        <v>336</v>
      </c>
      <c r="B34" s="225">
        <f t="shared" si="130"/>
        <v>27</v>
      </c>
      <c r="C34" s="229"/>
      <c r="D34" s="229"/>
      <c r="E34" s="228"/>
      <c r="F34" s="222" t="s">
        <v>196</v>
      </c>
      <c r="G34" s="221"/>
      <c r="H34" s="220"/>
      <c r="I34" s="209"/>
      <c r="J34" s="217" t="s">
        <v>23</v>
      </c>
      <c r="K34" s="219"/>
      <c r="L34" s="219"/>
      <c r="M34" s="218"/>
      <c r="N34" s="217"/>
      <c r="O34" s="216"/>
      <c r="P34" s="212"/>
      <c r="Q34" s="212"/>
      <c r="R34" s="215"/>
      <c r="S34" s="214"/>
      <c r="T34" s="212"/>
      <c r="U34" s="213"/>
      <c r="V34" s="212"/>
      <c r="W34" s="211" t="str">
        <f t="shared" si="131"/>
        <v>3</v>
      </c>
      <c r="X34" s="254" t="s">
        <v>410</v>
      </c>
      <c r="Y34" s="210">
        <v>5</v>
      </c>
      <c r="Z34" s="210">
        <v>5</v>
      </c>
      <c r="AA34" s="209" t="s">
        <v>54</v>
      </c>
      <c r="AB34" s="209" t="s">
        <v>306</v>
      </c>
      <c r="AC34" s="207"/>
      <c r="AD34" s="253" t="s">
        <v>266</v>
      </c>
      <c r="AE34" s="230"/>
      <c r="AF34" s="183" t="str">
        <f t="shared" si="132"/>
        <v/>
      </c>
      <c r="AG34" s="203" t="str">
        <f t="shared" si="2"/>
        <v>OK</v>
      </c>
      <c r="AH34" s="253" t="s">
        <v>266</v>
      </c>
      <c r="AI34" s="230"/>
      <c r="AJ34" s="183" t="str">
        <f t="shared" si="133"/>
        <v/>
      </c>
      <c r="AK34" s="203" t="str">
        <f t="shared" si="4"/>
        <v>OK</v>
      </c>
      <c r="AL34" s="253" t="s">
        <v>266</v>
      </c>
      <c r="AM34" s="230"/>
      <c r="AN34" s="183" t="str">
        <f t="shared" si="134"/>
        <v/>
      </c>
      <c r="AO34" s="203" t="str">
        <f t="shared" si="6"/>
        <v>OK</v>
      </c>
      <c r="AP34" s="253" t="s">
        <v>266</v>
      </c>
      <c r="AQ34" s="230"/>
      <c r="AR34" s="183" t="str">
        <f t="shared" si="135"/>
        <v/>
      </c>
      <c r="AS34" s="203" t="str">
        <f t="shared" si="8"/>
        <v>OK</v>
      </c>
      <c r="AT34" s="253" t="s">
        <v>266</v>
      </c>
      <c r="AU34" s="230"/>
      <c r="AV34" s="183" t="str">
        <f t="shared" si="136"/>
        <v/>
      </c>
      <c r="AW34" s="203" t="str">
        <f t="shared" si="10"/>
        <v>OK</v>
      </c>
      <c r="AX34" s="253" t="s">
        <v>266</v>
      </c>
      <c r="AY34" s="230"/>
      <c r="AZ34" s="183" t="str">
        <f t="shared" si="137"/>
        <v/>
      </c>
      <c r="BA34" s="203" t="str">
        <f t="shared" si="12"/>
        <v>OK</v>
      </c>
      <c r="BB34" s="253" t="s">
        <v>266</v>
      </c>
      <c r="BC34" s="230"/>
      <c r="BD34" s="183" t="str">
        <f t="shared" si="138"/>
        <v/>
      </c>
      <c r="BE34" s="203" t="str">
        <f t="shared" si="14"/>
        <v>OK</v>
      </c>
      <c r="BF34" s="253" t="s">
        <v>266</v>
      </c>
      <c r="BG34" s="230"/>
      <c r="BH34" s="183" t="str">
        <f t="shared" si="139"/>
        <v/>
      </c>
      <c r="BI34" s="203" t="str">
        <f t="shared" si="16"/>
        <v>OK</v>
      </c>
      <c r="BJ34" s="253" t="s">
        <v>266</v>
      </c>
      <c r="BK34" s="230"/>
      <c r="BL34" s="183" t="str">
        <f t="shared" si="140"/>
        <v/>
      </c>
      <c r="BM34" s="203" t="str">
        <f t="shared" si="18"/>
        <v>OK</v>
      </c>
      <c r="BN34" s="253" t="s">
        <v>266</v>
      </c>
      <c r="BO34" s="230"/>
      <c r="BP34" s="183" t="str">
        <f t="shared" si="141"/>
        <v/>
      </c>
      <c r="BQ34" s="203" t="str">
        <f t="shared" si="20"/>
        <v>OK</v>
      </c>
      <c r="BR34" s="253" t="s">
        <v>266</v>
      </c>
      <c r="BS34" s="230"/>
      <c r="BT34" s="183" t="str">
        <f t="shared" si="142"/>
        <v/>
      </c>
      <c r="BU34" s="203" t="str">
        <f t="shared" si="22"/>
        <v>OK</v>
      </c>
      <c r="BV34" s="253" t="s">
        <v>266</v>
      </c>
      <c r="BW34" s="230"/>
      <c r="BX34" s="183" t="str">
        <f t="shared" si="143"/>
        <v/>
      </c>
      <c r="BY34" s="203" t="str">
        <f t="shared" si="24"/>
        <v>OK</v>
      </c>
      <c r="BZ34" s="253" t="s">
        <v>266</v>
      </c>
      <c r="CA34" s="230"/>
      <c r="CB34" s="183" t="str">
        <f t="shared" si="144"/>
        <v/>
      </c>
      <c r="CC34" s="203" t="str">
        <f t="shared" si="26"/>
        <v>OK</v>
      </c>
      <c r="CD34" s="253" t="s">
        <v>266</v>
      </c>
      <c r="CE34" s="230"/>
      <c r="CF34" s="183" t="str">
        <f t="shared" si="145"/>
        <v/>
      </c>
      <c r="CG34" s="203" t="str">
        <f t="shared" si="28"/>
        <v>OK</v>
      </c>
      <c r="CH34" s="253" t="s">
        <v>266</v>
      </c>
      <c r="CI34" s="230"/>
      <c r="CJ34" s="183" t="str">
        <f t="shared" si="146"/>
        <v/>
      </c>
      <c r="CK34" s="203" t="str">
        <f t="shared" si="30"/>
        <v>OK</v>
      </c>
      <c r="CL34" s="253" t="s">
        <v>266</v>
      </c>
      <c r="CM34" s="230"/>
      <c r="CN34" s="183" t="str">
        <f t="shared" si="147"/>
        <v/>
      </c>
      <c r="CO34" s="203" t="str">
        <f t="shared" si="32"/>
        <v>OK</v>
      </c>
      <c r="CP34" s="253" t="s">
        <v>266</v>
      </c>
      <c r="CQ34" s="230"/>
      <c r="CR34" s="183" t="str">
        <f t="shared" si="148"/>
        <v/>
      </c>
      <c r="CS34" s="203" t="str">
        <f t="shared" si="34"/>
        <v>OK</v>
      </c>
      <c r="CT34" s="253" t="s">
        <v>266</v>
      </c>
      <c r="CU34" s="230"/>
      <c r="CV34" s="183" t="str">
        <f t="shared" si="149"/>
        <v/>
      </c>
      <c r="CW34" s="203" t="str">
        <f t="shared" si="36"/>
        <v>OK</v>
      </c>
      <c r="CX34" s="253" t="s">
        <v>266</v>
      </c>
      <c r="CY34" s="230"/>
      <c r="CZ34" s="183" t="str">
        <f t="shared" si="150"/>
        <v/>
      </c>
      <c r="DA34" s="203" t="str">
        <f t="shared" si="38"/>
        <v>OK</v>
      </c>
      <c r="DB34" s="253" t="s">
        <v>266</v>
      </c>
      <c r="DC34" s="230"/>
      <c r="DD34" s="183" t="str">
        <f t="shared" si="151"/>
        <v/>
      </c>
      <c r="DE34" s="203" t="str">
        <f t="shared" si="40"/>
        <v>OK</v>
      </c>
      <c r="DF34" s="253" t="s">
        <v>266</v>
      </c>
      <c r="DG34" s="230"/>
      <c r="DH34" s="183" t="str">
        <f t="shared" si="152"/>
        <v/>
      </c>
      <c r="DI34" s="203" t="str">
        <f t="shared" si="42"/>
        <v>OK</v>
      </c>
      <c r="DJ34" s="253" t="s">
        <v>266</v>
      </c>
      <c r="DK34" s="230"/>
      <c r="DL34" s="183" t="str">
        <f t="shared" si="153"/>
        <v/>
      </c>
      <c r="DM34" s="203" t="str">
        <f t="shared" si="44"/>
        <v>OK</v>
      </c>
      <c r="DN34" s="253" t="s">
        <v>266</v>
      </c>
      <c r="DO34" s="230"/>
      <c r="DP34" s="183" t="str">
        <f t="shared" si="154"/>
        <v/>
      </c>
      <c r="DQ34" s="203" t="str">
        <f t="shared" si="46"/>
        <v>OK</v>
      </c>
      <c r="DR34" s="253" t="s">
        <v>266</v>
      </c>
      <c r="DS34" s="230"/>
      <c r="DT34" s="183" t="str">
        <f t="shared" si="155"/>
        <v/>
      </c>
      <c r="DU34" s="203" t="str">
        <f t="shared" si="48"/>
        <v>OK</v>
      </c>
      <c r="DV34" s="253" t="s">
        <v>266</v>
      </c>
      <c r="DW34" s="230"/>
      <c r="DX34" s="183" t="str">
        <f t="shared" si="156"/>
        <v/>
      </c>
      <c r="DY34" s="203" t="str">
        <f t="shared" si="50"/>
        <v>OK</v>
      </c>
      <c r="DZ34" s="253" t="s">
        <v>266</v>
      </c>
      <c r="EA34" s="230"/>
      <c r="EB34" s="183" t="str">
        <f t="shared" si="157"/>
        <v/>
      </c>
      <c r="EC34" s="203" t="str">
        <f t="shared" si="52"/>
        <v>OK</v>
      </c>
      <c r="ED34" s="253" t="s">
        <v>266</v>
      </c>
      <c r="EE34" s="230"/>
      <c r="EF34" s="183" t="str">
        <f t="shared" si="158"/>
        <v/>
      </c>
      <c r="EG34" s="203" t="str">
        <f t="shared" si="54"/>
        <v>OK</v>
      </c>
      <c r="EH34" s="253" t="s">
        <v>266</v>
      </c>
      <c r="EI34" s="230"/>
      <c r="EJ34" s="183" t="str">
        <f t="shared" si="159"/>
        <v/>
      </c>
      <c r="EK34" s="203" t="str">
        <f t="shared" si="56"/>
        <v>OK</v>
      </c>
      <c r="EL34" s="253" t="s">
        <v>266</v>
      </c>
      <c r="EM34" s="230"/>
      <c r="EN34" s="183" t="str">
        <f t="shared" si="160"/>
        <v/>
      </c>
      <c r="EO34" s="203" t="str">
        <f t="shared" si="58"/>
        <v>OK</v>
      </c>
      <c r="EP34" s="253" t="s">
        <v>266</v>
      </c>
      <c r="EQ34" s="230"/>
      <c r="ER34" s="183" t="str">
        <f t="shared" si="161"/>
        <v/>
      </c>
      <c r="ES34" s="203" t="str">
        <f t="shared" si="60"/>
        <v>OK</v>
      </c>
      <c r="ET34" s="253" t="s">
        <v>266</v>
      </c>
      <c r="EU34" s="230"/>
      <c r="EV34" s="183" t="str">
        <f t="shared" si="162"/>
        <v/>
      </c>
      <c r="EW34" s="203" t="str">
        <f t="shared" si="62"/>
        <v>OK</v>
      </c>
      <c r="EX34" s="253" t="s">
        <v>266</v>
      </c>
      <c r="EY34" s="230"/>
      <c r="EZ34" s="183" t="str">
        <f t="shared" si="163"/>
        <v/>
      </c>
      <c r="FA34" s="203" t="str">
        <f t="shared" si="64"/>
        <v>OK</v>
      </c>
      <c r="FB34" s="253" t="s">
        <v>266</v>
      </c>
      <c r="FC34" s="230"/>
      <c r="FD34" s="183" t="str">
        <f t="shared" si="164"/>
        <v/>
      </c>
      <c r="FE34" s="203" t="str">
        <f t="shared" si="66"/>
        <v>OK</v>
      </c>
      <c r="FF34" s="253" t="s">
        <v>266</v>
      </c>
      <c r="FG34" s="230"/>
      <c r="FH34" s="183" t="str">
        <f t="shared" si="165"/>
        <v/>
      </c>
      <c r="FI34" s="203" t="str">
        <f t="shared" si="68"/>
        <v>OK</v>
      </c>
      <c r="FJ34" s="253" t="s">
        <v>266</v>
      </c>
      <c r="FK34" s="230"/>
      <c r="FL34" s="183" t="str">
        <f t="shared" si="166"/>
        <v/>
      </c>
      <c r="FM34" s="203" t="str">
        <f t="shared" si="70"/>
        <v>OK</v>
      </c>
      <c r="FN34" s="253" t="s">
        <v>266</v>
      </c>
      <c r="FO34" s="230"/>
      <c r="FP34" s="183" t="str">
        <f t="shared" si="167"/>
        <v/>
      </c>
      <c r="FQ34" s="203" t="str">
        <f t="shared" si="72"/>
        <v>OK</v>
      </c>
      <c r="FR34" s="253" t="s">
        <v>266</v>
      </c>
      <c r="FS34" s="230"/>
      <c r="FT34" s="183" t="str">
        <f t="shared" si="168"/>
        <v/>
      </c>
      <c r="FU34" s="203" t="str">
        <f t="shared" si="74"/>
        <v>OK</v>
      </c>
      <c r="FV34" s="253" t="s">
        <v>266</v>
      </c>
      <c r="FW34" s="230"/>
      <c r="FX34" s="183" t="str">
        <f t="shared" si="169"/>
        <v/>
      </c>
      <c r="FY34" s="203" t="str">
        <f t="shared" si="76"/>
        <v>OK</v>
      </c>
      <c r="FZ34" s="253" t="s">
        <v>266</v>
      </c>
      <c r="GA34" s="230"/>
      <c r="GB34" s="183" t="str">
        <f t="shared" si="170"/>
        <v/>
      </c>
      <c r="GC34" s="203" t="str">
        <f t="shared" si="78"/>
        <v>OK</v>
      </c>
      <c r="GD34" s="253" t="s">
        <v>266</v>
      </c>
      <c r="GE34" s="230"/>
      <c r="GF34" s="183" t="str">
        <f t="shared" si="171"/>
        <v/>
      </c>
      <c r="GG34" s="203" t="str">
        <f t="shared" si="80"/>
        <v>OK</v>
      </c>
      <c r="GH34" s="253" t="s">
        <v>266</v>
      </c>
      <c r="GI34" s="230"/>
      <c r="GJ34" s="183" t="str">
        <f t="shared" si="172"/>
        <v/>
      </c>
      <c r="GK34" s="203" t="str">
        <f t="shared" si="82"/>
        <v>OK</v>
      </c>
      <c r="GL34" s="253" t="s">
        <v>266</v>
      </c>
      <c r="GM34" s="230"/>
      <c r="GN34" s="183" t="str">
        <f t="shared" si="173"/>
        <v/>
      </c>
      <c r="GO34" s="203" t="str">
        <f t="shared" si="84"/>
        <v>OK</v>
      </c>
      <c r="GP34" s="253" t="s">
        <v>266</v>
      </c>
      <c r="GQ34" s="230"/>
      <c r="GR34" s="183" t="str">
        <f t="shared" si="174"/>
        <v/>
      </c>
      <c r="GS34" s="203" t="str">
        <f t="shared" si="86"/>
        <v>OK</v>
      </c>
      <c r="GT34" s="202"/>
      <c r="GU34" s="202"/>
      <c r="GV34" s="255"/>
      <c r="GW34" s="255"/>
      <c r="GX34" s="255"/>
    </row>
    <row r="35" spans="1:206">
      <c r="A35" s="200" t="s">
        <v>336</v>
      </c>
      <c r="B35" s="225">
        <f t="shared" si="130"/>
        <v>28</v>
      </c>
      <c r="C35" s="229"/>
      <c r="D35" s="229"/>
      <c r="E35" s="228"/>
      <c r="F35" s="222" t="s">
        <v>68</v>
      </c>
      <c r="G35" s="221"/>
      <c r="H35" s="220"/>
      <c r="I35" s="209"/>
      <c r="J35" s="217" t="s">
        <v>23</v>
      </c>
      <c r="K35" s="219"/>
      <c r="L35" s="219"/>
      <c r="M35" s="218"/>
      <c r="N35" s="217"/>
      <c r="O35" s="216"/>
      <c r="P35" s="212"/>
      <c r="Q35" s="212"/>
      <c r="R35" s="215"/>
      <c r="S35" s="214"/>
      <c r="T35" s="212"/>
      <c r="U35" s="213"/>
      <c r="V35" s="212"/>
      <c r="W35" s="211" t="str">
        <f t="shared" si="131"/>
        <v>3</v>
      </c>
      <c r="X35" s="254" t="s">
        <v>409</v>
      </c>
      <c r="Y35" s="210">
        <v>6</v>
      </c>
      <c r="Z35" s="210">
        <v>6</v>
      </c>
      <c r="AA35" s="209" t="s">
        <v>54</v>
      </c>
      <c r="AB35" s="209" t="s">
        <v>306</v>
      </c>
      <c r="AC35" s="207"/>
      <c r="AD35" s="253" t="s">
        <v>264</v>
      </c>
      <c r="AE35" s="230"/>
      <c r="AF35" s="183" t="str">
        <f t="shared" si="132"/>
        <v/>
      </c>
      <c r="AG35" s="203" t="str">
        <f t="shared" si="2"/>
        <v>OK</v>
      </c>
      <c r="AH35" s="253" t="s">
        <v>588</v>
      </c>
      <c r="AI35" s="230"/>
      <c r="AJ35" s="183" t="str">
        <f t="shared" si="133"/>
        <v/>
      </c>
      <c r="AK35" s="203" t="str">
        <f t="shared" si="4"/>
        <v>OK</v>
      </c>
      <c r="AL35" s="253" t="s">
        <v>589</v>
      </c>
      <c r="AM35" s="230"/>
      <c r="AN35" s="183" t="str">
        <f t="shared" si="134"/>
        <v/>
      </c>
      <c r="AO35" s="203" t="str">
        <f t="shared" si="6"/>
        <v>OK</v>
      </c>
      <c r="AP35" s="253" t="s">
        <v>590</v>
      </c>
      <c r="AQ35" s="230"/>
      <c r="AR35" s="183" t="str">
        <f t="shared" si="135"/>
        <v/>
      </c>
      <c r="AS35" s="203" t="str">
        <f t="shared" si="8"/>
        <v>OK</v>
      </c>
      <c r="AT35" s="253" t="s">
        <v>591</v>
      </c>
      <c r="AU35" s="230"/>
      <c r="AV35" s="183" t="str">
        <f t="shared" si="136"/>
        <v/>
      </c>
      <c r="AW35" s="203" t="str">
        <f t="shared" si="10"/>
        <v>OK</v>
      </c>
      <c r="AX35" s="253" t="s">
        <v>592</v>
      </c>
      <c r="AY35" s="230"/>
      <c r="AZ35" s="183" t="str">
        <f t="shared" si="137"/>
        <v/>
      </c>
      <c r="BA35" s="203" t="str">
        <f t="shared" si="12"/>
        <v>OK</v>
      </c>
      <c r="BB35" s="253" t="s">
        <v>593</v>
      </c>
      <c r="BC35" s="230"/>
      <c r="BD35" s="183" t="str">
        <f t="shared" si="138"/>
        <v/>
      </c>
      <c r="BE35" s="203" t="str">
        <f t="shared" si="14"/>
        <v>OK</v>
      </c>
      <c r="BF35" s="253" t="s">
        <v>594</v>
      </c>
      <c r="BG35" s="230"/>
      <c r="BH35" s="183" t="str">
        <f t="shared" si="139"/>
        <v/>
      </c>
      <c r="BI35" s="203" t="str">
        <f t="shared" si="16"/>
        <v>OK</v>
      </c>
      <c r="BJ35" s="253" t="s">
        <v>595</v>
      </c>
      <c r="BK35" s="230"/>
      <c r="BL35" s="183" t="str">
        <f t="shared" si="140"/>
        <v/>
      </c>
      <c r="BM35" s="203" t="str">
        <f t="shared" si="18"/>
        <v>OK</v>
      </c>
      <c r="BN35" s="253" t="s">
        <v>629</v>
      </c>
      <c r="BO35" s="230"/>
      <c r="BP35" s="183" t="str">
        <f t="shared" si="141"/>
        <v/>
      </c>
      <c r="BQ35" s="203" t="str">
        <f t="shared" si="20"/>
        <v>OK</v>
      </c>
      <c r="BR35" s="253" t="s">
        <v>596</v>
      </c>
      <c r="BS35" s="230"/>
      <c r="BT35" s="183" t="str">
        <f t="shared" si="142"/>
        <v/>
      </c>
      <c r="BU35" s="203" t="str">
        <f t="shared" si="22"/>
        <v>OK</v>
      </c>
      <c r="BV35" s="253" t="s">
        <v>597</v>
      </c>
      <c r="BW35" s="230"/>
      <c r="BX35" s="183" t="str">
        <f t="shared" si="143"/>
        <v/>
      </c>
      <c r="BY35" s="203" t="str">
        <f t="shared" si="24"/>
        <v>OK</v>
      </c>
      <c r="BZ35" s="253" t="s">
        <v>598</v>
      </c>
      <c r="CA35" s="230"/>
      <c r="CB35" s="183" t="str">
        <f t="shared" si="144"/>
        <v/>
      </c>
      <c r="CC35" s="203" t="str">
        <f t="shared" si="26"/>
        <v>OK</v>
      </c>
      <c r="CD35" s="253" t="s">
        <v>599</v>
      </c>
      <c r="CE35" s="230"/>
      <c r="CF35" s="183" t="str">
        <f t="shared" si="145"/>
        <v/>
      </c>
      <c r="CG35" s="203" t="str">
        <f t="shared" si="28"/>
        <v>OK</v>
      </c>
      <c r="CH35" s="253" t="s">
        <v>600</v>
      </c>
      <c r="CI35" s="230"/>
      <c r="CJ35" s="183" t="str">
        <f t="shared" si="146"/>
        <v/>
      </c>
      <c r="CK35" s="203" t="str">
        <f t="shared" si="30"/>
        <v>OK</v>
      </c>
      <c r="CL35" s="253" t="s">
        <v>601</v>
      </c>
      <c r="CM35" s="230"/>
      <c r="CN35" s="183" t="str">
        <f t="shared" si="147"/>
        <v/>
      </c>
      <c r="CO35" s="203" t="str">
        <f t="shared" si="32"/>
        <v>OK</v>
      </c>
      <c r="CP35" s="253" t="s">
        <v>602</v>
      </c>
      <c r="CQ35" s="230"/>
      <c r="CR35" s="183" t="str">
        <f t="shared" si="148"/>
        <v/>
      </c>
      <c r="CS35" s="203" t="str">
        <f t="shared" si="34"/>
        <v>OK</v>
      </c>
      <c r="CT35" s="253" t="s">
        <v>603</v>
      </c>
      <c r="CU35" s="230"/>
      <c r="CV35" s="183" t="str">
        <f t="shared" si="149"/>
        <v/>
      </c>
      <c r="CW35" s="203" t="str">
        <f t="shared" si="36"/>
        <v>OK</v>
      </c>
      <c r="CX35" s="253" t="s">
        <v>604</v>
      </c>
      <c r="CY35" s="230"/>
      <c r="CZ35" s="183" t="str">
        <f t="shared" si="150"/>
        <v/>
      </c>
      <c r="DA35" s="203" t="str">
        <f t="shared" si="38"/>
        <v>OK</v>
      </c>
      <c r="DB35" s="253" t="s">
        <v>605</v>
      </c>
      <c r="DC35" s="230"/>
      <c r="DD35" s="183" t="str">
        <f t="shared" si="151"/>
        <v/>
      </c>
      <c r="DE35" s="203" t="str">
        <f t="shared" si="40"/>
        <v>OK</v>
      </c>
      <c r="DF35" s="253" t="s">
        <v>606</v>
      </c>
      <c r="DG35" s="230"/>
      <c r="DH35" s="183" t="str">
        <f t="shared" si="152"/>
        <v/>
      </c>
      <c r="DI35" s="203" t="str">
        <f t="shared" si="42"/>
        <v>OK</v>
      </c>
      <c r="DJ35" s="253" t="s">
        <v>607</v>
      </c>
      <c r="DK35" s="230"/>
      <c r="DL35" s="183" t="str">
        <f t="shared" si="153"/>
        <v/>
      </c>
      <c r="DM35" s="203" t="str">
        <f t="shared" si="44"/>
        <v>OK</v>
      </c>
      <c r="DN35" s="253" t="s">
        <v>608</v>
      </c>
      <c r="DO35" s="230"/>
      <c r="DP35" s="183" t="str">
        <f t="shared" si="154"/>
        <v/>
      </c>
      <c r="DQ35" s="203" t="str">
        <f t="shared" si="46"/>
        <v>OK</v>
      </c>
      <c r="DR35" s="253" t="s">
        <v>609</v>
      </c>
      <c r="DS35" s="230"/>
      <c r="DT35" s="183" t="str">
        <f t="shared" si="155"/>
        <v/>
      </c>
      <c r="DU35" s="203" t="str">
        <f t="shared" si="48"/>
        <v>OK</v>
      </c>
      <c r="DV35" s="253" t="s">
        <v>610</v>
      </c>
      <c r="DW35" s="230"/>
      <c r="DX35" s="183" t="str">
        <f t="shared" si="156"/>
        <v/>
      </c>
      <c r="DY35" s="203" t="str">
        <f t="shared" si="50"/>
        <v>OK</v>
      </c>
      <c r="DZ35" s="253" t="s">
        <v>611</v>
      </c>
      <c r="EA35" s="230"/>
      <c r="EB35" s="183" t="str">
        <f t="shared" si="157"/>
        <v/>
      </c>
      <c r="EC35" s="203" t="str">
        <f t="shared" si="52"/>
        <v>OK</v>
      </c>
      <c r="ED35" s="253" t="s">
        <v>612</v>
      </c>
      <c r="EE35" s="230"/>
      <c r="EF35" s="183" t="str">
        <f t="shared" si="158"/>
        <v/>
      </c>
      <c r="EG35" s="203" t="str">
        <f t="shared" si="54"/>
        <v>OK</v>
      </c>
      <c r="EH35" s="253" t="s">
        <v>613</v>
      </c>
      <c r="EI35" s="230"/>
      <c r="EJ35" s="183" t="str">
        <f t="shared" si="159"/>
        <v/>
      </c>
      <c r="EK35" s="203" t="str">
        <f t="shared" si="56"/>
        <v>OK</v>
      </c>
      <c r="EL35" s="253" t="s">
        <v>614</v>
      </c>
      <c r="EM35" s="230"/>
      <c r="EN35" s="183" t="str">
        <f t="shared" si="160"/>
        <v/>
      </c>
      <c r="EO35" s="203" t="str">
        <f t="shared" si="58"/>
        <v>OK</v>
      </c>
      <c r="EP35" s="253" t="s">
        <v>615</v>
      </c>
      <c r="EQ35" s="230"/>
      <c r="ER35" s="183" t="str">
        <f t="shared" si="161"/>
        <v/>
      </c>
      <c r="ES35" s="203" t="str">
        <f t="shared" si="60"/>
        <v>OK</v>
      </c>
      <c r="ET35" s="253" t="s">
        <v>616</v>
      </c>
      <c r="EU35" s="230"/>
      <c r="EV35" s="183" t="str">
        <f t="shared" si="162"/>
        <v/>
      </c>
      <c r="EW35" s="203" t="str">
        <f t="shared" si="62"/>
        <v>OK</v>
      </c>
      <c r="EX35" s="253" t="s">
        <v>617</v>
      </c>
      <c r="EY35" s="230"/>
      <c r="EZ35" s="183" t="str">
        <f t="shared" si="163"/>
        <v/>
      </c>
      <c r="FA35" s="203" t="str">
        <f t="shared" si="64"/>
        <v>OK</v>
      </c>
      <c r="FB35" s="253" t="s">
        <v>618</v>
      </c>
      <c r="FC35" s="230"/>
      <c r="FD35" s="183" t="str">
        <f t="shared" si="164"/>
        <v/>
      </c>
      <c r="FE35" s="203" t="str">
        <f t="shared" si="66"/>
        <v>OK</v>
      </c>
      <c r="FF35" s="253" t="s">
        <v>619</v>
      </c>
      <c r="FG35" s="230"/>
      <c r="FH35" s="183" t="str">
        <f t="shared" si="165"/>
        <v/>
      </c>
      <c r="FI35" s="203" t="str">
        <f t="shared" si="68"/>
        <v>OK</v>
      </c>
      <c r="FJ35" s="253" t="s">
        <v>620</v>
      </c>
      <c r="FK35" s="230"/>
      <c r="FL35" s="183" t="str">
        <f t="shared" si="166"/>
        <v/>
      </c>
      <c r="FM35" s="203" t="str">
        <f t="shared" si="70"/>
        <v>OK</v>
      </c>
      <c r="FN35" s="253" t="s">
        <v>621</v>
      </c>
      <c r="FO35" s="230"/>
      <c r="FP35" s="183" t="str">
        <f t="shared" si="167"/>
        <v/>
      </c>
      <c r="FQ35" s="203" t="str">
        <f t="shared" si="72"/>
        <v>OK</v>
      </c>
      <c r="FR35" s="253" t="s">
        <v>622</v>
      </c>
      <c r="FS35" s="230"/>
      <c r="FT35" s="183" t="str">
        <f t="shared" si="168"/>
        <v/>
      </c>
      <c r="FU35" s="203" t="str">
        <f t="shared" si="74"/>
        <v>OK</v>
      </c>
      <c r="FV35" s="253" t="s">
        <v>623</v>
      </c>
      <c r="FW35" s="230"/>
      <c r="FX35" s="183" t="str">
        <f t="shared" si="169"/>
        <v/>
      </c>
      <c r="FY35" s="203" t="str">
        <f t="shared" si="76"/>
        <v>OK</v>
      </c>
      <c r="FZ35" s="253" t="s">
        <v>624</v>
      </c>
      <c r="GA35" s="230"/>
      <c r="GB35" s="183" t="str">
        <f t="shared" si="170"/>
        <v/>
      </c>
      <c r="GC35" s="203" t="str">
        <f t="shared" si="78"/>
        <v>OK</v>
      </c>
      <c r="GD35" s="253" t="s">
        <v>625</v>
      </c>
      <c r="GE35" s="230"/>
      <c r="GF35" s="183" t="str">
        <f t="shared" si="171"/>
        <v/>
      </c>
      <c r="GG35" s="203" t="str">
        <f t="shared" si="80"/>
        <v>OK</v>
      </c>
      <c r="GH35" s="253" t="s">
        <v>626</v>
      </c>
      <c r="GI35" s="230"/>
      <c r="GJ35" s="183" t="str">
        <f t="shared" si="172"/>
        <v/>
      </c>
      <c r="GK35" s="203" t="str">
        <f t="shared" si="82"/>
        <v>OK</v>
      </c>
      <c r="GL35" s="253" t="s">
        <v>627</v>
      </c>
      <c r="GM35" s="230"/>
      <c r="GN35" s="183" t="str">
        <f t="shared" si="173"/>
        <v/>
      </c>
      <c r="GO35" s="203" t="str">
        <f t="shared" si="84"/>
        <v>OK</v>
      </c>
      <c r="GP35" s="253" t="s">
        <v>628</v>
      </c>
      <c r="GQ35" s="230"/>
      <c r="GR35" s="183" t="str">
        <f t="shared" si="174"/>
        <v/>
      </c>
      <c r="GS35" s="203" t="str">
        <f t="shared" si="86"/>
        <v>OK</v>
      </c>
      <c r="GT35" s="202"/>
      <c r="GU35" s="202"/>
      <c r="GV35" s="201"/>
      <c r="GW35" s="201"/>
      <c r="GX35" s="201"/>
    </row>
    <row r="36" spans="1:206">
      <c r="A36" s="200" t="s">
        <v>336</v>
      </c>
      <c r="B36" s="225">
        <f t="shared" si="130"/>
        <v>29</v>
      </c>
      <c r="C36" s="229"/>
      <c r="D36" s="229"/>
      <c r="E36" s="228"/>
      <c r="F36" s="234" t="s">
        <v>408</v>
      </c>
      <c r="G36" s="233"/>
      <c r="H36" s="232"/>
      <c r="I36" s="209"/>
      <c r="J36" s="217" t="s">
        <v>23</v>
      </c>
      <c r="K36" s="219"/>
      <c r="L36" s="219"/>
      <c r="M36" s="218"/>
      <c r="N36" s="217"/>
      <c r="O36" s="216"/>
      <c r="P36" s="212"/>
      <c r="Q36" s="212"/>
      <c r="R36" s="215"/>
      <c r="S36" s="214"/>
      <c r="T36" s="212"/>
      <c r="U36" s="213"/>
      <c r="V36" s="212"/>
      <c r="W36" s="211" t="str">
        <f t="shared" si="131"/>
        <v>3</v>
      </c>
      <c r="X36" s="210" t="s">
        <v>407</v>
      </c>
      <c r="Y36" s="210"/>
      <c r="Z36" s="210"/>
      <c r="AA36" s="209"/>
      <c r="AB36" s="209" t="s">
        <v>306</v>
      </c>
      <c r="AC36" s="207"/>
      <c r="AD36" s="206"/>
      <c r="AE36" s="230"/>
      <c r="AF36" s="183" t="str">
        <f t="shared" si="132"/>
        <v/>
      </c>
      <c r="AG36" s="203" t="str">
        <f t="shared" si="2"/>
        <v>OK</v>
      </c>
      <c r="AH36" s="206"/>
      <c r="AI36" s="230"/>
      <c r="AJ36" s="183" t="str">
        <f t="shared" si="133"/>
        <v/>
      </c>
      <c r="AK36" s="203" t="str">
        <f t="shared" si="4"/>
        <v>OK</v>
      </c>
      <c r="AL36" s="206"/>
      <c r="AM36" s="230"/>
      <c r="AN36" s="183" t="str">
        <f t="shared" si="134"/>
        <v/>
      </c>
      <c r="AO36" s="203" t="str">
        <f t="shared" si="6"/>
        <v>OK</v>
      </c>
      <c r="AP36" s="206"/>
      <c r="AQ36" s="230"/>
      <c r="AR36" s="183" t="str">
        <f t="shared" si="135"/>
        <v/>
      </c>
      <c r="AS36" s="203" t="str">
        <f t="shared" si="8"/>
        <v>OK</v>
      </c>
      <c r="AT36" s="206"/>
      <c r="AU36" s="230"/>
      <c r="AV36" s="183" t="str">
        <f t="shared" si="136"/>
        <v/>
      </c>
      <c r="AW36" s="203" t="str">
        <f t="shared" si="10"/>
        <v>OK</v>
      </c>
      <c r="AX36" s="206"/>
      <c r="AY36" s="230"/>
      <c r="AZ36" s="183" t="str">
        <f t="shared" si="137"/>
        <v/>
      </c>
      <c r="BA36" s="203" t="str">
        <f t="shared" si="12"/>
        <v>OK</v>
      </c>
      <c r="BB36" s="206"/>
      <c r="BC36" s="230"/>
      <c r="BD36" s="183" t="str">
        <f t="shared" si="138"/>
        <v/>
      </c>
      <c r="BE36" s="203" t="str">
        <f t="shared" si="14"/>
        <v>OK</v>
      </c>
      <c r="BF36" s="206"/>
      <c r="BG36" s="230"/>
      <c r="BH36" s="183" t="str">
        <f t="shared" si="139"/>
        <v/>
      </c>
      <c r="BI36" s="203" t="str">
        <f t="shared" si="16"/>
        <v>OK</v>
      </c>
      <c r="BJ36" s="206"/>
      <c r="BK36" s="230"/>
      <c r="BL36" s="183" t="str">
        <f t="shared" si="140"/>
        <v/>
      </c>
      <c r="BM36" s="203" t="str">
        <f t="shared" si="18"/>
        <v>OK</v>
      </c>
      <c r="BN36" s="206"/>
      <c r="BO36" s="230"/>
      <c r="BP36" s="183" t="str">
        <f t="shared" si="141"/>
        <v/>
      </c>
      <c r="BQ36" s="203" t="str">
        <f t="shared" si="20"/>
        <v>OK</v>
      </c>
      <c r="BR36" s="206"/>
      <c r="BS36" s="230"/>
      <c r="BT36" s="183" t="str">
        <f t="shared" si="142"/>
        <v/>
      </c>
      <c r="BU36" s="203" t="str">
        <f t="shared" si="22"/>
        <v>OK</v>
      </c>
      <c r="BV36" s="206"/>
      <c r="BW36" s="230"/>
      <c r="BX36" s="183" t="str">
        <f t="shared" si="143"/>
        <v/>
      </c>
      <c r="BY36" s="203" t="str">
        <f t="shared" si="24"/>
        <v>OK</v>
      </c>
      <c r="BZ36" s="206"/>
      <c r="CA36" s="230"/>
      <c r="CB36" s="183" t="str">
        <f t="shared" si="144"/>
        <v/>
      </c>
      <c r="CC36" s="203" t="str">
        <f t="shared" si="26"/>
        <v>OK</v>
      </c>
      <c r="CD36" s="206"/>
      <c r="CE36" s="230"/>
      <c r="CF36" s="183" t="str">
        <f t="shared" si="145"/>
        <v/>
      </c>
      <c r="CG36" s="203" t="str">
        <f t="shared" si="28"/>
        <v>OK</v>
      </c>
      <c r="CH36" s="206"/>
      <c r="CI36" s="230"/>
      <c r="CJ36" s="183" t="str">
        <f t="shared" si="146"/>
        <v/>
      </c>
      <c r="CK36" s="203" t="str">
        <f t="shared" si="30"/>
        <v>OK</v>
      </c>
      <c r="CL36" s="206"/>
      <c r="CM36" s="230"/>
      <c r="CN36" s="183" t="str">
        <f t="shared" si="147"/>
        <v/>
      </c>
      <c r="CO36" s="203" t="str">
        <f t="shared" si="32"/>
        <v>OK</v>
      </c>
      <c r="CP36" s="206"/>
      <c r="CQ36" s="230"/>
      <c r="CR36" s="183" t="str">
        <f t="shared" si="148"/>
        <v/>
      </c>
      <c r="CS36" s="203" t="str">
        <f t="shared" si="34"/>
        <v>OK</v>
      </c>
      <c r="CT36" s="206"/>
      <c r="CU36" s="230"/>
      <c r="CV36" s="183" t="str">
        <f t="shared" si="149"/>
        <v/>
      </c>
      <c r="CW36" s="203" t="str">
        <f t="shared" si="36"/>
        <v>OK</v>
      </c>
      <c r="CX36" s="206"/>
      <c r="CY36" s="230"/>
      <c r="CZ36" s="183" t="str">
        <f t="shared" si="150"/>
        <v/>
      </c>
      <c r="DA36" s="203" t="str">
        <f t="shared" si="38"/>
        <v>OK</v>
      </c>
      <c r="DB36" s="206"/>
      <c r="DC36" s="230"/>
      <c r="DD36" s="183" t="str">
        <f t="shared" si="151"/>
        <v/>
      </c>
      <c r="DE36" s="203" t="str">
        <f t="shared" si="40"/>
        <v>OK</v>
      </c>
      <c r="DF36" s="206"/>
      <c r="DG36" s="230"/>
      <c r="DH36" s="183" t="str">
        <f t="shared" si="152"/>
        <v/>
      </c>
      <c r="DI36" s="203" t="str">
        <f t="shared" si="42"/>
        <v>OK</v>
      </c>
      <c r="DJ36" s="206"/>
      <c r="DK36" s="230"/>
      <c r="DL36" s="183" t="str">
        <f t="shared" si="153"/>
        <v/>
      </c>
      <c r="DM36" s="203" t="str">
        <f t="shared" si="44"/>
        <v>OK</v>
      </c>
      <c r="DN36" s="206"/>
      <c r="DO36" s="230"/>
      <c r="DP36" s="183" t="str">
        <f t="shared" si="154"/>
        <v/>
      </c>
      <c r="DQ36" s="203" t="str">
        <f t="shared" si="46"/>
        <v>OK</v>
      </c>
      <c r="DR36" s="206"/>
      <c r="DS36" s="230"/>
      <c r="DT36" s="183" t="str">
        <f t="shared" si="155"/>
        <v/>
      </c>
      <c r="DU36" s="203" t="str">
        <f t="shared" si="48"/>
        <v>OK</v>
      </c>
      <c r="DV36" s="206"/>
      <c r="DW36" s="230"/>
      <c r="DX36" s="183" t="str">
        <f t="shared" si="156"/>
        <v/>
      </c>
      <c r="DY36" s="203" t="str">
        <f t="shared" si="50"/>
        <v>OK</v>
      </c>
      <c r="DZ36" s="206"/>
      <c r="EA36" s="230"/>
      <c r="EB36" s="183" t="str">
        <f t="shared" si="157"/>
        <v/>
      </c>
      <c r="EC36" s="203" t="str">
        <f t="shared" si="52"/>
        <v>OK</v>
      </c>
      <c r="ED36" s="206"/>
      <c r="EE36" s="230"/>
      <c r="EF36" s="183" t="str">
        <f t="shared" si="158"/>
        <v/>
      </c>
      <c r="EG36" s="203" t="str">
        <f t="shared" si="54"/>
        <v>OK</v>
      </c>
      <c r="EH36" s="206"/>
      <c r="EI36" s="230"/>
      <c r="EJ36" s="183" t="str">
        <f t="shared" si="159"/>
        <v/>
      </c>
      <c r="EK36" s="203" t="str">
        <f t="shared" si="56"/>
        <v>OK</v>
      </c>
      <c r="EL36" s="206"/>
      <c r="EM36" s="230"/>
      <c r="EN36" s="183" t="str">
        <f t="shared" si="160"/>
        <v/>
      </c>
      <c r="EO36" s="203" t="str">
        <f t="shared" si="58"/>
        <v>OK</v>
      </c>
      <c r="EP36" s="206"/>
      <c r="EQ36" s="230"/>
      <c r="ER36" s="183" t="str">
        <f t="shared" si="161"/>
        <v/>
      </c>
      <c r="ES36" s="203" t="str">
        <f t="shared" si="60"/>
        <v>OK</v>
      </c>
      <c r="ET36" s="206"/>
      <c r="EU36" s="230"/>
      <c r="EV36" s="183" t="str">
        <f t="shared" si="162"/>
        <v/>
      </c>
      <c r="EW36" s="203" t="str">
        <f t="shared" si="62"/>
        <v>OK</v>
      </c>
      <c r="EX36" s="206"/>
      <c r="EY36" s="230"/>
      <c r="EZ36" s="183" t="str">
        <f t="shared" si="163"/>
        <v/>
      </c>
      <c r="FA36" s="203" t="str">
        <f t="shared" si="64"/>
        <v>OK</v>
      </c>
      <c r="FB36" s="206"/>
      <c r="FC36" s="230"/>
      <c r="FD36" s="183" t="str">
        <f t="shared" si="164"/>
        <v/>
      </c>
      <c r="FE36" s="203" t="str">
        <f t="shared" si="66"/>
        <v>OK</v>
      </c>
      <c r="FF36" s="206"/>
      <c r="FG36" s="230"/>
      <c r="FH36" s="183" t="str">
        <f t="shared" si="165"/>
        <v/>
      </c>
      <c r="FI36" s="203" t="str">
        <f t="shared" si="68"/>
        <v>OK</v>
      </c>
      <c r="FJ36" s="206"/>
      <c r="FK36" s="230"/>
      <c r="FL36" s="183" t="str">
        <f t="shared" si="166"/>
        <v/>
      </c>
      <c r="FM36" s="203" t="str">
        <f t="shared" si="70"/>
        <v>OK</v>
      </c>
      <c r="FN36" s="206"/>
      <c r="FO36" s="230"/>
      <c r="FP36" s="183" t="str">
        <f t="shared" si="167"/>
        <v/>
      </c>
      <c r="FQ36" s="203" t="str">
        <f t="shared" si="72"/>
        <v>OK</v>
      </c>
      <c r="FR36" s="206"/>
      <c r="FS36" s="230"/>
      <c r="FT36" s="183" t="str">
        <f t="shared" si="168"/>
        <v/>
      </c>
      <c r="FU36" s="203" t="str">
        <f t="shared" si="74"/>
        <v>OK</v>
      </c>
      <c r="FV36" s="206"/>
      <c r="FW36" s="230"/>
      <c r="FX36" s="183" t="str">
        <f t="shared" si="169"/>
        <v/>
      </c>
      <c r="FY36" s="203" t="str">
        <f t="shared" si="76"/>
        <v>OK</v>
      </c>
      <c r="FZ36" s="206"/>
      <c r="GA36" s="230"/>
      <c r="GB36" s="183" t="str">
        <f t="shared" si="170"/>
        <v/>
      </c>
      <c r="GC36" s="203" t="str">
        <f t="shared" si="78"/>
        <v>OK</v>
      </c>
      <c r="GD36" s="206"/>
      <c r="GE36" s="230"/>
      <c r="GF36" s="183" t="str">
        <f t="shared" si="171"/>
        <v/>
      </c>
      <c r="GG36" s="203" t="str">
        <f t="shared" si="80"/>
        <v>OK</v>
      </c>
      <c r="GH36" s="206"/>
      <c r="GI36" s="230"/>
      <c r="GJ36" s="183" t="str">
        <f t="shared" si="172"/>
        <v/>
      </c>
      <c r="GK36" s="203" t="str">
        <f t="shared" si="82"/>
        <v>OK</v>
      </c>
      <c r="GL36" s="206"/>
      <c r="GM36" s="230"/>
      <c r="GN36" s="183" t="str">
        <f t="shared" si="173"/>
        <v/>
      </c>
      <c r="GO36" s="203" t="str">
        <f t="shared" si="84"/>
        <v>OK</v>
      </c>
      <c r="GP36" s="206"/>
      <c r="GQ36" s="230"/>
      <c r="GR36" s="183" t="str">
        <f t="shared" si="174"/>
        <v/>
      </c>
      <c r="GS36" s="203" t="str">
        <f t="shared" si="86"/>
        <v>OK</v>
      </c>
      <c r="GT36" s="202"/>
      <c r="GU36" s="202"/>
      <c r="GV36" s="201"/>
      <c r="GW36" s="201"/>
      <c r="GX36" s="201"/>
    </row>
    <row r="37" spans="1:206">
      <c r="A37" s="200" t="s">
        <v>336</v>
      </c>
      <c r="B37" s="225">
        <f t="shared" si="130"/>
        <v>30</v>
      </c>
      <c r="C37" s="229"/>
      <c r="D37" s="229"/>
      <c r="E37" s="228"/>
      <c r="F37" s="228"/>
      <c r="G37" s="222" t="s">
        <v>406</v>
      </c>
      <c r="H37" s="220"/>
      <c r="I37" s="209"/>
      <c r="J37" s="217" t="s">
        <v>23</v>
      </c>
      <c r="K37" s="219"/>
      <c r="L37" s="219"/>
      <c r="M37" s="218"/>
      <c r="N37" s="217"/>
      <c r="O37" s="216"/>
      <c r="P37" s="212"/>
      <c r="Q37" s="212"/>
      <c r="R37" s="215"/>
      <c r="S37" s="214"/>
      <c r="T37" s="212"/>
      <c r="U37" s="213"/>
      <c r="V37" s="212"/>
      <c r="W37" s="211" t="str">
        <f t="shared" si="131"/>
        <v>4</v>
      </c>
      <c r="X37" s="210" t="s">
        <v>405</v>
      </c>
      <c r="Y37" s="210">
        <v>1</v>
      </c>
      <c r="Z37" s="210">
        <v>30</v>
      </c>
      <c r="AA37" s="209" t="s">
        <v>69</v>
      </c>
      <c r="AB37" s="209" t="s">
        <v>306</v>
      </c>
      <c r="AC37" s="207"/>
      <c r="AD37" s="376" t="s">
        <v>574</v>
      </c>
      <c r="AE37" s="230"/>
      <c r="AF37" s="183" t="str">
        <f t="shared" si="132"/>
        <v/>
      </c>
      <c r="AG37" s="203" t="str">
        <f t="shared" si="2"/>
        <v>OK</v>
      </c>
      <c r="AH37" s="376" t="s">
        <v>574</v>
      </c>
      <c r="AI37" s="230"/>
      <c r="AJ37" s="183" t="str">
        <f t="shared" si="133"/>
        <v/>
      </c>
      <c r="AK37" s="203" t="str">
        <f t="shared" si="4"/>
        <v>OK</v>
      </c>
      <c r="AL37" s="376" t="s">
        <v>574</v>
      </c>
      <c r="AM37" s="230"/>
      <c r="AN37" s="183" t="str">
        <f t="shared" si="134"/>
        <v/>
      </c>
      <c r="AO37" s="203" t="str">
        <f t="shared" si="6"/>
        <v>OK</v>
      </c>
      <c r="AP37" s="376" t="s">
        <v>574</v>
      </c>
      <c r="AQ37" s="230"/>
      <c r="AR37" s="183" t="str">
        <f t="shared" si="135"/>
        <v/>
      </c>
      <c r="AS37" s="203" t="str">
        <f t="shared" si="8"/>
        <v>OK</v>
      </c>
      <c r="AT37" s="376" t="s">
        <v>574</v>
      </c>
      <c r="AU37" s="230"/>
      <c r="AV37" s="183" t="str">
        <f t="shared" si="136"/>
        <v/>
      </c>
      <c r="AW37" s="203" t="str">
        <f t="shared" si="10"/>
        <v>OK</v>
      </c>
      <c r="AX37" s="376" t="s">
        <v>574</v>
      </c>
      <c r="AY37" s="230"/>
      <c r="AZ37" s="183" t="str">
        <f t="shared" si="137"/>
        <v/>
      </c>
      <c r="BA37" s="203" t="str">
        <f t="shared" si="12"/>
        <v>OK</v>
      </c>
      <c r="BB37" s="376" t="s">
        <v>574</v>
      </c>
      <c r="BC37" s="230"/>
      <c r="BD37" s="183" t="str">
        <f t="shared" si="138"/>
        <v/>
      </c>
      <c r="BE37" s="203" t="str">
        <f t="shared" si="14"/>
        <v>OK</v>
      </c>
      <c r="BF37" s="376" t="s">
        <v>574</v>
      </c>
      <c r="BG37" s="230"/>
      <c r="BH37" s="183" t="str">
        <f t="shared" si="139"/>
        <v/>
      </c>
      <c r="BI37" s="203" t="str">
        <f t="shared" si="16"/>
        <v>OK</v>
      </c>
      <c r="BJ37" s="376" t="s">
        <v>574</v>
      </c>
      <c r="BK37" s="230"/>
      <c r="BL37" s="183" t="str">
        <f t="shared" si="140"/>
        <v/>
      </c>
      <c r="BM37" s="203" t="str">
        <f t="shared" si="18"/>
        <v>OK</v>
      </c>
      <c r="BN37" s="376" t="s">
        <v>574</v>
      </c>
      <c r="BO37" s="230"/>
      <c r="BP37" s="183" t="str">
        <f t="shared" si="141"/>
        <v/>
      </c>
      <c r="BQ37" s="203" t="str">
        <f t="shared" si="20"/>
        <v>OK</v>
      </c>
      <c r="BR37" s="376" t="s">
        <v>574</v>
      </c>
      <c r="BS37" s="230"/>
      <c r="BT37" s="183" t="str">
        <f t="shared" si="142"/>
        <v/>
      </c>
      <c r="BU37" s="203" t="str">
        <f t="shared" si="22"/>
        <v>OK</v>
      </c>
      <c r="BV37" s="376" t="s">
        <v>574</v>
      </c>
      <c r="BW37" s="230"/>
      <c r="BX37" s="183" t="str">
        <f t="shared" si="143"/>
        <v/>
      </c>
      <c r="BY37" s="203" t="str">
        <f t="shared" si="24"/>
        <v>OK</v>
      </c>
      <c r="BZ37" s="376" t="s">
        <v>574</v>
      </c>
      <c r="CA37" s="230"/>
      <c r="CB37" s="183" t="str">
        <f t="shared" si="144"/>
        <v/>
      </c>
      <c r="CC37" s="203" t="str">
        <f t="shared" si="26"/>
        <v>OK</v>
      </c>
      <c r="CD37" s="376" t="s">
        <v>574</v>
      </c>
      <c r="CE37" s="230"/>
      <c r="CF37" s="183" t="str">
        <f t="shared" si="145"/>
        <v/>
      </c>
      <c r="CG37" s="203" t="str">
        <f t="shared" si="28"/>
        <v>OK</v>
      </c>
      <c r="CH37" s="376" t="s">
        <v>574</v>
      </c>
      <c r="CI37" s="230"/>
      <c r="CJ37" s="183" t="str">
        <f t="shared" si="146"/>
        <v/>
      </c>
      <c r="CK37" s="203" t="str">
        <f t="shared" si="30"/>
        <v>OK</v>
      </c>
      <c r="CL37" s="376" t="s">
        <v>574</v>
      </c>
      <c r="CM37" s="230"/>
      <c r="CN37" s="183" t="str">
        <f t="shared" si="147"/>
        <v/>
      </c>
      <c r="CO37" s="203" t="str">
        <f t="shared" si="32"/>
        <v>OK</v>
      </c>
      <c r="CP37" s="376" t="s">
        <v>574</v>
      </c>
      <c r="CQ37" s="230"/>
      <c r="CR37" s="183" t="str">
        <f t="shared" si="148"/>
        <v/>
      </c>
      <c r="CS37" s="203" t="str">
        <f t="shared" si="34"/>
        <v>OK</v>
      </c>
      <c r="CT37" s="376" t="s">
        <v>574</v>
      </c>
      <c r="CU37" s="230"/>
      <c r="CV37" s="183" t="str">
        <f t="shared" si="149"/>
        <v/>
      </c>
      <c r="CW37" s="203" t="str">
        <f t="shared" si="36"/>
        <v>OK</v>
      </c>
      <c r="CX37" s="376" t="s">
        <v>574</v>
      </c>
      <c r="CY37" s="230"/>
      <c r="CZ37" s="183" t="str">
        <f t="shared" si="150"/>
        <v/>
      </c>
      <c r="DA37" s="203" t="str">
        <f t="shared" si="38"/>
        <v>OK</v>
      </c>
      <c r="DB37" s="376" t="s">
        <v>574</v>
      </c>
      <c r="DC37" s="230"/>
      <c r="DD37" s="183" t="str">
        <f t="shared" si="151"/>
        <v/>
      </c>
      <c r="DE37" s="203" t="str">
        <f t="shared" si="40"/>
        <v>OK</v>
      </c>
      <c r="DF37" s="376" t="s">
        <v>574</v>
      </c>
      <c r="DG37" s="230"/>
      <c r="DH37" s="183" t="str">
        <f t="shared" si="152"/>
        <v/>
      </c>
      <c r="DI37" s="203" t="str">
        <f t="shared" si="42"/>
        <v>OK</v>
      </c>
      <c r="DJ37" s="376" t="s">
        <v>574</v>
      </c>
      <c r="DK37" s="230"/>
      <c r="DL37" s="183" t="str">
        <f t="shared" si="153"/>
        <v/>
      </c>
      <c r="DM37" s="203" t="str">
        <f t="shared" si="44"/>
        <v>OK</v>
      </c>
      <c r="DN37" s="376" t="s">
        <v>574</v>
      </c>
      <c r="DO37" s="230"/>
      <c r="DP37" s="183" t="str">
        <f t="shared" si="154"/>
        <v/>
      </c>
      <c r="DQ37" s="203" t="str">
        <f t="shared" si="46"/>
        <v>OK</v>
      </c>
      <c r="DR37" s="376" t="s">
        <v>574</v>
      </c>
      <c r="DS37" s="230"/>
      <c r="DT37" s="183" t="str">
        <f t="shared" si="155"/>
        <v/>
      </c>
      <c r="DU37" s="203" t="str">
        <f t="shared" si="48"/>
        <v>OK</v>
      </c>
      <c r="DV37" s="376" t="s">
        <v>574</v>
      </c>
      <c r="DW37" s="230"/>
      <c r="DX37" s="183" t="str">
        <f t="shared" si="156"/>
        <v/>
      </c>
      <c r="DY37" s="203" t="str">
        <f t="shared" si="50"/>
        <v>OK</v>
      </c>
      <c r="DZ37" s="376" t="s">
        <v>574</v>
      </c>
      <c r="EA37" s="230"/>
      <c r="EB37" s="183" t="str">
        <f t="shared" si="157"/>
        <v/>
      </c>
      <c r="EC37" s="203" t="str">
        <f t="shared" si="52"/>
        <v>OK</v>
      </c>
      <c r="ED37" s="376" t="s">
        <v>574</v>
      </c>
      <c r="EE37" s="230"/>
      <c r="EF37" s="183" t="str">
        <f t="shared" si="158"/>
        <v/>
      </c>
      <c r="EG37" s="203" t="str">
        <f t="shared" si="54"/>
        <v>OK</v>
      </c>
      <c r="EH37" s="376" t="s">
        <v>574</v>
      </c>
      <c r="EI37" s="230"/>
      <c r="EJ37" s="183" t="str">
        <f t="shared" si="159"/>
        <v/>
      </c>
      <c r="EK37" s="203" t="str">
        <f t="shared" si="56"/>
        <v>OK</v>
      </c>
      <c r="EL37" s="376" t="s">
        <v>574</v>
      </c>
      <c r="EM37" s="230"/>
      <c r="EN37" s="183" t="str">
        <f t="shared" si="160"/>
        <v/>
      </c>
      <c r="EO37" s="203" t="str">
        <f t="shared" si="58"/>
        <v>OK</v>
      </c>
      <c r="EP37" s="376" t="s">
        <v>574</v>
      </c>
      <c r="EQ37" s="230"/>
      <c r="ER37" s="183" t="str">
        <f t="shared" si="161"/>
        <v/>
      </c>
      <c r="ES37" s="203" t="str">
        <f t="shared" si="60"/>
        <v>OK</v>
      </c>
      <c r="ET37" s="376" t="s">
        <v>574</v>
      </c>
      <c r="EU37" s="230"/>
      <c r="EV37" s="183" t="str">
        <f t="shared" si="162"/>
        <v/>
      </c>
      <c r="EW37" s="203" t="str">
        <f t="shared" si="62"/>
        <v>OK</v>
      </c>
      <c r="EX37" s="376" t="s">
        <v>574</v>
      </c>
      <c r="EY37" s="230"/>
      <c r="EZ37" s="183" t="str">
        <f t="shared" si="163"/>
        <v/>
      </c>
      <c r="FA37" s="203" t="str">
        <f t="shared" si="64"/>
        <v>OK</v>
      </c>
      <c r="FB37" s="376" t="s">
        <v>574</v>
      </c>
      <c r="FC37" s="230"/>
      <c r="FD37" s="183" t="str">
        <f t="shared" si="164"/>
        <v/>
      </c>
      <c r="FE37" s="203" t="str">
        <f t="shared" si="66"/>
        <v>OK</v>
      </c>
      <c r="FF37" s="376" t="s">
        <v>574</v>
      </c>
      <c r="FG37" s="230"/>
      <c r="FH37" s="183" t="str">
        <f t="shared" si="165"/>
        <v/>
      </c>
      <c r="FI37" s="203" t="str">
        <f t="shared" si="68"/>
        <v>OK</v>
      </c>
      <c r="FJ37" s="376" t="s">
        <v>574</v>
      </c>
      <c r="FK37" s="230"/>
      <c r="FL37" s="183" t="str">
        <f t="shared" si="166"/>
        <v/>
      </c>
      <c r="FM37" s="203" t="str">
        <f t="shared" si="70"/>
        <v>OK</v>
      </c>
      <c r="FN37" s="376" t="s">
        <v>574</v>
      </c>
      <c r="FO37" s="230"/>
      <c r="FP37" s="183" t="str">
        <f t="shared" si="167"/>
        <v/>
      </c>
      <c r="FQ37" s="203" t="str">
        <f t="shared" si="72"/>
        <v>OK</v>
      </c>
      <c r="FR37" s="376" t="s">
        <v>574</v>
      </c>
      <c r="FS37" s="230"/>
      <c r="FT37" s="183" t="str">
        <f t="shared" si="168"/>
        <v/>
      </c>
      <c r="FU37" s="203" t="str">
        <f t="shared" si="74"/>
        <v>OK</v>
      </c>
      <c r="FV37" s="376" t="s">
        <v>574</v>
      </c>
      <c r="FW37" s="230"/>
      <c r="FX37" s="183" t="str">
        <f t="shared" si="169"/>
        <v/>
      </c>
      <c r="FY37" s="203" t="str">
        <f t="shared" si="76"/>
        <v>OK</v>
      </c>
      <c r="FZ37" s="376" t="s">
        <v>574</v>
      </c>
      <c r="GA37" s="230"/>
      <c r="GB37" s="183" t="str">
        <f t="shared" si="170"/>
        <v/>
      </c>
      <c r="GC37" s="203" t="str">
        <f t="shared" si="78"/>
        <v>OK</v>
      </c>
      <c r="GD37" s="376" t="s">
        <v>574</v>
      </c>
      <c r="GE37" s="230"/>
      <c r="GF37" s="183" t="str">
        <f t="shared" si="171"/>
        <v/>
      </c>
      <c r="GG37" s="203" t="str">
        <f t="shared" si="80"/>
        <v>OK</v>
      </c>
      <c r="GH37" s="376" t="s">
        <v>574</v>
      </c>
      <c r="GI37" s="230"/>
      <c r="GJ37" s="183" t="str">
        <f t="shared" si="172"/>
        <v/>
      </c>
      <c r="GK37" s="203" t="str">
        <f t="shared" si="82"/>
        <v>OK</v>
      </c>
      <c r="GL37" s="376" t="s">
        <v>574</v>
      </c>
      <c r="GM37" s="230"/>
      <c r="GN37" s="183" t="str">
        <f t="shared" si="173"/>
        <v/>
      </c>
      <c r="GO37" s="203" t="str">
        <f t="shared" si="84"/>
        <v>OK</v>
      </c>
      <c r="GP37" s="376" t="s">
        <v>574</v>
      </c>
      <c r="GQ37" s="230"/>
      <c r="GR37" s="183" t="str">
        <f t="shared" si="174"/>
        <v/>
      </c>
      <c r="GS37" s="203" t="str">
        <f t="shared" si="86"/>
        <v>OK</v>
      </c>
      <c r="GT37" s="202"/>
      <c r="GU37" s="202"/>
      <c r="GV37" s="201"/>
      <c r="GW37" s="201"/>
      <c r="GX37" s="201"/>
    </row>
    <row r="38" spans="1:206">
      <c r="A38" s="200" t="s">
        <v>336</v>
      </c>
      <c r="B38" s="225">
        <f t="shared" si="130"/>
        <v>31</v>
      </c>
      <c r="C38" s="229"/>
      <c r="D38" s="229"/>
      <c r="E38" s="228"/>
      <c r="F38" s="223"/>
      <c r="G38" s="222" t="s">
        <v>404</v>
      </c>
      <c r="H38" s="220"/>
      <c r="I38" s="209"/>
      <c r="J38" s="217" t="s">
        <v>23</v>
      </c>
      <c r="K38" s="219"/>
      <c r="L38" s="219"/>
      <c r="M38" s="218"/>
      <c r="N38" s="217"/>
      <c r="O38" s="216"/>
      <c r="P38" s="212"/>
      <c r="Q38" s="212"/>
      <c r="R38" s="215"/>
      <c r="S38" s="214"/>
      <c r="T38" s="212"/>
      <c r="U38" s="213"/>
      <c r="V38" s="212"/>
      <c r="W38" s="211" t="str">
        <f t="shared" si="131"/>
        <v>4</v>
      </c>
      <c r="X38" s="210" t="s">
        <v>403</v>
      </c>
      <c r="Y38" s="210">
        <v>1</v>
      </c>
      <c r="Z38" s="210">
        <v>30</v>
      </c>
      <c r="AA38" s="209" t="s">
        <v>69</v>
      </c>
      <c r="AB38" s="209" t="s">
        <v>306</v>
      </c>
      <c r="AC38" s="207"/>
      <c r="AD38" s="376" t="s">
        <v>575</v>
      </c>
      <c r="AE38" s="230"/>
      <c r="AF38" s="183" t="str">
        <f t="shared" si="132"/>
        <v/>
      </c>
      <c r="AG38" s="203" t="str">
        <f t="shared" si="2"/>
        <v>OK</v>
      </c>
      <c r="AH38" s="376" t="s">
        <v>575</v>
      </c>
      <c r="AI38" s="230"/>
      <c r="AJ38" s="183" t="str">
        <f t="shared" si="133"/>
        <v/>
      </c>
      <c r="AK38" s="203" t="str">
        <f t="shared" si="4"/>
        <v>OK</v>
      </c>
      <c r="AL38" s="376" t="s">
        <v>575</v>
      </c>
      <c r="AM38" s="230"/>
      <c r="AN38" s="183" t="str">
        <f t="shared" si="134"/>
        <v/>
      </c>
      <c r="AO38" s="203" t="str">
        <f t="shared" si="6"/>
        <v>OK</v>
      </c>
      <c r="AP38" s="376" t="s">
        <v>575</v>
      </c>
      <c r="AQ38" s="230"/>
      <c r="AR38" s="183" t="str">
        <f t="shared" si="135"/>
        <v/>
      </c>
      <c r="AS38" s="203" t="str">
        <f t="shared" si="8"/>
        <v>OK</v>
      </c>
      <c r="AT38" s="376" t="s">
        <v>575</v>
      </c>
      <c r="AU38" s="230"/>
      <c r="AV38" s="183" t="str">
        <f t="shared" si="136"/>
        <v/>
      </c>
      <c r="AW38" s="203" t="str">
        <f t="shared" si="10"/>
        <v>OK</v>
      </c>
      <c r="AX38" s="376" t="s">
        <v>575</v>
      </c>
      <c r="AY38" s="230"/>
      <c r="AZ38" s="183" t="str">
        <f t="shared" si="137"/>
        <v/>
      </c>
      <c r="BA38" s="203" t="str">
        <f t="shared" si="12"/>
        <v>OK</v>
      </c>
      <c r="BB38" s="376" t="s">
        <v>575</v>
      </c>
      <c r="BC38" s="230"/>
      <c r="BD38" s="183" t="str">
        <f t="shared" si="138"/>
        <v/>
      </c>
      <c r="BE38" s="203" t="str">
        <f t="shared" si="14"/>
        <v>OK</v>
      </c>
      <c r="BF38" s="376" t="s">
        <v>575</v>
      </c>
      <c r="BG38" s="230"/>
      <c r="BH38" s="183" t="str">
        <f t="shared" si="139"/>
        <v/>
      </c>
      <c r="BI38" s="203" t="str">
        <f t="shared" si="16"/>
        <v>OK</v>
      </c>
      <c r="BJ38" s="376" t="s">
        <v>575</v>
      </c>
      <c r="BK38" s="230"/>
      <c r="BL38" s="183" t="str">
        <f t="shared" si="140"/>
        <v/>
      </c>
      <c r="BM38" s="203" t="str">
        <f t="shared" si="18"/>
        <v>OK</v>
      </c>
      <c r="BN38" s="376" t="s">
        <v>575</v>
      </c>
      <c r="BO38" s="230"/>
      <c r="BP38" s="183" t="str">
        <f t="shared" si="141"/>
        <v/>
      </c>
      <c r="BQ38" s="203" t="str">
        <f t="shared" si="20"/>
        <v>OK</v>
      </c>
      <c r="BR38" s="376" t="s">
        <v>575</v>
      </c>
      <c r="BS38" s="230"/>
      <c r="BT38" s="183" t="str">
        <f t="shared" si="142"/>
        <v/>
      </c>
      <c r="BU38" s="203" t="str">
        <f t="shared" si="22"/>
        <v>OK</v>
      </c>
      <c r="BV38" s="376" t="s">
        <v>575</v>
      </c>
      <c r="BW38" s="230"/>
      <c r="BX38" s="183" t="str">
        <f t="shared" si="143"/>
        <v/>
      </c>
      <c r="BY38" s="203" t="str">
        <f t="shared" si="24"/>
        <v>OK</v>
      </c>
      <c r="BZ38" s="376" t="s">
        <v>575</v>
      </c>
      <c r="CA38" s="230"/>
      <c r="CB38" s="183" t="str">
        <f t="shared" si="144"/>
        <v/>
      </c>
      <c r="CC38" s="203" t="str">
        <f t="shared" si="26"/>
        <v>OK</v>
      </c>
      <c r="CD38" s="376" t="s">
        <v>575</v>
      </c>
      <c r="CE38" s="230"/>
      <c r="CF38" s="183" t="str">
        <f t="shared" si="145"/>
        <v/>
      </c>
      <c r="CG38" s="203" t="str">
        <f t="shared" si="28"/>
        <v>OK</v>
      </c>
      <c r="CH38" s="376" t="s">
        <v>575</v>
      </c>
      <c r="CI38" s="230"/>
      <c r="CJ38" s="183" t="str">
        <f t="shared" si="146"/>
        <v/>
      </c>
      <c r="CK38" s="203" t="str">
        <f t="shared" si="30"/>
        <v>OK</v>
      </c>
      <c r="CL38" s="376" t="s">
        <v>575</v>
      </c>
      <c r="CM38" s="230"/>
      <c r="CN38" s="183" t="str">
        <f t="shared" si="147"/>
        <v/>
      </c>
      <c r="CO38" s="203" t="str">
        <f t="shared" si="32"/>
        <v>OK</v>
      </c>
      <c r="CP38" s="376" t="s">
        <v>575</v>
      </c>
      <c r="CQ38" s="230"/>
      <c r="CR38" s="183" t="str">
        <f t="shared" si="148"/>
        <v/>
      </c>
      <c r="CS38" s="203" t="str">
        <f t="shared" si="34"/>
        <v>OK</v>
      </c>
      <c r="CT38" s="376" t="s">
        <v>575</v>
      </c>
      <c r="CU38" s="230"/>
      <c r="CV38" s="183" t="str">
        <f t="shared" si="149"/>
        <v/>
      </c>
      <c r="CW38" s="203" t="str">
        <f t="shared" si="36"/>
        <v>OK</v>
      </c>
      <c r="CX38" s="376" t="s">
        <v>575</v>
      </c>
      <c r="CY38" s="230"/>
      <c r="CZ38" s="183" t="str">
        <f t="shared" si="150"/>
        <v/>
      </c>
      <c r="DA38" s="203" t="str">
        <f t="shared" si="38"/>
        <v>OK</v>
      </c>
      <c r="DB38" s="376" t="s">
        <v>575</v>
      </c>
      <c r="DC38" s="230"/>
      <c r="DD38" s="183" t="str">
        <f t="shared" si="151"/>
        <v/>
      </c>
      <c r="DE38" s="203" t="str">
        <f t="shared" si="40"/>
        <v>OK</v>
      </c>
      <c r="DF38" s="376" t="s">
        <v>575</v>
      </c>
      <c r="DG38" s="230"/>
      <c r="DH38" s="183" t="str">
        <f t="shared" si="152"/>
        <v/>
      </c>
      <c r="DI38" s="203" t="str">
        <f t="shared" si="42"/>
        <v>OK</v>
      </c>
      <c r="DJ38" s="376" t="s">
        <v>575</v>
      </c>
      <c r="DK38" s="230"/>
      <c r="DL38" s="183" t="str">
        <f t="shared" si="153"/>
        <v/>
      </c>
      <c r="DM38" s="203" t="str">
        <f t="shared" si="44"/>
        <v>OK</v>
      </c>
      <c r="DN38" s="376" t="s">
        <v>575</v>
      </c>
      <c r="DO38" s="230"/>
      <c r="DP38" s="183" t="str">
        <f t="shared" si="154"/>
        <v/>
      </c>
      <c r="DQ38" s="203" t="str">
        <f t="shared" si="46"/>
        <v>OK</v>
      </c>
      <c r="DR38" s="376" t="s">
        <v>575</v>
      </c>
      <c r="DS38" s="230"/>
      <c r="DT38" s="183" t="str">
        <f t="shared" si="155"/>
        <v/>
      </c>
      <c r="DU38" s="203" t="str">
        <f t="shared" si="48"/>
        <v>OK</v>
      </c>
      <c r="DV38" s="376" t="s">
        <v>575</v>
      </c>
      <c r="DW38" s="230"/>
      <c r="DX38" s="183" t="str">
        <f t="shared" si="156"/>
        <v/>
      </c>
      <c r="DY38" s="203" t="str">
        <f t="shared" si="50"/>
        <v>OK</v>
      </c>
      <c r="DZ38" s="376" t="s">
        <v>575</v>
      </c>
      <c r="EA38" s="230"/>
      <c r="EB38" s="183" t="str">
        <f t="shared" si="157"/>
        <v/>
      </c>
      <c r="EC38" s="203" t="str">
        <f t="shared" si="52"/>
        <v>OK</v>
      </c>
      <c r="ED38" s="376" t="s">
        <v>575</v>
      </c>
      <c r="EE38" s="230"/>
      <c r="EF38" s="183" t="str">
        <f t="shared" si="158"/>
        <v/>
      </c>
      <c r="EG38" s="203" t="str">
        <f t="shared" si="54"/>
        <v>OK</v>
      </c>
      <c r="EH38" s="376" t="s">
        <v>575</v>
      </c>
      <c r="EI38" s="230"/>
      <c r="EJ38" s="183" t="str">
        <f t="shared" si="159"/>
        <v/>
      </c>
      <c r="EK38" s="203" t="str">
        <f t="shared" si="56"/>
        <v>OK</v>
      </c>
      <c r="EL38" s="376" t="s">
        <v>575</v>
      </c>
      <c r="EM38" s="230"/>
      <c r="EN38" s="183" t="str">
        <f t="shared" si="160"/>
        <v/>
      </c>
      <c r="EO38" s="203" t="str">
        <f t="shared" si="58"/>
        <v>OK</v>
      </c>
      <c r="EP38" s="376" t="s">
        <v>575</v>
      </c>
      <c r="EQ38" s="230"/>
      <c r="ER38" s="183" t="str">
        <f t="shared" si="161"/>
        <v/>
      </c>
      <c r="ES38" s="203" t="str">
        <f t="shared" si="60"/>
        <v>OK</v>
      </c>
      <c r="ET38" s="376" t="s">
        <v>575</v>
      </c>
      <c r="EU38" s="230"/>
      <c r="EV38" s="183" t="str">
        <f t="shared" si="162"/>
        <v/>
      </c>
      <c r="EW38" s="203" t="str">
        <f t="shared" si="62"/>
        <v>OK</v>
      </c>
      <c r="EX38" s="376" t="s">
        <v>575</v>
      </c>
      <c r="EY38" s="230"/>
      <c r="EZ38" s="183" t="str">
        <f t="shared" si="163"/>
        <v/>
      </c>
      <c r="FA38" s="203" t="str">
        <f t="shared" si="64"/>
        <v>OK</v>
      </c>
      <c r="FB38" s="376" t="s">
        <v>575</v>
      </c>
      <c r="FC38" s="230"/>
      <c r="FD38" s="183" t="str">
        <f t="shared" si="164"/>
        <v/>
      </c>
      <c r="FE38" s="203" t="str">
        <f t="shared" si="66"/>
        <v>OK</v>
      </c>
      <c r="FF38" s="376" t="s">
        <v>575</v>
      </c>
      <c r="FG38" s="230"/>
      <c r="FH38" s="183" t="str">
        <f t="shared" si="165"/>
        <v/>
      </c>
      <c r="FI38" s="203" t="str">
        <f t="shared" si="68"/>
        <v>OK</v>
      </c>
      <c r="FJ38" s="376" t="s">
        <v>575</v>
      </c>
      <c r="FK38" s="230"/>
      <c r="FL38" s="183" t="str">
        <f t="shared" si="166"/>
        <v/>
      </c>
      <c r="FM38" s="203" t="str">
        <f t="shared" si="70"/>
        <v>OK</v>
      </c>
      <c r="FN38" s="376" t="s">
        <v>575</v>
      </c>
      <c r="FO38" s="230"/>
      <c r="FP38" s="183" t="str">
        <f t="shared" si="167"/>
        <v/>
      </c>
      <c r="FQ38" s="203" t="str">
        <f t="shared" si="72"/>
        <v>OK</v>
      </c>
      <c r="FR38" s="376" t="s">
        <v>575</v>
      </c>
      <c r="FS38" s="230"/>
      <c r="FT38" s="183" t="str">
        <f t="shared" si="168"/>
        <v/>
      </c>
      <c r="FU38" s="203" t="str">
        <f t="shared" si="74"/>
        <v>OK</v>
      </c>
      <c r="FV38" s="376" t="s">
        <v>575</v>
      </c>
      <c r="FW38" s="230"/>
      <c r="FX38" s="183" t="str">
        <f t="shared" si="169"/>
        <v/>
      </c>
      <c r="FY38" s="203" t="str">
        <f t="shared" si="76"/>
        <v>OK</v>
      </c>
      <c r="FZ38" s="376" t="s">
        <v>575</v>
      </c>
      <c r="GA38" s="230"/>
      <c r="GB38" s="183" t="str">
        <f t="shared" si="170"/>
        <v/>
      </c>
      <c r="GC38" s="203" t="str">
        <f t="shared" si="78"/>
        <v>OK</v>
      </c>
      <c r="GD38" s="376" t="s">
        <v>575</v>
      </c>
      <c r="GE38" s="230"/>
      <c r="GF38" s="183" t="str">
        <f t="shared" si="171"/>
        <v/>
      </c>
      <c r="GG38" s="203" t="str">
        <f t="shared" si="80"/>
        <v>OK</v>
      </c>
      <c r="GH38" s="376" t="s">
        <v>575</v>
      </c>
      <c r="GI38" s="230"/>
      <c r="GJ38" s="183" t="str">
        <f t="shared" si="172"/>
        <v/>
      </c>
      <c r="GK38" s="203" t="str">
        <f t="shared" si="82"/>
        <v>OK</v>
      </c>
      <c r="GL38" s="376" t="s">
        <v>575</v>
      </c>
      <c r="GM38" s="230"/>
      <c r="GN38" s="183" t="str">
        <f t="shared" si="173"/>
        <v/>
      </c>
      <c r="GO38" s="203" t="str">
        <f t="shared" si="84"/>
        <v>OK</v>
      </c>
      <c r="GP38" s="376" t="s">
        <v>575</v>
      </c>
      <c r="GQ38" s="230"/>
      <c r="GR38" s="183" t="str">
        <f t="shared" si="174"/>
        <v/>
      </c>
      <c r="GS38" s="203" t="str">
        <f t="shared" si="86"/>
        <v>OK</v>
      </c>
      <c r="GT38" s="202"/>
      <c r="GU38" s="202"/>
      <c r="GV38" s="201"/>
      <c r="GW38" s="201"/>
      <c r="GX38" s="201"/>
    </row>
    <row r="39" spans="1:206">
      <c r="A39" s="200" t="s">
        <v>336</v>
      </c>
      <c r="B39" s="225">
        <f t="shared" si="130"/>
        <v>32</v>
      </c>
      <c r="C39" s="229"/>
      <c r="D39" s="229"/>
      <c r="E39" s="228"/>
      <c r="F39" s="234" t="s">
        <v>402</v>
      </c>
      <c r="G39" s="233"/>
      <c r="H39" s="232"/>
      <c r="I39" s="209"/>
      <c r="J39" s="217" t="s">
        <v>23</v>
      </c>
      <c r="K39" s="219"/>
      <c r="L39" s="219"/>
      <c r="M39" s="218" t="s">
        <v>401</v>
      </c>
      <c r="N39" s="217"/>
      <c r="O39" s="216"/>
      <c r="P39" s="212"/>
      <c r="Q39" s="212"/>
      <c r="R39" s="215"/>
      <c r="S39" s="214"/>
      <c r="T39" s="212"/>
      <c r="U39" s="213"/>
      <c r="V39" s="212"/>
      <c r="W39" s="211" t="str">
        <f t="shared" si="131"/>
        <v>3</v>
      </c>
      <c r="X39" s="210" t="s">
        <v>400</v>
      </c>
      <c r="Y39" s="210"/>
      <c r="Z39" s="210"/>
      <c r="AA39" s="209"/>
      <c r="AB39" s="209" t="s">
        <v>306</v>
      </c>
      <c r="AC39" s="207"/>
      <c r="AD39" s="226"/>
      <c r="AE39" s="230"/>
      <c r="AF39" s="183" t="str">
        <f t="shared" si="132"/>
        <v/>
      </c>
      <c r="AG39" s="203" t="str">
        <f t="shared" si="2"/>
        <v>OK</v>
      </c>
      <c r="AH39" s="226"/>
      <c r="AI39" s="230"/>
      <c r="AJ39" s="183" t="str">
        <f t="shared" si="133"/>
        <v/>
      </c>
      <c r="AK39" s="203" t="str">
        <f t="shared" si="4"/>
        <v>OK</v>
      </c>
      <c r="AL39" s="226"/>
      <c r="AM39" s="230"/>
      <c r="AN39" s="183" t="str">
        <f t="shared" si="134"/>
        <v/>
      </c>
      <c r="AO39" s="203" t="str">
        <f t="shared" si="6"/>
        <v>OK</v>
      </c>
      <c r="AP39" s="226"/>
      <c r="AQ39" s="230"/>
      <c r="AR39" s="183" t="str">
        <f t="shared" si="135"/>
        <v/>
      </c>
      <c r="AS39" s="203" t="str">
        <f t="shared" si="8"/>
        <v>OK</v>
      </c>
      <c r="AT39" s="226"/>
      <c r="AU39" s="230"/>
      <c r="AV39" s="183" t="str">
        <f t="shared" si="136"/>
        <v/>
      </c>
      <c r="AW39" s="203" t="str">
        <f t="shared" si="10"/>
        <v>OK</v>
      </c>
      <c r="AX39" s="226"/>
      <c r="AY39" s="230"/>
      <c r="AZ39" s="183" t="str">
        <f t="shared" si="137"/>
        <v/>
      </c>
      <c r="BA39" s="203" t="str">
        <f t="shared" si="12"/>
        <v>OK</v>
      </c>
      <c r="BB39" s="226"/>
      <c r="BC39" s="230"/>
      <c r="BD39" s="183" t="str">
        <f t="shared" si="138"/>
        <v/>
      </c>
      <c r="BE39" s="203" t="str">
        <f t="shared" si="14"/>
        <v>OK</v>
      </c>
      <c r="BF39" s="226"/>
      <c r="BG39" s="230"/>
      <c r="BH39" s="183" t="str">
        <f t="shared" si="139"/>
        <v/>
      </c>
      <c r="BI39" s="203" t="str">
        <f t="shared" si="16"/>
        <v>OK</v>
      </c>
      <c r="BJ39" s="226"/>
      <c r="BK39" s="230"/>
      <c r="BL39" s="183" t="str">
        <f t="shared" si="140"/>
        <v/>
      </c>
      <c r="BM39" s="203" t="str">
        <f t="shared" si="18"/>
        <v>OK</v>
      </c>
      <c r="BN39" s="226"/>
      <c r="BO39" s="230"/>
      <c r="BP39" s="183" t="str">
        <f t="shared" si="141"/>
        <v/>
      </c>
      <c r="BQ39" s="203" t="str">
        <f t="shared" si="20"/>
        <v>OK</v>
      </c>
      <c r="BR39" s="226"/>
      <c r="BS39" s="230"/>
      <c r="BT39" s="183" t="str">
        <f t="shared" si="142"/>
        <v/>
      </c>
      <c r="BU39" s="203" t="str">
        <f t="shared" si="22"/>
        <v>OK</v>
      </c>
      <c r="BV39" s="226"/>
      <c r="BW39" s="230"/>
      <c r="BX39" s="183" t="str">
        <f t="shared" si="143"/>
        <v/>
      </c>
      <c r="BY39" s="203" t="str">
        <f t="shared" si="24"/>
        <v>OK</v>
      </c>
      <c r="BZ39" s="226"/>
      <c r="CA39" s="230"/>
      <c r="CB39" s="183" t="str">
        <f t="shared" si="144"/>
        <v/>
      </c>
      <c r="CC39" s="203" t="str">
        <f t="shared" si="26"/>
        <v>OK</v>
      </c>
      <c r="CD39" s="226"/>
      <c r="CE39" s="230"/>
      <c r="CF39" s="183" t="str">
        <f t="shared" si="145"/>
        <v/>
      </c>
      <c r="CG39" s="203" t="str">
        <f t="shared" si="28"/>
        <v>OK</v>
      </c>
      <c r="CH39" s="226"/>
      <c r="CI39" s="230"/>
      <c r="CJ39" s="183" t="str">
        <f t="shared" si="146"/>
        <v/>
      </c>
      <c r="CK39" s="203" t="str">
        <f t="shared" si="30"/>
        <v>OK</v>
      </c>
      <c r="CL39" s="226"/>
      <c r="CM39" s="230"/>
      <c r="CN39" s="183" t="str">
        <f t="shared" si="147"/>
        <v/>
      </c>
      <c r="CO39" s="203" t="str">
        <f t="shared" si="32"/>
        <v>OK</v>
      </c>
      <c r="CP39" s="226"/>
      <c r="CQ39" s="230"/>
      <c r="CR39" s="183" t="str">
        <f t="shared" si="148"/>
        <v/>
      </c>
      <c r="CS39" s="203" t="str">
        <f t="shared" si="34"/>
        <v>OK</v>
      </c>
      <c r="CT39" s="226"/>
      <c r="CU39" s="230"/>
      <c r="CV39" s="183" t="str">
        <f t="shared" si="149"/>
        <v/>
      </c>
      <c r="CW39" s="203" t="str">
        <f t="shared" si="36"/>
        <v>OK</v>
      </c>
      <c r="CX39" s="226"/>
      <c r="CY39" s="230"/>
      <c r="CZ39" s="183" t="str">
        <f t="shared" si="150"/>
        <v/>
      </c>
      <c r="DA39" s="203" t="str">
        <f t="shared" si="38"/>
        <v>OK</v>
      </c>
      <c r="DB39" s="226"/>
      <c r="DC39" s="230"/>
      <c r="DD39" s="183" t="str">
        <f t="shared" si="151"/>
        <v/>
      </c>
      <c r="DE39" s="203" t="str">
        <f t="shared" si="40"/>
        <v>OK</v>
      </c>
      <c r="DF39" s="226"/>
      <c r="DG39" s="230"/>
      <c r="DH39" s="183" t="str">
        <f t="shared" si="152"/>
        <v/>
      </c>
      <c r="DI39" s="203" t="str">
        <f t="shared" si="42"/>
        <v>OK</v>
      </c>
      <c r="DJ39" s="226"/>
      <c r="DK39" s="230"/>
      <c r="DL39" s="183" t="str">
        <f t="shared" si="153"/>
        <v/>
      </c>
      <c r="DM39" s="203" t="str">
        <f t="shared" si="44"/>
        <v>OK</v>
      </c>
      <c r="DN39" s="226"/>
      <c r="DO39" s="230"/>
      <c r="DP39" s="183" t="str">
        <f t="shared" si="154"/>
        <v/>
      </c>
      <c r="DQ39" s="203" t="str">
        <f t="shared" si="46"/>
        <v>OK</v>
      </c>
      <c r="DR39" s="226"/>
      <c r="DS39" s="230"/>
      <c r="DT39" s="183" t="str">
        <f t="shared" si="155"/>
        <v/>
      </c>
      <c r="DU39" s="203" t="str">
        <f t="shared" si="48"/>
        <v>OK</v>
      </c>
      <c r="DV39" s="226"/>
      <c r="DW39" s="230"/>
      <c r="DX39" s="183" t="str">
        <f t="shared" si="156"/>
        <v/>
      </c>
      <c r="DY39" s="203" t="str">
        <f t="shared" si="50"/>
        <v>OK</v>
      </c>
      <c r="DZ39" s="226"/>
      <c r="EA39" s="230"/>
      <c r="EB39" s="183" t="str">
        <f t="shared" si="157"/>
        <v/>
      </c>
      <c r="EC39" s="203" t="str">
        <f t="shared" si="52"/>
        <v>OK</v>
      </c>
      <c r="ED39" s="226"/>
      <c r="EE39" s="230"/>
      <c r="EF39" s="183" t="str">
        <f t="shared" si="158"/>
        <v/>
      </c>
      <c r="EG39" s="203" t="str">
        <f t="shared" si="54"/>
        <v>OK</v>
      </c>
      <c r="EH39" s="226"/>
      <c r="EI39" s="230"/>
      <c r="EJ39" s="183" t="str">
        <f t="shared" si="159"/>
        <v/>
      </c>
      <c r="EK39" s="203" t="str">
        <f t="shared" si="56"/>
        <v>OK</v>
      </c>
      <c r="EL39" s="226"/>
      <c r="EM39" s="230"/>
      <c r="EN39" s="183" t="str">
        <f t="shared" si="160"/>
        <v/>
      </c>
      <c r="EO39" s="203" t="str">
        <f t="shared" si="58"/>
        <v>OK</v>
      </c>
      <c r="EP39" s="226"/>
      <c r="EQ39" s="230"/>
      <c r="ER39" s="183" t="str">
        <f t="shared" si="161"/>
        <v/>
      </c>
      <c r="ES39" s="203" t="str">
        <f t="shared" si="60"/>
        <v>OK</v>
      </c>
      <c r="ET39" s="226"/>
      <c r="EU39" s="230"/>
      <c r="EV39" s="183" t="str">
        <f t="shared" si="162"/>
        <v/>
      </c>
      <c r="EW39" s="203" t="str">
        <f t="shared" si="62"/>
        <v>OK</v>
      </c>
      <c r="EX39" s="226"/>
      <c r="EY39" s="230"/>
      <c r="EZ39" s="183" t="str">
        <f t="shared" si="163"/>
        <v/>
      </c>
      <c r="FA39" s="203" t="str">
        <f t="shared" si="64"/>
        <v>OK</v>
      </c>
      <c r="FB39" s="226"/>
      <c r="FC39" s="230"/>
      <c r="FD39" s="183" t="str">
        <f t="shared" si="164"/>
        <v/>
      </c>
      <c r="FE39" s="203" t="str">
        <f t="shared" si="66"/>
        <v>OK</v>
      </c>
      <c r="FF39" s="226"/>
      <c r="FG39" s="230"/>
      <c r="FH39" s="183" t="str">
        <f t="shared" si="165"/>
        <v/>
      </c>
      <c r="FI39" s="203" t="str">
        <f t="shared" si="68"/>
        <v>OK</v>
      </c>
      <c r="FJ39" s="226"/>
      <c r="FK39" s="230"/>
      <c r="FL39" s="183" t="str">
        <f t="shared" si="166"/>
        <v/>
      </c>
      <c r="FM39" s="203" t="str">
        <f t="shared" si="70"/>
        <v>OK</v>
      </c>
      <c r="FN39" s="226"/>
      <c r="FO39" s="230"/>
      <c r="FP39" s="183" t="str">
        <f t="shared" si="167"/>
        <v/>
      </c>
      <c r="FQ39" s="203" t="str">
        <f t="shared" si="72"/>
        <v>OK</v>
      </c>
      <c r="FR39" s="226"/>
      <c r="FS39" s="230"/>
      <c r="FT39" s="183" t="str">
        <f t="shared" si="168"/>
        <v/>
      </c>
      <c r="FU39" s="203" t="str">
        <f t="shared" si="74"/>
        <v>OK</v>
      </c>
      <c r="FV39" s="226"/>
      <c r="FW39" s="230"/>
      <c r="FX39" s="183" t="str">
        <f t="shared" si="169"/>
        <v/>
      </c>
      <c r="FY39" s="203" t="str">
        <f t="shared" si="76"/>
        <v>OK</v>
      </c>
      <c r="FZ39" s="226"/>
      <c r="GA39" s="230"/>
      <c r="GB39" s="183" t="str">
        <f t="shared" si="170"/>
        <v/>
      </c>
      <c r="GC39" s="203" t="str">
        <f t="shared" si="78"/>
        <v>OK</v>
      </c>
      <c r="GD39" s="226"/>
      <c r="GE39" s="230"/>
      <c r="GF39" s="183" t="str">
        <f t="shared" si="171"/>
        <v/>
      </c>
      <c r="GG39" s="203" t="str">
        <f t="shared" si="80"/>
        <v>OK</v>
      </c>
      <c r="GH39" s="226"/>
      <c r="GI39" s="230"/>
      <c r="GJ39" s="183" t="str">
        <f t="shared" si="172"/>
        <v/>
      </c>
      <c r="GK39" s="203" t="str">
        <f t="shared" si="82"/>
        <v>OK</v>
      </c>
      <c r="GL39" s="226"/>
      <c r="GM39" s="230"/>
      <c r="GN39" s="183" t="str">
        <f t="shared" si="173"/>
        <v/>
      </c>
      <c r="GO39" s="203" t="str">
        <f t="shared" si="84"/>
        <v>OK</v>
      </c>
      <c r="GP39" s="226"/>
      <c r="GQ39" s="230"/>
      <c r="GR39" s="183" t="str">
        <f t="shared" si="174"/>
        <v/>
      </c>
      <c r="GS39" s="203" t="str">
        <f t="shared" si="86"/>
        <v>OK</v>
      </c>
      <c r="GT39" s="202"/>
      <c r="GU39" s="202"/>
      <c r="GV39" s="201"/>
      <c r="GW39" s="201"/>
      <c r="GX39" s="201"/>
    </row>
    <row r="40" spans="1:206">
      <c r="A40" s="200" t="s">
        <v>336</v>
      </c>
      <c r="B40" s="225">
        <f t="shared" si="130"/>
        <v>33</v>
      </c>
      <c r="C40" s="229"/>
      <c r="D40" s="229"/>
      <c r="E40" s="228"/>
      <c r="F40" s="228"/>
      <c r="G40" s="222" t="s">
        <v>399</v>
      </c>
      <c r="H40" s="220"/>
      <c r="I40" s="209"/>
      <c r="J40" s="217" t="s">
        <v>326</v>
      </c>
      <c r="K40" s="219"/>
      <c r="L40" s="219"/>
      <c r="M40" s="218"/>
      <c r="N40" s="217"/>
      <c r="O40" s="216"/>
      <c r="P40" s="212"/>
      <c r="Q40" s="212"/>
      <c r="R40" s="215"/>
      <c r="S40" s="214"/>
      <c r="T40" s="212"/>
      <c r="U40" s="213"/>
      <c r="V40" s="212"/>
      <c r="W40" s="211" t="str">
        <f t="shared" si="131"/>
        <v>4</v>
      </c>
      <c r="X40" s="210" t="s">
        <v>398</v>
      </c>
      <c r="Y40" s="210">
        <v>9</v>
      </c>
      <c r="Z40" s="210">
        <v>11</v>
      </c>
      <c r="AA40" s="209">
        <v>9</v>
      </c>
      <c r="AB40" s="209" t="s">
        <v>306</v>
      </c>
      <c r="AC40" s="207"/>
      <c r="AD40" s="231" t="s">
        <v>397</v>
      </c>
      <c r="AE40" s="230"/>
      <c r="AF40" s="183" t="str">
        <f t="shared" si="132"/>
        <v/>
      </c>
      <c r="AG40" s="203" t="str">
        <f t="shared" ref="AG40:AG71" si="175">IF(OR(AE$8="判定対象外",AF40="-"),"-",IF(AE40=AF40,"OK","NG"))</f>
        <v>OK</v>
      </c>
      <c r="AH40" s="231" t="s">
        <v>397</v>
      </c>
      <c r="AI40" s="230"/>
      <c r="AJ40" s="183" t="str">
        <f t="shared" si="133"/>
        <v/>
      </c>
      <c r="AK40" s="203" t="str">
        <f t="shared" ref="AK40:AK71" si="176">IF(OR(AI$8="判定対象外",AJ40="-"),"-",IF(AI40=AJ40,"OK","NG"))</f>
        <v>OK</v>
      </c>
      <c r="AL40" s="231" t="s">
        <v>397</v>
      </c>
      <c r="AM40" s="230"/>
      <c r="AN40" s="183" t="str">
        <f t="shared" si="134"/>
        <v/>
      </c>
      <c r="AO40" s="203" t="str">
        <f t="shared" ref="AO40:AO71" si="177">IF(OR(AM$8="判定対象外",AN40="-"),"-",IF(AM40=AN40,"OK","NG"))</f>
        <v>OK</v>
      </c>
      <c r="AP40" s="231" t="s">
        <v>397</v>
      </c>
      <c r="AQ40" s="230"/>
      <c r="AR40" s="183" t="str">
        <f t="shared" si="135"/>
        <v/>
      </c>
      <c r="AS40" s="203" t="str">
        <f t="shared" si="8"/>
        <v>OK</v>
      </c>
      <c r="AT40" s="231" t="s">
        <v>397</v>
      </c>
      <c r="AU40" s="230"/>
      <c r="AV40" s="183" t="str">
        <f t="shared" si="136"/>
        <v/>
      </c>
      <c r="AW40" s="203" t="str">
        <f t="shared" si="10"/>
        <v>OK</v>
      </c>
      <c r="AX40" s="231" t="s">
        <v>397</v>
      </c>
      <c r="AY40" s="230"/>
      <c r="AZ40" s="183" t="str">
        <f t="shared" si="137"/>
        <v/>
      </c>
      <c r="BA40" s="203" t="str">
        <f t="shared" si="12"/>
        <v>OK</v>
      </c>
      <c r="BB40" s="231" t="s">
        <v>397</v>
      </c>
      <c r="BC40" s="230"/>
      <c r="BD40" s="183" t="str">
        <f t="shared" si="138"/>
        <v/>
      </c>
      <c r="BE40" s="203" t="str">
        <f t="shared" si="14"/>
        <v>OK</v>
      </c>
      <c r="BF40" s="231" t="s">
        <v>397</v>
      </c>
      <c r="BG40" s="230"/>
      <c r="BH40" s="183" t="str">
        <f t="shared" si="139"/>
        <v/>
      </c>
      <c r="BI40" s="203" t="str">
        <f t="shared" si="16"/>
        <v>OK</v>
      </c>
      <c r="BJ40" s="231" t="s">
        <v>397</v>
      </c>
      <c r="BK40" s="230"/>
      <c r="BL40" s="183" t="str">
        <f t="shared" si="140"/>
        <v/>
      </c>
      <c r="BM40" s="203" t="str">
        <f t="shared" si="18"/>
        <v>OK</v>
      </c>
      <c r="BN40" s="231" t="s">
        <v>397</v>
      </c>
      <c r="BO40" s="230"/>
      <c r="BP40" s="183" t="str">
        <f t="shared" si="141"/>
        <v/>
      </c>
      <c r="BQ40" s="203" t="str">
        <f t="shared" si="20"/>
        <v>OK</v>
      </c>
      <c r="BR40" s="231" t="s">
        <v>397</v>
      </c>
      <c r="BS40" s="230"/>
      <c r="BT40" s="183" t="str">
        <f t="shared" si="142"/>
        <v/>
      </c>
      <c r="BU40" s="203" t="str">
        <f t="shared" si="22"/>
        <v>OK</v>
      </c>
      <c r="BV40" s="231" t="s">
        <v>397</v>
      </c>
      <c r="BW40" s="230"/>
      <c r="BX40" s="183" t="str">
        <f t="shared" si="143"/>
        <v/>
      </c>
      <c r="BY40" s="203" t="str">
        <f t="shared" si="24"/>
        <v>OK</v>
      </c>
      <c r="BZ40" s="231" t="s">
        <v>397</v>
      </c>
      <c r="CA40" s="230"/>
      <c r="CB40" s="183" t="str">
        <f t="shared" si="144"/>
        <v/>
      </c>
      <c r="CC40" s="203" t="str">
        <f t="shared" si="26"/>
        <v>OK</v>
      </c>
      <c r="CD40" s="231" t="s">
        <v>397</v>
      </c>
      <c r="CE40" s="230"/>
      <c r="CF40" s="183" t="str">
        <f t="shared" si="145"/>
        <v/>
      </c>
      <c r="CG40" s="203" t="str">
        <f t="shared" si="28"/>
        <v>OK</v>
      </c>
      <c r="CH40" s="231" t="s">
        <v>397</v>
      </c>
      <c r="CI40" s="230"/>
      <c r="CJ40" s="183" t="str">
        <f t="shared" si="146"/>
        <v/>
      </c>
      <c r="CK40" s="203" t="str">
        <f t="shared" si="30"/>
        <v>OK</v>
      </c>
      <c r="CL40" s="231" t="s">
        <v>397</v>
      </c>
      <c r="CM40" s="230"/>
      <c r="CN40" s="183" t="str">
        <f t="shared" si="147"/>
        <v/>
      </c>
      <c r="CO40" s="203" t="str">
        <f t="shared" si="32"/>
        <v>OK</v>
      </c>
      <c r="CP40" s="231" t="s">
        <v>397</v>
      </c>
      <c r="CQ40" s="230"/>
      <c r="CR40" s="183" t="str">
        <f t="shared" si="148"/>
        <v/>
      </c>
      <c r="CS40" s="203" t="str">
        <f t="shared" si="34"/>
        <v>OK</v>
      </c>
      <c r="CT40" s="231" t="s">
        <v>397</v>
      </c>
      <c r="CU40" s="230"/>
      <c r="CV40" s="183" t="str">
        <f t="shared" si="149"/>
        <v/>
      </c>
      <c r="CW40" s="203" t="str">
        <f t="shared" si="36"/>
        <v>OK</v>
      </c>
      <c r="CX40" s="231" t="s">
        <v>397</v>
      </c>
      <c r="CY40" s="230"/>
      <c r="CZ40" s="183" t="str">
        <f t="shared" si="150"/>
        <v/>
      </c>
      <c r="DA40" s="203" t="str">
        <f t="shared" si="38"/>
        <v>OK</v>
      </c>
      <c r="DB40" s="231" t="s">
        <v>397</v>
      </c>
      <c r="DC40" s="230"/>
      <c r="DD40" s="183" t="str">
        <f t="shared" si="151"/>
        <v/>
      </c>
      <c r="DE40" s="203" t="str">
        <f t="shared" si="40"/>
        <v>OK</v>
      </c>
      <c r="DF40" s="231" t="s">
        <v>397</v>
      </c>
      <c r="DG40" s="230"/>
      <c r="DH40" s="183" t="str">
        <f t="shared" si="152"/>
        <v/>
      </c>
      <c r="DI40" s="203" t="str">
        <f t="shared" si="42"/>
        <v>OK</v>
      </c>
      <c r="DJ40" s="231" t="s">
        <v>397</v>
      </c>
      <c r="DK40" s="230"/>
      <c r="DL40" s="183" t="str">
        <f t="shared" si="153"/>
        <v/>
      </c>
      <c r="DM40" s="203" t="str">
        <f t="shared" si="44"/>
        <v>OK</v>
      </c>
      <c r="DN40" s="231" t="s">
        <v>397</v>
      </c>
      <c r="DO40" s="230"/>
      <c r="DP40" s="183" t="str">
        <f t="shared" si="154"/>
        <v/>
      </c>
      <c r="DQ40" s="203" t="str">
        <f t="shared" si="46"/>
        <v>OK</v>
      </c>
      <c r="DR40" s="231" t="s">
        <v>397</v>
      </c>
      <c r="DS40" s="230"/>
      <c r="DT40" s="183" t="str">
        <f t="shared" si="155"/>
        <v/>
      </c>
      <c r="DU40" s="203" t="str">
        <f t="shared" si="48"/>
        <v>OK</v>
      </c>
      <c r="DV40" s="231" t="s">
        <v>397</v>
      </c>
      <c r="DW40" s="230"/>
      <c r="DX40" s="183" t="str">
        <f t="shared" si="156"/>
        <v/>
      </c>
      <c r="DY40" s="203" t="str">
        <f t="shared" si="50"/>
        <v>OK</v>
      </c>
      <c r="DZ40" s="231" t="s">
        <v>397</v>
      </c>
      <c r="EA40" s="230"/>
      <c r="EB40" s="183" t="str">
        <f t="shared" si="157"/>
        <v/>
      </c>
      <c r="EC40" s="203" t="str">
        <f t="shared" si="52"/>
        <v>OK</v>
      </c>
      <c r="ED40" s="231" t="s">
        <v>397</v>
      </c>
      <c r="EE40" s="230"/>
      <c r="EF40" s="183" t="str">
        <f t="shared" si="158"/>
        <v/>
      </c>
      <c r="EG40" s="203" t="str">
        <f t="shared" si="54"/>
        <v>OK</v>
      </c>
      <c r="EH40" s="231" t="s">
        <v>397</v>
      </c>
      <c r="EI40" s="230"/>
      <c r="EJ40" s="183" t="str">
        <f t="shared" si="159"/>
        <v/>
      </c>
      <c r="EK40" s="203" t="str">
        <f t="shared" si="56"/>
        <v>OK</v>
      </c>
      <c r="EL40" s="231" t="s">
        <v>397</v>
      </c>
      <c r="EM40" s="230"/>
      <c r="EN40" s="183" t="str">
        <f t="shared" si="160"/>
        <v/>
      </c>
      <c r="EO40" s="203" t="str">
        <f t="shared" si="58"/>
        <v>OK</v>
      </c>
      <c r="EP40" s="231" t="s">
        <v>397</v>
      </c>
      <c r="EQ40" s="230"/>
      <c r="ER40" s="183" t="str">
        <f t="shared" si="161"/>
        <v/>
      </c>
      <c r="ES40" s="203" t="str">
        <f t="shared" si="60"/>
        <v>OK</v>
      </c>
      <c r="ET40" s="231" t="s">
        <v>397</v>
      </c>
      <c r="EU40" s="230"/>
      <c r="EV40" s="183" t="str">
        <f t="shared" si="162"/>
        <v/>
      </c>
      <c r="EW40" s="203" t="str">
        <f t="shared" si="62"/>
        <v>OK</v>
      </c>
      <c r="EX40" s="231" t="s">
        <v>397</v>
      </c>
      <c r="EY40" s="230"/>
      <c r="EZ40" s="183" t="str">
        <f t="shared" si="163"/>
        <v/>
      </c>
      <c r="FA40" s="203" t="str">
        <f t="shared" si="64"/>
        <v>OK</v>
      </c>
      <c r="FB40" s="231" t="s">
        <v>397</v>
      </c>
      <c r="FC40" s="230"/>
      <c r="FD40" s="183" t="str">
        <f t="shared" si="164"/>
        <v/>
      </c>
      <c r="FE40" s="203" t="str">
        <f t="shared" si="66"/>
        <v>OK</v>
      </c>
      <c r="FF40" s="231" t="s">
        <v>397</v>
      </c>
      <c r="FG40" s="230"/>
      <c r="FH40" s="183" t="str">
        <f t="shared" si="165"/>
        <v/>
      </c>
      <c r="FI40" s="203" t="str">
        <f t="shared" si="68"/>
        <v>OK</v>
      </c>
      <c r="FJ40" s="231" t="s">
        <v>397</v>
      </c>
      <c r="FK40" s="230"/>
      <c r="FL40" s="183" t="str">
        <f t="shared" si="166"/>
        <v/>
      </c>
      <c r="FM40" s="203" t="str">
        <f t="shared" si="70"/>
        <v>OK</v>
      </c>
      <c r="FN40" s="231" t="s">
        <v>397</v>
      </c>
      <c r="FO40" s="230"/>
      <c r="FP40" s="183" t="str">
        <f t="shared" si="167"/>
        <v/>
      </c>
      <c r="FQ40" s="203" t="str">
        <f t="shared" si="72"/>
        <v>OK</v>
      </c>
      <c r="FR40" s="231" t="s">
        <v>397</v>
      </c>
      <c r="FS40" s="230"/>
      <c r="FT40" s="183" t="str">
        <f t="shared" si="168"/>
        <v/>
      </c>
      <c r="FU40" s="203" t="str">
        <f t="shared" si="74"/>
        <v>OK</v>
      </c>
      <c r="FV40" s="231" t="s">
        <v>397</v>
      </c>
      <c r="FW40" s="230"/>
      <c r="FX40" s="183" t="str">
        <f t="shared" si="169"/>
        <v/>
      </c>
      <c r="FY40" s="203" t="str">
        <f t="shared" si="76"/>
        <v>OK</v>
      </c>
      <c r="FZ40" s="231" t="s">
        <v>397</v>
      </c>
      <c r="GA40" s="230"/>
      <c r="GB40" s="183" t="str">
        <f t="shared" si="170"/>
        <v/>
      </c>
      <c r="GC40" s="203" t="str">
        <f t="shared" si="78"/>
        <v>OK</v>
      </c>
      <c r="GD40" s="231" t="s">
        <v>397</v>
      </c>
      <c r="GE40" s="230"/>
      <c r="GF40" s="183" t="str">
        <f t="shared" si="171"/>
        <v/>
      </c>
      <c r="GG40" s="203" t="str">
        <f t="shared" si="80"/>
        <v>OK</v>
      </c>
      <c r="GH40" s="231" t="s">
        <v>397</v>
      </c>
      <c r="GI40" s="230"/>
      <c r="GJ40" s="183" t="str">
        <f t="shared" si="172"/>
        <v/>
      </c>
      <c r="GK40" s="203" t="str">
        <f t="shared" si="82"/>
        <v>OK</v>
      </c>
      <c r="GL40" s="231" t="s">
        <v>397</v>
      </c>
      <c r="GM40" s="230"/>
      <c r="GN40" s="183" t="str">
        <f t="shared" si="173"/>
        <v/>
      </c>
      <c r="GO40" s="203" t="str">
        <f t="shared" si="84"/>
        <v>OK</v>
      </c>
      <c r="GP40" s="231" t="s">
        <v>397</v>
      </c>
      <c r="GQ40" s="230"/>
      <c r="GR40" s="183" t="str">
        <f t="shared" si="174"/>
        <v/>
      </c>
      <c r="GS40" s="203" t="str">
        <f t="shared" si="86"/>
        <v>OK</v>
      </c>
      <c r="GT40" s="202"/>
      <c r="GU40" s="202"/>
      <c r="GV40" s="201"/>
      <c r="GW40" s="201"/>
      <c r="GX40" s="201"/>
    </row>
    <row r="41" spans="1:206">
      <c r="A41" s="200"/>
      <c r="B41" s="225">
        <f t="shared" si="130"/>
        <v>34</v>
      </c>
      <c r="C41" s="229"/>
      <c r="D41" s="229"/>
      <c r="E41" s="228"/>
      <c r="F41" s="223"/>
      <c r="G41" s="222" t="s">
        <v>186</v>
      </c>
      <c r="H41" s="220"/>
      <c r="I41" s="209"/>
      <c r="J41" s="217" t="s">
        <v>326</v>
      </c>
      <c r="K41" s="219"/>
      <c r="L41" s="219"/>
      <c r="M41" s="218"/>
      <c r="N41" s="217"/>
      <c r="O41" s="216"/>
      <c r="P41" s="212"/>
      <c r="Q41" s="212"/>
      <c r="R41" s="215"/>
      <c r="S41" s="214"/>
      <c r="T41" s="212"/>
      <c r="U41" s="213"/>
      <c r="V41" s="212"/>
      <c r="W41" s="211" t="str">
        <f t="shared" si="131"/>
        <v>4</v>
      </c>
      <c r="X41" s="210" t="s">
        <v>396</v>
      </c>
      <c r="Y41" s="210">
        <v>9</v>
      </c>
      <c r="Z41" s="210">
        <v>11</v>
      </c>
      <c r="AA41" s="209">
        <v>9</v>
      </c>
      <c r="AB41" s="209" t="s">
        <v>306</v>
      </c>
      <c r="AC41" s="252"/>
      <c r="AD41" s="226"/>
      <c r="AE41" s="230"/>
      <c r="AF41" s="183"/>
      <c r="AG41" s="203" t="str">
        <f t="shared" si="175"/>
        <v>OK</v>
      </c>
      <c r="AH41" s="226"/>
      <c r="AI41" s="230"/>
      <c r="AJ41" s="183"/>
      <c r="AK41" s="203" t="str">
        <f t="shared" si="176"/>
        <v>OK</v>
      </c>
      <c r="AL41" s="226"/>
      <c r="AM41" s="230"/>
      <c r="AN41" s="183"/>
      <c r="AO41" s="203" t="str">
        <f t="shared" si="177"/>
        <v>OK</v>
      </c>
      <c r="AP41" s="226"/>
      <c r="AQ41" s="230"/>
      <c r="AR41" s="183"/>
      <c r="AS41" s="203" t="str">
        <f t="shared" si="8"/>
        <v>OK</v>
      </c>
      <c r="AT41" s="226"/>
      <c r="AU41" s="230"/>
      <c r="AV41" s="183"/>
      <c r="AW41" s="203" t="str">
        <f t="shared" si="10"/>
        <v>OK</v>
      </c>
      <c r="AX41" s="226"/>
      <c r="AY41" s="230"/>
      <c r="AZ41" s="183"/>
      <c r="BA41" s="203" t="str">
        <f t="shared" si="12"/>
        <v>OK</v>
      </c>
      <c r="BB41" s="226"/>
      <c r="BC41" s="230"/>
      <c r="BD41" s="183"/>
      <c r="BE41" s="203" t="str">
        <f t="shared" si="14"/>
        <v>OK</v>
      </c>
      <c r="BF41" s="226"/>
      <c r="BG41" s="230"/>
      <c r="BH41" s="183"/>
      <c r="BI41" s="203" t="str">
        <f t="shared" si="16"/>
        <v>OK</v>
      </c>
      <c r="BJ41" s="226"/>
      <c r="BK41" s="230"/>
      <c r="BL41" s="183"/>
      <c r="BM41" s="203" t="str">
        <f t="shared" si="18"/>
        <v>OK</v>
      </c>
      <c r="BN41" s="226"/>
      <c r="BO41" s="230"/>
      <c r="BP41" s="183"/>
      <c r="BQ41" s="203" t="str">
        <f t="shared" si="20"/>
        <v>OK</v>
      </c>
      <c r="BR41" s="226"/>
      <c r="BS41" s="230"/>
      <c r="BT41" s="183"/>
      <c r="BU41" s="203" t="str">
        <f t="shared" si="22"/>
        <v>OK</v>
      </c>
      <c r="BV41" s="226"/>
      <c r="BW41" s="230"/>
      <c r="BX41" s="183"/>
      <c r="BY41" s="203" t="str">
        <f t="shared" si="24"/>
        <v>OK</v>
      </c>
      <c r="BZ41" s="226"/>
      <c r="CA41" s="230"/>
      <c r="CB41" s="183"/>
      <c r="CC41" s="203" t="str">
        <f t="shared" si="26"/>
        <v>OK</v>
      </c>
      <c r="CD41" s="226"/>
      <c r="CE41" s="230"/>
      <c r="CF41" s="183"/>
      <c r="CG41" s="203" t="str">
        <f t="shared" si="28"/>
        <v>OK</v>
      </c>
      <c r="CH41" s="226"/>
      <c r="CI41" s="230"/>
      <c r="CJ41" s="183"/>
      <c r="CK41" s="203" t="str">
        <f t="shared" si="30"/>
        <v>OK</v>
      </c>
      <c r="CL41" s="226"/>
      <c r="CM41" s="230"/>
      <c r="CN41" s="183"/>
      <c r="CO41" s="203" t="str">
        <f t="shared" si="32"/>
        <v>OK</v>
      </c>
      <c r="CP41" s="226"/>
      <c r="CQ41" s="230"/>
      <c r="CR41" s="183"/>
      <c r="CS41" s="203" t="str">
        <f t="shared" si="34"/>
        <v>OK</v>
      </c>
      <c r="CT41" s="226"/>
      <c r="CU41" s="230"/>
      <c r="CV41" s="183"/>
      <c r="CW41" s="203" t="str">
        <f t="shared" si="36"/>
        <v>OK</v>
      </c>
      <c r="CX41" s="226"/>
      <c r="CY41" s="230"/>
      <c r="CZ41" s="183"/>
      <c r="DA41" s="203" t="str">
        <f t="shared" si="38"/>
        <v>OK</v>
      </c>
      <c r="DB41" s="226"/>
      <c r="DC41" s="230"/>
      <c r="DD41" s="183"/>
      <c r="DE41" s="203" t="str">
        <f t="shared" si="40"/>
        <v>OK</v>
      </c>
      <c r="DF41" s="226"/>
      <c r="DG41" s="230"/>
      <c r="DH41" s="183"/>
      <c r="DI41" s="203" t="str">
        <f t="shared" si="42"/>
        <v>OK</v>
      </c>
      <c r="DJ41" s="226"/>
      <c r="DK41" s="230"/>
      <c r="DL41" s="183"/>
      <c r="DM41" s="203" t="str">
        <f t="shared" si="44"/>
        <v>OK</v>
      </c>
      <c r="DN41" s="226"/>
      <c r="DO41" s="230"/>
      <c r="DP41" s="183"/>
      <c r="DQ41" s="203" t="str">
        <f t="shared" si="46"/>
        <v>OK</v>
      </c>
      <c r="DR41" s="226"/>
      <c r="DS41" s="230"/>
      <c r="DT41" s="183"/>
      <c r="DU41" s="203" t="str">
        <f t="shared" si="48"/>
        <v>OK</v>
      </c>
      <c r="DV41" s="226"/>
      <c r="DW41" s="230"/>
      <c r="DX41" s="183"/>
      <c r="DY41" s="203" t="str">
        <f t="shared" si="50"/>
        <v>OK</v>
      </c>
      <c r="DZ41" s="226"/>
      <c r="EA41" s="230"/>
      <c r="EB41" s="183"/>
      <c r="EC41" s="203" t="str">
        <f t="shared" si="52"/>
        <v>OK</v>
      </c>
      <c r="ED41" s="226"/>
      <c r="EE41" s="230"/>
      <c r="EF41" s="183"/>
      <c r="EG41" s="203" t="str">
        <f t="shared" si="54"/>
        <v>OK</v>
      </c>
      <c r="EH41" s="226"/>
      <c r="EI41" s="230"/>
      <c r="EJ41" s="183"/>
      <c r="EK41" s="203" t="str">
        <f t="shared" si="56"/>
        <v>OK</v>
      </c>
      <c r="EL41" s="226"/>
      <c r="EM41" s="230"/>
      <c r="EN41" s="183"/>
      <c r="EO41" s="203" t="str">
        <f t="shared" si="58"/>
        <v>OK</v>
      </c>
      <c r="EP41" s="226"/>
      <c r="EQ41" s="230"/>
      <c r="ER41" s="183"/>
      <c r="ES41" s="203" t="str">
        <f t="shared" si="60"/>
        <v>OK</v>
      </c>
      <c r="ET41" s="226"/>
      <c r="EU41" s="230"/>
      <c r="EV41" s="183"/>
      <c r="EW41" s="203" t="str">
        <f t="shared" si="62"/>
        <v>OK</v>
      </c>
      <c r="EX41" s="226"/>
      <c r="EY41" s="230"/>
      <c r="EZ41" s="183"/>
      <c r="FA41" s="203" t="str">
        <f t="shared" si="64"/>
        <v>OK</v>
      </c>
      <c r="FB41" s="226"/>
      <c r="FC41" s="230"/>
      <c r="FD41" s="183"/>
      <c r="FE41" s="203" t="str">
        <f t="shared" si="66"/>
        <v>OK</v>
      </c>
      <c r="FF41" s="226"/>
      <c r="FG41" s="230"/>
      <c r="FH41" s="183"/>
      <c r="FI41" s="203" t="str">
        <f t="shared" si="68"/>
        <v>OK</v>
      </c>
      <c r="FJ41" s="226"/>
      <c r="FK41" s="230"/>
      <c r="FL41" s="183"/>
      <c r="FM41" s="203" t="str">
        <f t="shared" si="70"/>
        <v>OK</v>
      </c>
      <c r="FN41" s="226"/>
      <c r="FO41" s="230"/>
      <c r="FP41" s="183"/>
      <c r="FQ41" s="203" t="str">
        <f t="shared" si="72"/>
        <v>OK</v>
      </c>
      <c r="FR41" s="226"/>
      <c r="FS41" s="230"/>
      <c r="FT41" s="183"/>
      <c r="FU41" s="203" t="str">
        <f t="shared" si="74"/>
        <v>OK</v>
      </c>
      <c r="FV41" s="226"/>
      <c r="FW41" s="230"/>
      <c r="FX41" s="183"/>
      <c r="FY41" s="203" t="str">
        <f t="shared" si="76"/>
        <v>OK</v>
      </c>
      <c r="FZ41" s="226"/>
      <c r="GA41" s="230"/>
      <c r="GB41" s="183"/>
      <c r="GC41" s="203" t="str">
        <f t="shared" si="78"/>
        <v>OK</v>
      </c>
      <c r="GD41" s="226"/>
      <c r="GE41" s="230"/>
      <c r="GF41" s="183"/>
      <c r="GG41" s="203" t="str">
        <f t="shared" si="80"/>
        <v>OK</v>
      </c>
      <c r="GH41" s="226"/>
      <c r="GI41" s="230"/>
      <c r="GJ41" s="183"/>
      <c r="GK41" s="203" t="str">
        <f t="shared" si="82"/>
        <v>OK</v>
      </c>
      <c r="GL41" s="226"/>
      <c r="GM41" s="230"/>
      <c r="GN41" s="183"/>
      <c r="GO41" s="203" t="str">
        <f t="shared" si="84"/>
        <v>OK</v>
      </c>
      <c r="GP41" s="226"/>
      <c r="GQ41" s="230"/>
      <c r="GR41" s="183"/>
      <c r="GS41" s="203" t="str">
        <f t="shared" si="86"/>
        <v>OK</v>
      </c>
      <c r="GT41" s="202"/>
      <c r="GU41" s="202"/>
      <c r="GV41" s="201"/>
      <c r="GW41" s="201"/>
      <c r="GX41" s="201"/>
    </row>
    <row r="42" spans="1:206">
      <c r="A42" s="200" t="s">
        <v>336</v>
      </c>
      <c r="B42" s="225">
        <f t="shared" si="130"/>
        <v>35</v>
      </c>
      <c r="C42" s="229"/>
      <c r="D42" s="229"/>
      <c r="E42" s="228"/>
      <c r="F42" s="234" t="s">
        <v>395</v>
      </c>
      <c r="G42" s="233"/>
      <c r="H42" s="232"/>
      <c r="I42" s="251"/>
      <c r="J42" s="217" t="s">
        <v>23</v>
      </c>
      <c r="K42" s="219"/>
      <c r="L42" s="219"/>
      <c r="M42" s="218"/>
      <c r="N42" s="217"/>
      <c r="O42" s="216"/>
      <c r="P42" s="212"/>
      <c r="Q42" s="212"/>
      <c r="R42" s="215"/>
      <c r="S42" s="214"/>
      <c r="T42" s="212"/>
      <c r="U42" s="213"/>
      <c r="V42" s="212"/>
      <c r="W42" s="211" t="str">
        <f t="shared" si="131"/>
        <v>3</v>
      </c>
      <c r="X42" s="210" t="s">
        <v>394</v>
      </c>
      <c r="Y42" s="210"/>
      <c r="Z42" s="210"/>
      <c r="AA42" s="209"/>
      <c r="AB42" s="209" t="s">
        <v>306</v>
      </c>
      <c r="AC42" s="207"/>
      <c r="AD42" s="226"/>
      <c r="AE42" s="230"/>
      <c r="AF42" s="183" t="str">
        <f>IF($AB42="I","",IF($AA42="","",IF(AD42="","",AD42)))</f>
        <v/>
      </c>
      <c r="AG42" s="203" t="str">
        <f t="shared" si="175"/>
        <v>OK</v>
      </c>
      <c r="AH42" s="226"/>
      <c r="AI42" s="230"/>
      <c r="AJ42" s="183" t="str">
        <f>IF($AB42="I","",IF($AA42="","",IF(AH42="","",AH42)))</f>
        <v/>
      </c>
      <c r="AK42" s="203" t="str">
        <f t="shared" si="176"/>
        <v>OK</v>
      </c>
      <c r="AL42" s="226"/>
      <c r="AM42" s="230"/>
      <c r="AN42" s="183" t="str">
        <f>IF($AB42="I","",IF($AA42="","",IF(AL42="","",AL42)))</f>
        <v/>
      </c>
      <c r="AO42" s="203" t="str">
        <f t="shared" si="177"/>
        <v>OK</v>
      </c>
      <c r="AP42" s="226"/>
      <c r="AQ42" s="230"/>
      <c r="AR42" s="183" t="str">
        <f>IF($AB42="I","",IF($AA42="","",IF(AP42="","",AP42)))</f>
        <v/>
      </c>
      <c r="AS42" s="203" t="str">
        <f t="shared" si="8"/>
        <v>OK</v>
      </c>
      <c r="AT42" s="226"/>
      <c r="AU42" s="230"/>
      <c r="AV42" s="183" t="str">
        <f>IF($AB42="I","",IF($AA42="","",IF(AT42="","",AT42)))</f>
        <v/>
      </c>
      <c r="AW42" s="203" t="str">
        <f t="shared" si="10"/>
        <v>OK</v>
      </c>
      <c r="AX42" s="226"/>
      <c r="AY42" s="230"/>
      <c r="AZ42" s="183" t="str">
        <f>IF($AB42="I","",IF($AA42="","",IF(AX42="","",AX42)))</f>
        <v/>
      </c>
      <c r="BA42" s="203" t="str">
        <f t="shared" si="12"/>
        <v>OK</v>
      </c>
      <c r="BB42" s="226"/>
      <c r="BC42" s="230"/>
      <c r="BD42" s="183" t="str">
        <f>IF($AB42="I","",IF($AA42="","",IF(BB42="","",BB42)))</f>
        <v/>
      </c>
      <c r="BE42" s="203" t="str">
        <f t="shared" si="14"/>
        <v>OK</v>
      </c>
      <c r="BF42" s="226"/>
      <c r="BG42" s="230"/>
      <c r="BH42" s="183" t="str">
        <f>IF($AB42="I","",IF($AA42="","",IF(BF42="","",BF42)))</f>
        <v/>
      </c>
      <c r="BI42" s="203" t="str">
        <f t="shared" si="16"/>
        <v>OK</v>
      </c>
      <c r="BJ42" s="226"/>
      <c r="BK42" s="230"/>
      <c r="BL42" s="183" t="str">
        <f>IF($AB42="I","",IF($AA42="","",IF(BJ42="","",BJ42)))</f>
        <v/>
      </c>
      <c r="BM42" s="203" t="str">
        <f t="shared" si="18"/>
        <v>OK</v>
      </c>
      <c r="BN42" s="226"/>
      <c r="BO42" s="230"/>
      <c r="BP42" s="183" t="str">
        <f>IF($AB42="I","",IF($AA42="","",IF(BN42="","",BN42)))</f>
        <v/>
      </c>
      <c r="BQ42" s="203" t="str">
        <f t="shared" si="20"/>
        <v>OK</v>
      </c>
      <c r="BR42" s="226"/>
      <c r="BS42" s="230"/>
      <c r="BT42" s="183" t="str">
        <f>IF($AB42="I","",IF($AA42="","",IF(BR42="","",BR42)))</f>
        <v/>
      </c>
      <c r="BU42" s="203" t="str">
        <f t="shared" si="22"/>
        <v>OK</v>
      </c>
      <c r="BV42" s="226"/>
      <c r="BW42" s="230"/>
      <c r="BX42" s="183" t="str">
        <f>IF($AB42="I","",IF($AA42="","",IF(BV42="","",BV42)))</f>
        <v/>
      </c>
      <c r="BY42" s="203" t="str">
        <f t="shared" si="24"/>
        <v>OK</v>
      </c>
      <c r="BZ42" s="226"/>
      <c r="CA42" s="230"/>
      <c r="CB42" s="183" t="str">
        <f>IF($AB42="I","",IF($AA42="","",IF(BZ42="","",BZ42)))</f>
        <v/>
      </c>
      <c r="CC42" s="203" t="str">
        <f t="shared" si="26"/>
        <v>OK</v>
      </c>
      <c r="CD42" s="226"/>
      <c r="CE42" s="230"/>
      <c r="CF42" s="183" t="str">
        <f>IF($AB42="I","",IF($AA42="","",IF(CD42="","",CD42)))</f>
        <v/>
      </c>
      <c r="CG42" s="203" t="str">
        <f t="shared" si="28"/>
        <v>OK</v>
      </c>
      <c r="CH42" s="226"/>
      <c r="CI42" s="230"/>
      <c r="CJ42" s="183" t="str">
        <f>IF($AB42="I","",IF($AA42="","",IF(CH42="","",CH42)))</f>
        <v/>
      </c>
      <c r="CK42" s="203" t="str">
        <f t="shared" si="30"/>
        <v>OK</v>
      </c>
      <c r="CL42" s="226"/>
      <c r="CM42" s="230"/>
      <c r="CN42" s="183" t="str">
        <f>IF($AB42="I","",IF($AA42="","",IF(CL42="","",CL42)))</f>
        <v/>
      </c>
      <c r="CO42" s="203" t="str">
        <f t="shared" si="32"/>
        <v>OK</v>
      </c>
      <c r="CP42" s="226"/>
      <c r="CQ42" s="230"/>
      <c r="CR42" s="183" t="str">
        <f>IF($AB42="I","",IF($AA42="","",IF(CP42="","",CP42)))</f>
        <v/>
      </c>
      <c r="CS42" s="203" t="str">
        <f t="shared" si="34"/>
        <v>OK</v>
      </c>
      <c r="CT42" s="226"/>
      <c r="CU42" s="230"/>
      <c r="CV42" s="183" t="str">
        <f>IF($AB42="I","",IF($AA42="","",IF(CT42="","",CT42)))</f>
        <v/>
      </c>
      <c r="CW42" s="203" t="str">
        <f t="shared" si="36"/>
        <v>OK</v>
      </c>
      <c r="CX42" s="226"/>
      <c r="CY42" s="230"/>
      <c r="CZ42" s="183" t="str">
        <f>IF($AB42="I","",IF($AA42="","",IF(CX42="","",CX42)))</f>
        <v/>
      </c>
      <c r="DA42" s="203" t="str">
        <f t="shared" si="38"/>
        <v>OK</v>
      </c>
      <c r="DB42" s="226"/>
      <c r="DC42" s="230"/>
      <c r="DD42" s="183" t="str">
        <f>IF($AB42="I","",IF($AA42="","",IF(DB42="","",DB42)))</f>
        <v/>
      </c>
      <c r="DE42" s="203" t="str">
        <f t="shared" si="40"/>
        <v>OK</v>
      </c>
      <c r="DF42" s="226"/>
      <c r="DG42" s="230"/>
      <c r="DH42" s="183" t="str">
        <f>IF($AB42="I","",IF($AA42="","",IF(DF42="","",DF42)))</f>
        <v/>
      </c>
      <c r="DI42" s="203" t="str">
        <f t="shared" si="42"/>
        <v>OK</v>
      </c>
      <c r="DJ42" s="226"/>
      <c r="DK42" s="230"/>
      <c r="DL42" s="183" t="str">
        <f>IF($AB42="I","",IF($AA42="","",IF(DJ42="","",DJ42)))</f>
        <v/>
      </c>
      <c r="DM42" s="203" t="str">
        <f t="shared" si="44"/>
        <v>OK</v>
      </c>
      <c r="DN42" s="226"/>
      <c r="DO42" s="230"/>
      <c r="DP42" s="183" t="str">
        <f>IF($AB42="I","",IF($AA42="","",IF(DN42="","",DN42)))</f>
        <v/>
      </c>
      <c r="DQ42" s="203" t="str">
        <f t="shared" si="46"/>
        <v>OK</v>
      </c>
      <c r="DR42" s="226"/>
      <c r="DS42" s="230"/>
      <c r="DT42" s="183" t="str">
        <f>IF($AB42="I","",IF($AA42="","",IF(DR42="","",DR42)))</f>
        <v/>
      </c>
      <c r="DU42" s="203" t="str">
        <f t="shared" si="48"/>
        <v>OK</v>
      </c>
      <c r="DV42" s="226"/>
      <c r="DW42" s="230"/>
      <c r="DX42" s="183" t="str">
        <f>IF($AB42="I","",IF($AA42="","",IF(DV42="","",DV42)))</f>
        <v/>
      </c>
      <c r="DY42" s="203" t="str">
        <f t="shared" si="50"/>
        <v>OK</v>
      </c>
      <c r="DZ42" s="226"/>
      <c r="EA42" s="230"/>
      <c r="EB42" s="183" t="str">
        <f>IF($AB42="I","",IF($AA42="","",IF(DZ42="","",DZ42)))</f>
        <v/>
      </c>
      <c r="EC42" s="203" t="str">
        <f t="shared" si="52"/>
        <v>OK</v>
      </c>
      <c r="ED42" s="226"/>
      <c r="EE42" s="230"/>
      <c r="EF42" s="183" t="str">
        <f>IF($AB42="I","",IF($AA42="","",IF(ED42="","",ED42)))</f>
        <v/>
      </c>
      <c r="EG42" s="203" t="str">
        <f t="shared" si="54"/>
        <v>OK</v>
      </c>
      <c r="EH42" s="226"/>
      <c r="EI42" s="230"/>
      <c r="EJ42" s="183" t="str">
        <f>IF($AB42="I","",IF($AA42="","",IF(EH42="","",EH42)))</f>
        <v/>
      </c>
      <c r="EK42" s="203" t="str">
        <f t="shared" si="56"/>
        <v>OK</v>
      </c>
      <c r="EL42" s="226"/>
      <c r="EM42" s="230"/>
      <c r="EN42" s="183" t="str">
        <f>IF($AB42="I","",IF($AA42="","",IF(EL42="","",EL42)))</f>
        <v/>
      </c>
      <c r="EO42" s="203" t="str">
        <f t="shared" si="58"/>
        <v>OK</v>
      </c>
      <c r="EP42" s="226"/>
      <c r="EQ42" s="230"/>
      <c r="ER42" s="183" t="str">
        <f>IF($AB42="I","",IF($AA42="","",IF(EP42="","",EP42)))</f>
        <v/>
      </c>
      <c r="ES42" s="203" t="str">
        <f t="shared" si="60"/>
        <v>OK</v>
      </c>
      <c r="ET42" s="226"/>
      <c r="EU42" s="230"/>
      <c r="EV42" s="183" t="str">
        <f>IF($AB42="I","",IF($AA42="","",IF(ET42="","",ET42)))</f>
        <v/>
      </c>
      <c r="EW42" s="203" t="str">
        <f t="shared" si="62"/>
        <v>OK</v>
      </c>
      <c r="EX42" s="226"/>
      <c r="EY42" s="230"/>
      <c r="EZ42" s="183" t="str">
        <f>IF($AB42="I","",IF($AA42="","",IF(EX42="","",EX42)))</f>
        <v/>
      </c>
      <c r="FA42" s="203" t="str">
        <f t="shared" si="64"/>
        <v>OK</v>
      </c>
      <c r="FB42" s="226"/>
      <c r="FC42" s="230"/>
      <c r="FD42" s="183" t="str">
        <f>IF($AB42="I","",IF($AA42="","",IF(FB42="","",FB42)))</f>
        <v/>
      </c>
      <c r="FE42" s="203" t="str">
        <f t="shared" si="66"/>
        <v>OK</v>
      </c>
      <c r="FF42" s="226"/>
      <c r="FG42" s="230"/>
      <c r="FH42" s="183" t="str">
        <f>IF($AB42="I","",IF($AA42="","",IF(FF42="","",FF42)))</f>
        <v/>
      </c>
      <c r="FI42" s="203" t="str">
        <f t="shared" si="68"/>
        <v>OK</v>
      </c>
      <c r="FJ42" s="226"/>
      <c r="FK42" s="230"/>
      <c r="FL42" s="183" t="str">
        <f>IF($AB42="I","",IF($AA42="","",IF(FJ42="","",FJ42)))</f>
        <v/>
      </c>
      <c r="FM42" s="203" t="str">
        <f t="shared" si="70"/>
        <v>OK</v>
      </c>
      <c r="FN42" s="226"/>
      <c r="FO42" s="230"/>
      <c r="FP42" s="183" t="str">
        <f>IF($AB42="I","",IF($AA42="","",IF(FN42="","",FN42)))</f>
        <v/>
      </c>
      <c r="FQ42" s="203" t="str">
        <f t="shared" si="72"/>
        <v>OK</v>
      </c>
      <c r="FR42" s="226"/>
      <c r="FS42" s="230"/>
      <c r="FT42" s="183" t="str">
        <f>IF($AB42="I","",IF($AA42="","",IF(FR42="","",FR42)))</f>
        <v/>
      </c>
      <c r="FU42" s="203" t="str">
        <f t="shared" si="74"/>
        <v>OK</v>
      </c>
      <c r="FV42" s="226"/>
      <c r="FW42" s="230"/>
      <c r="FX42" s="183" t="str">
        <f>IF($AB42="I","",IF($AA42="","",IF(FV42="","",FV42)))</f>
        <v/>
      </c>
      <c r="FY42" s="203" t="str">
        <f t="shared" si="76"/>
        <v>OK</v>
      </c>
      <c r="FZ42" s="226"/>
      <c r="GA42" s="230"/>
      <c r="GB42" s="183" t="str">
        <f>IF($AB42="I","",IF($AA42="","",IF(FZ42="","",FZ42)))</f>
        <v/>
      </c>
      <c r="GC42" s="203" t="str">
        <f t="shared" si="78"/>
        <v>OK</v>
      </c>
      <c r="GD42" s="226"/>
      <c r="GE42" s="230"/>
      <c r="GF42" s="183" t="str">
        <f>IF($AB42="I","",IF($AA42="","",IF(GD42="","",GD42)))</f>
        <v/>
      </c>
      <c r="GG42" s="203" t="str">
        <f t="shared" si="80"/>
        <v>OK</v>
      </c>
      <c r="GH42" s="226"/>
      <c r="GI42" s="230"/>
      <c r="GJ42" s="183" t="str">
        <f>IF($AB42="I","",IF($AA42="","",IF(GH42="","",GH42)))</f>
        <v/>
      </c>
      <c r="GK42" s="203" t="str">
        <f t="shared" si="82"/>
        <v>OK</v>
      </c>
      <c r="GL42" s="226"/>
      <c r="GM42" s="230"/>
      <c r="GN42" s="183" t="str">
        <f>IF($AB42="I","",IF($AA42="","",IF(GL42="","",GL42)))</f>
        <v/>
      </c>
      <c r="GO42" s="203" t="str">
        <f t="shared" si="84"/>
        <v>OK</v>
      </c>
      <c r="GP42" s="226"/>
      <c r="GQ42" s="230"/>
      <c r="GR42" s="183" t="str">
        <f>IF($AB42="I","",IF($AA42="","",IF(GP42="","",GP42)))</f>
        <v/>
      </c>
      <c r="GS42" s="203" t="str">
        <f t="shared" si="86"/>
        <v>OK</v>
      </c>
      <c r="GT42" s="202"/>
      <c r="GU42" s="202"/>
      <c r="GV42" s="201"/>
      <c r="GW42" s="201"/>
      <c r="GX42" s="201"/>
    </row>
    <row r="43" spans="1:206">
      <c r="A43" s="200" t="s">
        <v>336</v>
      </c>
      <c r="B43" s="225">
        <f t="shared" si="130"/>
        <v>36</v>
      </c>
      <c r="C43" s="229"/>
      <c r="D43" s="229"/>
      <c r="E43" s="228"/>
      <c r="F43" s="228"/>
      <c r="G43" s="234" t="s">
        <v>393</v>
      </c>
      <c r="H43" s="220"/>
      <c r="I43" s="251"/>
      <c r="J43" s="217" t="s">
        <v>336</v>
      </c>
      <c r="K43" s="219"/>
      <c r="L43" s="219"/>
      <c r="M43" s="218"/>
      <c r="N43" s="217"/>
      <c r="O43" s="216"/>
      <c r="P43" s="212"/>
      <c r="Q43" s="212"/>
      <c r="R43" s="215"/>
      <c r="S43" s="214"/>
      <c r="T43" s="212"/>
      <c r="U43" s="213"/>
      <c r="V43" s="212"/>
      <c r="W43" s="211" t="str">
        <f t="shared" si="131"/>
        <v>4</v>
      </c>
      <c r="X43" s="210" t="s">
        <v>392</v>
      </c>
      <c r="Y43" s="210"/>
      <c r="Z43" s="210"/>
      <c r="AA43" s="209"/>
      <c r="AB43" s="209" t="s">
        <v>306</v>
      </c>
      <c r="AC43" s="207"/>
      <c r="AD43" s="226"/>
      <c r="AE43" s="230"/>
      <c r="AF43" s="183" t="str">
        <f>IF($AB43="I","",IF($AA43="","",IF(AD43="","",AD43)))</f>
        <v/>
      </c>
      <c r="AG43" s="203" t="str">
        <f t="shared" si="175"/>
        <v>OK</v>
      </c>
      <c r="AH43" s="226"/>
      <c r="AI43" s="230"/>
      <c r="AJ43" s="183" t="str">
        <f>IF($AB43="I","",IF($AA43="","",IF(AH43="","",AH43)))</f>
        <v/>
      </c>
      <c r="AK43" s="203" t="str">
        <f t="shared" si="176"/>
        <v>OK</v>
      </c>
      <c r="AL43" s="226"/>
      <c r="AM43" s="230"/>
      <c r="AN43" s="183" t="str">
        <f>IF($AB43="I","",IF($AA43="","",IF(AL43="","",AL43)))</f>
        <v/>
      </c>
      <c r="AO43" s="203" t="str">
        <f t="shared" si="177"/>
        <v>OK</v>
      </c>
      <c r="AP43" s="226"/>
      <c r="AQ43" s="230"/>
      <c r="AR43" s="183" t="str">
        <f>IF($AB43="I","",IF($AA43="","",IF(AP43="","",AP43)))</f>
        <v/>
      </c>
      <c r="AS43" s="203" t="str">
        <f t="shared" si="8"/>
        <v>OK</v>
      </c>
      <c r="AT43" s="226"/>
      <c r="AU43" s="230"/>
      <c r="AV43" s="183" t="str">
        <f>IF($AB43="I","",IF($AA43="","",IF(AT43="","",AT43)))</f>
        <v/>
      </c>
      <c r="AW43" s="203" t="str">
        <f t="shared" si="10"/>
        <v>OK</v>
      </c>
      <c r="AX43" s="226"/>
      <c r="AY43" s="230"/>
      <c r="AZ43" s="183" t="str">
        <f>IF($AB43="I","",IF($AA43="","",IF(AX43="","",AX43)))</f>
        <v/>
      </c>
      <c r="BA43" s="203" t="str">
        <f t="shared" si="12"/>
        <v>OK</v>
      </c>
      <c r="BB43" s="226"/>
      <c r="BC43" s="230"/>
      <c r="BD43" s="183" t="str">
        <f>IF($AB43="I","",IF($AA43="","",IF(BB43="","",BB43)))</f>
        <v/>
      </c>
      <c r="BE43" s="203" t="str">
        <f t="shared" si="14"/>
        <v>OK</v>
      </c>
      <c r="BF43" s="226"/>
      <c r="BG43" s="230"/>
      <c r="BH43" s="183" t="str">
        <f>IF($AB43="I","",IF($AA43="","",IF(BF43="","",BF43)))</f>
        <v/>
      </c>
      <c r="BI43" s="203" t="str">
        <f t="shared" si="16"/>
        <v>OK</v>
      </c>
      <c r="BJ43" s="226"/>
      <c r="BK43" s="230"/>
      <c r="BL43" s="183" t="str">
        <f>IF($AB43="I","",IF($AA43="","",IF(BJ43="","",BJ43)))</f>
        <v/>
      </c>
      <c r="BM43" s="203" t="str">
        <f t="shared" si="18"/>
        <v>OK</v>
      </c>
      <c r="BN43" s="226"/>
      <c r="BO43" s="230"/>
      <c r="BP43" s="183" t="str">
        <f>IF($AB43="I","",IF($AA43="","",IF(BN43="","",BN43)))</f>
        <v/>
      </c>
      <c r="BQ43" s="203" t="str">
        <f t="shared" si="20"/>
        <v>OK</v>
      </c>
      <c r="BR43" s="226"/>
      <c r="BS43" s="230"/>
      <c r="BT43" s="183" t="str">
        <f>IF($AB43="I","",IF($AA43="","",IF(BR43="","",BR43)))</f>
        <v/>
      </c>
      <c r="BU43" s="203" t="str">
        <f t="shared" si="22"/>
        <v>OK</v>
      </c>
      <c r="BV43" s="226"/>
      <c r="BW43" s="230"/>
      <c r="BX43" s="183" t="str">
        <f>IF($AB43="I","",IF($AA43="","",IF(BV43="","",BV43)))</f>
        <v/>
      </c>
      <c r="BY43" s="203" t="str">
        <f t="shared" si="24"/>
        <v>OK</v>
      </c>
      <c r="BZ43" s="226"/>
      <c r="CA43" s="230"/>
      <c r="CB43" s="183" t="str">
        <f>IF($AB43="I","",IF($AA43="","",IF(BZ43="","",BZ43)))</f>
        <v/>
      </c>
      <c r="CC43" s="203" t="str">
        <f t="shared" si="26"/>
        <v>OK</v>
      </c>
      <c r="CD43" s="226"/>
      <c r="CE43" s="230"/>
      <c r="CF43" s="183" t="str">
        <f>IF($AB43="I","",IF($AA43="","",IF(CD43="","",CD43)))</f>
        <v/>
      </c>
      <c r="CG43" s="203" t="str">
        <f t="shared" si="28"/>
        <v>OK</v>
      </c>
      <c r="CH43" s="226"/>
      <c r="CI43" s="230"/>
      <c r="CJ43" s="183" t="str">
        <f>IF($AB43="I","",IF($AA43="","",IF(CH43="","",CH43)))</f>
        <v/>
      </c>
      <c r="CK43" s="203" t="str">
        <f t="shared" si="30"/>
        <v>OK</v>
      </c>
      <c r="CL43" s="226"/>
      <c r="CM43" s="230"/>
      <c r="CN43" s="183" t="str">
        <f>IF($AB43="I","",IF($AA43="","",IF(CL43="","",CL43)))</f>
        <v/>
      </c>
      <c r="CO43" s="203" t="str">
        <f t="shared" si="32"/>
        <v>OK</v>
      </c>
      <c r="CP43" s="226"/>
      <c r="CQ43" s="230"/>
      <c r="CR43" s="183" t="str">
        <f>IF($AB43="I","",IF($AA43="","",IF(CP43="","",CP43)))</f>
        <v/>
      </c>
      <c r="CS43" s="203" t="str">
        <f t="shared" si="34"/>
        <v>OK</v>
      </c>
      <c r="CT43" s="226"/>
      <c r="CU43" s="230"/>
      <c r="CV43" s="183" t="str">
        <f>IF($AB43="I","",IF($AA43="","",IF(CT43="","",CT43)))</f>
        <v/>
      </c>
      <c r="CW43" s="203" t="str">
        <f t="shared" si="36"/>
        <v>OK</v>
      </c>
      <c r="CX43" s="226"/>
      <c r="CY43" s="230"/>
      <c r="CZ43" s="183" t="str">
        <f>IF($AB43="I","",IF($AA43="","",IF(CX43="","",CX43)))</f>
        <v/>
      </c>
      <c r="DA43" s="203" t="str">
        <f t="shared" si="38"/>
        <v>OK</v>
      </c>
      <c r="DB43" s="226"/>
      <c r="DC43" s="230"/>
      <c r="DD43" s="183" t="str">
        <f>IF($AB43="I","",IF($AA43="","",IF(DB43="","",DB43)))</f>
        <v/>
      </c>
      <c r="DE43" s="203" t="str">
        <f t="shared" si="40"/>
        <v>OK</v>
      </c>
      <c r="DF43" s="226"/>
      <c r="DG43" s="230"/>
      <c r="DH43" s="183" t="str">
        <f>IF($AB43="I","",IF($AA43="","",IF(DF43="","",DF43)))</f>
        <v/>
      </c>
      <c r="DI43" s="203" t="str">
        <f t="shared" si="42"/>
        <v>OK</v>
      </c>
      <c r="DJ43" s="226"/>
      <c r="DK43" s="230"/>
      <c r="DL43" s="183" t="str">
        <f>IF($AB43="I","",IF($AA43="","",IF(DJ43="","",DJ43)))</f>
        <v/>
      </c>
      <c r="DM43" s="203" t="str">
        <f t="shared" si="44"/>
        <v>OK</v>
      </c>
      <c r="DN43" s="226"/>
      <c r="DO43" s="230"/>
      <c r="DP43" s="183" t="str">
        <f>IF($AB43="I","",IF($AA43="","",IF(DN43="","",DN43)))</f>
        <v/>
      </c>
      <c r="DQ43" s="203" t="str">
        <f t="shared" si="46"/>
        <v>OK</v>
      </c>
      <c r="DR43" s="226"/>
      <c r="DS43" s="230"/>
      <c r="DT43" s="183" t="str">
        <f>IF($AB43="I","",IF($AA43="","",IF(DR43="","",DR43)))</f>
        <v/>
      </c>
      <c r="DU43" s="203" t="str">
        <f t="shared" si="48"/>
        <v>OK</v>
      </c>
      <c r="DV43" s="226"/>
      <c r="DW43" s="230"/>
      <c r="DX43" s="183" t="str">
        <f>IF($AB43="I","",IF($AA43="","",IF(DV43="","",DV43)))</f>
        <v/>
      </c>
      <c r="DY43" s="203" t="str">
        <f t="shared" si="50"/>
        <v>OK</v>
      </c>
      <c r="DZ43" s="226"/>
      <c r="EA43" s="230"/>
      <c r="EB43" s="183" t="str">
        <f>IF($AB43="I","",IF($AA43="","",IF(DZ43="","",DZ43)))</f>
        <v/>
      </c>
      <c r="EC43" s="203" t="str">
        <f t="shared" si="52"/>
        <v>OK</v>
      </c>
      <c r="ED43" s="226"/>
      <c r="EE43" s="230"/>
      <c r="EF43" s="183" t="str">
        <f>IF($AB43="I","",IF($AA43="","",IF(ED43="","",ED43)))</f>
        <v/>
      </c>
      <c r="EG43" s="203" t="str">
        <f t="shared" si="54"/>
        <v>OK</v>
      </c>
      <c r="EH43" s="226"/>
      <c r="EI43" s="230"/>
      <c r="EJ43" s="183" t="str">
        <f>IF($AB43="I","",IF($AA43="","",IF(EH43="","",EH43)))</f>
        <v/>
      </c>
      <c r="EK43" s="203" t="str">
        <f t="shared" si="56"/>
        <v>OK</v>
      </c>
      <c r="EL43" s="226"/>
      <c r="EM43" s="230"/>
      <c r="EN43" s="183" t="str">
        <f>IF($AB43="I","",IF($AA43="","",IF(EL43="","",EL43)))</f>
        <v/>
      </c>
      <c r="EO43" s="203" t="str">
        <f t="shared" si="58"/>
        <v>OK</v>
      </c>
      <c r="EP43" s="226"/>
      <c r="EQ43" s="230"/>
      <c r="ER43" s="183" t="str">
        <f>IF($AB43="I","",IF($AA43="","",IF(EP43="","",EP43)))</f>
        <v/>
      </c>
      <c r="ES43" s="203" t="str">
        <f t="shared" si="60"/>
        <v>OK</v>
      </c>
      <c r="ET43" s="226"/>
      <c r="EU43" s="230"/>
      <c r="EV43" s="183" t="str">
        <f>IF($AB43="I","",IF($AA43="","",IF(ET43="","",ET43)))</f>
        <v/>
      </c>
      <c r="EW43" s="203" t="str">
        <f t="shared" si="62"/>
        <v>OK</v>
      </c>
      <c r="EX43" s="226"/>
      <c r="EY43" s="230"/>
      <c r="EZ43" s="183" t="str">
        <f>IF($AB43="I","",IF($AA43="","",IF(EX43="","",EX43)))</f>
        <v/>
      </c>
      <c r="FA43" s="203" t="str">
        <f t="shared" si="64"/>
        <v>OK</v>
      </c>
      <c r="FB43" s="226"/>
      <c r="FC43" s="230"/>
      <c r="FD43" s="183" t="str">
        <f>IF($AB43="I","",IF($AA43="","",IF(FB43="","",FB43)))</f>
        <v/>
      </c>
      <c r="FE43" s="203" t="str">
        <f t="shared" si="66"/>
        <v>OK</v>
      </c>
      <c r="FF43" s="226"/>
      <c r="FG43" s="230"/>
      <c r="FH43" s="183" t="str">
        <f>IF($AB43="I","",IF($AA43="","",IF(FF43="","",FF43)))</f>
        <v/>
      </c>
      <c r="FI43" s="203" t="str">
        <f t="shared" si="68"/>
        <v>OK</v>
      </c>
      <c r="FJ43" s="226"/>
      <c r="FK43" s="230"/>
      <c r="FL43" s="183" t="str">
        <f>IF($AB43="I","",IF($AA43="","",IF(FJ43="","",FJ43)))</f>
        <v/>
      </c>
      <c r="FM43" s="203" t="str">
        <f t="shared" si="70"/>
        <v>OK</v>
      </c>
      <c r="FN43" s="226"/>
      <c r="FO43" s="230"/>
      <c r="FP43" s="183" t="str">
        <f>IF($AB43="I","",IF($AA43="","",IF(FN43="","",FN43)))</f>
        <v/>
      </c>
      <c r="FQ43" s="203" t="str">
        <f t="shared" si="72"/>
        <v>OK</v>
      </c>
      <c r="FR43" s="226"/>
      <c r="FS43" s="230"/>
      <c r="FT43" s="183" t="str">
        <f>IF($AB43="I","",IF($AA43="","",IF(FR43="","",FR43)))</f>
        <v/>
      </c>
      <c r="FU43" s="203" t="str">
        <f t="shared" si="74"/>
        <v>OK</v>
      </c>
      <c r="FV43" s="226"/>
      <c r="FW43" s="230"/>
      <c r="FX43" s="183" t="str">
        <f>IF($AB43="I","",IF($AA43="","",IF(FV43="","",FV43)))</f>
        <v/>
      </c>
      <c r="FY43" s="203" t="str">
        <f t="shared" si="76"/>
        <v>OK</v>
      </c>
      <c r="FZ43" s="226"/>
      <c r="GA43" s="230"/>
      <c r="GB43" s="183" t="str">
        <f>IF($AB43="I","",IF($AA43="","",IF(FZ43="","",FZ43)))</f>
        <v/>
      </c>
      <c r="GC43" s="203" t="str">
        <f t="shared" si="78"/>
        <v>OK</v>
      </c>
      <c r="GD43" s="226"/>
      <c r="GE43" s="230"/>
      <c r="GF43" s="183" t="str">
        <f>IF($AB43="I","",IF($AA43="","",IF(GD43="","",GD43)))</f>
        <v/>
      </c>
      <c r="GG43" s="203" t="str">
        <f t="shared" si="80"/>
        <v>OK</v>
      </c>
      <c r="GH43" s="226"/>
      <c r="GI43" s="230"/>
      <c r="GJ43" s="183" t="str">
        <f>IF($AB43="I","",IF($AA43="","",IF(GH43="","",GH43)))</f>
        <v/>
      </c>
      <c r="GK43" s="203" t="str">
        <f t="shared" si="82"/>
        <v>OK</v>
      </c>
      <c r="GL43" s="226"/>
      <c r="GM43" s="230"/>
      <c r="GN43" s="183" t="str">
        <f>IF($AB43="I","",IF($AA43="","",IF(GL43="","",GL43)))</f>
        <v/>
      </c>
      <c r="GO43" s="203" t="str">
        <f t="shared" si="84"/>
        <v>OK</v>
      </c>
      <c r="GP43" s="226"/>
      <c r="GQ43" s="230"/>
      <c r="GR43" s="183" t="str">
        <f>IF($AB43="I","",IF($AA43="","",IF(GP43="","",GP43)))</f>
        <v/>
      </c>
      <c r="GS43" s="203" t="str">
        <f t="shared" si="86"/>
        <v>OK</v>
      </c>
      <c r="GT43" s="202"/>
      <c r="GU43" s="202"/>
      <c r="GV43" s="201"/>
      <c r="GW43" s="201"/>
      <c r="GX43" s="201"/>
    </row>
    <row r="44" spans="1:206">
      <c r="A44" s="200"/>
      <c r="B44" s="225">
        <f t="shared" si="130"/>
        <v>37</v>
      </c>
      <c r="C44" s="229"/>
      <c r="D44" s="229"/>
      <c r="E44" s="228"/>
      <c r="F44" s="248"/>
      <c r="G44" s="229"/>
      <c r="H44" s="210" t="s">
        <v>391</v>
      </c>
      <c r="I44" s="209"/>
      <c r="J44" s="217" t="s">
        <v>23</v>
      </c>
      <c r="K44" s="219"/>
      <c r="L44" s="219"/>
      <c r="M44" s="242"/>
      <c r="N44" s="217"/>
      <c r="O44" s="216"/>
      <c r="P44" s="212"/>
      <c r="Q44" s="212"/>
      <c r="R44" s="215"/>
      <c r="S44" s="214"/>
      <c r="T44" s="212"/>
      <c r="U44" s="213"/>
      <c r="V44" s="212"/>
      <c r="W44" s="211" t="str">
        <f t="shared" si="131"/>
        <v>5</v>
      </c>
      <c r="X44" s="210" t="s">
        <v>390</v>
      </c>
      <c r="Y44" s="239">
        <v>7</v>
      </c>
      <c r="Z44" s="239">
        <v>7</v>
      </c>
      <c r="AA44" s="238">
        <v>9</v>
      </c>
      <c r="AB44" s="238" t="s">
        <v>306</v>
      </c>
      <c r="AC44" s="207"/>
      <c r="AD44" s="231" t="s">
        <v>389</v>
      </c>
      <c r="AE44" s="230"/>
      <c r="AF44" s="183"/>
      <c r="AG44" s="203" t="str">
        <f t="shared" si="175"/>
        <v>OK</v>
      </c>
      <c r="AH44" s="231" t="s">
        <v>389</v>
      </c>
      <c r="AI44" s="230"/>
      <c r="AJ44" s="183"/>
      <c r="AK44" s="203" t="str">
        <f t="shared" si="176"/>
        <v>OK</v>
      </c>
      <c r="AL44" s="231" t="s">
        <v>389</v>
      </c>
      <c r="AM44" s="230"/>
      <c r="AN44" s="183"/>
      <c r="AO44" s="203" t="str">
        <f t="shared" si="177"/>
        <v>OK</v>
      </c>
      <c r="AP44" s="231" t="s">
        <v>389</v>
      </c>
      <c r="AQ44" s="230"/>
      <c r="AR44" s="183"/>
      <c r="AS44" s="203" t="str">
        <f t="shared" si="8"/>
        <v>OK</v>
      </c>
      <c r="AT44" s="231" t="s">
        <v>389</v>
      </c>
      <c r="AU44" s="230"/>
      <c r="AV44" s="183"/>
      <c r="AW44" s="203" t="str">
        <f t="shared" si="10"/>
        <v>OK</v>
      </c>
      <c r="AX44" s="231" t="s">
        <v>389</v>
      </c>
      <c r="AY44" s="230"/>
      <c r="AZ44" s="183"/>
      <c r="BA44" s="203" t="str">
        <f t="shared" si="12"/>
        <v>OK</v>
      </c>
      <c r="BB44" s="231" t="s">
        <v>389</v>
      </c>
      <c r="BC44" s="230"/>
      <c r="BD44" s="183"/>
      <c r="BE44" s="203" t="str">
        <f t="shared" si="14"/>
        <v>OK</v>
      </c>
      <c r="BF44" s="231" t="s">
        <v>389</v>
      </c>
      <c r="BG44" s="230"/>
      <c r="BH44" s="183"/>
      <c r="BI44" s="203" t="str">
        <f t="shared" si="16"/>
        <v>OK</v>
      </c>
      <c r="BJ44" s="231" t="s">
        <v>389</v>
      </c>
      <c r="BK44" s="230"/>
      <c r="BL44" s="183"/>
      <c r="BM44" s="203" t="str">
        <f t="shared" si="18"/>
        <v>OK</v>
      </c>
      <c r="BN44" s="231" t="s">
        <v>389</v>
      </c>
      <c r="BO44" s="230"/>
      <c r="BP44" s="183"/>
      <c r="BQ44" s="203" t="str">
        <f t="shared" si="20"/>
        <v>OK</v>
      </c>
      <c r="BR44" s="231" t="s">
        <v>389</v>
      </c>
      <c r="BS44" s="230"/>
      <c r="BT44" s="183"/>
      <c r="BU44" s="203" t="str">
        <f t="shared" si="22"/>
        <v>OK</v>
      </c>
      <c r="BV44" s="231" t="s">
        <v>389</v>
      </c>
      <c r="BW44" s="230"/>
      <c r="BX44" s="183"/>
      <c r="BY44" s="203" t="str">
        <f t="shared" si="24"/>
        <v>OK</v>
      </c>
      <c r="BZ44" s="231" t="s">
        <v>389</v>
      </c>
      <c r="CA44" s="230"/>
      <c r="CB44" s="183"/>
      <c r="CC44" s="203" t="str">
        <f t="shared" si="26"/>
        <v>OK</v>
      </c>
      <c r="CD44" s="231" t="s">
        <v>389</v>
      </c>
      <c r="CE44" s="230"/>
      <c r="CF44" s="183"/>
      <c r="CG44" s="203" t="str">
        <f t="shared" si="28"/>
        <v>OK</v>
      </c>
      <c r="CH44" s="231" t="s">
        <v>389</v>
      </c>
      <c r="CI44" s="230"/>
      <c r="CJ44" s="183"/>
      <c r="CK44" s="203" t="str">
        <f t="shared" si="30"/>
        <v>OK</v>
      </c>
      <c r="CL44" s="231" t="s">
        <v>389</v>
      </c>
      <c r="CM44" s="230"/>
      <c r="CN44" s="183"/>
      <c r="CO44" s="203" t="str">
        <f t="shared" si="32"/>
        <v>OK</v>
      </c>
      <c r="CP44" s="231" t="s">
        <v>389</v>
      </c>
      <c r="CQ44" s="230"/>
      <c r="CR44" s="183"/>
      <c r="CS44" s="203" t="str">
        <f t="shared" si="34"/>
        <v>OK</v>
      </c>
      <c r="CT44" s="231" t="s">
        <v>389</v>
      </c>
      <c r="CU44" s="230"/>
      <c r="CV44" s="183"/>
      <c r="CW44" s="203" t="str">
        <f t="shared" si="36"/>
        <v>OK</v>
      </c>
      <c r="CX44" s="231" t="s">
        <v>389</v>
      </c>
      <c r="CY44" s="230"/>
      <c r="CZ44" s="183"/>
      <c r="DA44" s="203" t="str">
        <f t="shared" si="38"/>
        <v>OK</v>
      </c>
      <c r="DB44" s="231" t="s">
        <v>389</v>
      </c>
      <c r="DC44" s="230"/>
      <c r="DD44" s="183"/>
      <c r="DE44" s="203" t="str">
        <f t="shared" si="40"/>
        <v>OK</v>
      </c>
      <c r="DF44" s="231" t="s">
        <v>389</v>
      </c>
      <c r="DG44" s="230"/>
      <c r="DH44" s="183"/>
      <c r="DI44" s="203" t="str">
        <f t="shared" si="42"/>
        <v>OK</v>
      </c>
      <c r="DJ44" s="231" t="s">
        <v>389</v>
      </c>
      <c r="DK44" s="230"/>
      <c r="DL44" s="183"/>
      <c r="DM44" s="203" t="str">
        <f t="shared" si="44"/>
        <v>OK</v>
      </c>
      <c r="DN44" s="231" t="s">
        <v>389</v>
      </c>
      <c r="DO44" s="230"/>
      <c r="DP44" s="183"/>
      <c r="DQ44" s="203" t="str">
        <f t="shared" si="46"/>
        <v>OK</v>
      </c>
      <c r="DR44" s="231" t="s">
        <v>389</v>
      </c>
      <c r="DS44" s="230"/>
      <c r="DT44" s="183"/>
      <c r="DU44" s="203" t="str">
        <f t="shared" si="48"/>
        <v>OK</v>
      </c>
      <c r="DV44" s="231" t="s">
        <v>389</v>
      </c>
      <c r="DW44" s="230"/>
      <c r="DX44" s="183"/>
      <c r="DY44" s="203" t="str">
        <f t="shared" si="50"/>
        <v>OK</v>
      </c>
      <c r="DZ44" s="231" t="s">
        <v>389</v>
      </c>
      <c r="EA44" s="230"/>
      <c r="EB44" s="183"/>
      <c r="EC44" s="203" t="str">
        <f t="shared" si="52"/>
        <v>OK</v>
      </c>
      <c r="ED44" s="231" t="s">
        <v>389</v>
      </c>
      <c r="EE44" s="230"/>
      <c r="EF44" s="183"/>
      <c r="EG44" s="203" t="str">
        <f t="shared" si="54"/>
        <v>OK</v>
      </c>
      <c r="EH44" s="231" t="s">
        <v>389</v>
      </c>
      <c r="EI44" s="230"/>
      <c r="EJ44" s="183"/>
      <c r="EK44" s="203" t="str">
        <f t="shared" si="56"/>
        <v>OK</v>
      </c>
      <c r="EL44" s="231" t="s">
        <v>389</v>
      </c>
      <c r="EM44" s="230"/>
      <c r="EN44" s="183"/>
      <c r="EO44" s="203" t="str">
        <f t="shared" si="58"/>
        <v>OK</v>
      </c>
      <c r="EP44" s="231" t="s">
        <v>389</v>
      </c>
      <c r="EQ44" s="230"/>
      <c r="ER44" s="183"/>
      <c r="ES44" s="203" t="str">
        <f t="shared" si="60"/>
        <v>OK</v>
      </c>
      <c r="ET44" s="231" t="s">
        <v>389</v>
      </c>
      <c r="EU44" s="230"/>
      <c r="EV44" s="183"/>
      <c r="EW44" s="203" t="str">
        <f t="shared" si="62"/>
        <v>OK</v>
      </c>
      <c r="EX44" s="231" t="s">
        <v>389</v>
      </c>
      <c r="EY44" s="230"/>
      <c r="EZ44" s="183"/>
      <c r="FA44" s="203" t="str">
        <f t="shared" si="64"/>
        <v>OK</v>
      </c>
      <c r="FB44" s="231" t="s">
        <v>389</v>
      </c>
      <c r="FC44" s="230"/>
      <c r="FD44" s="183"/>
      <c r="FE44" s="203" t="str">
        <f t="shared" si="66"/>
        <v>OK</v>
      </c>
      <c r="FF44" s="231" t="s">
        <v>389</v>
      </c>
      <c r="FG44" s="230"/>
      <c r="FH44" s="183"/>
      <c r="FI44" s="203" t="str">
        <f t="shared" si="68"/>
        <v>OK</v>
      </c>
      <c r="FJ44" s="231" t="s">
        <v>389</v>
      </c>
      <c r="FK44" s="230"/>
      <c r="FL44" s="183"/>
      <c r="FM44" s="203" t="str">
        <f t="shared" si="70"/>
        <v>OK</v>
      </c>
      <c r="FN44" s="231" t="s">
        <v>389</v>
      </c>
      <c r="FO44" s="230"/>
      <c r="FP44" s="183"/>
      <c r="FQ44" s="203" t="str">
        <f t="shared" si="72"/>
        <v>OK</v>
      </c>
      <c r="FR44" s="231" t="s">
        <v>389</v>
      </c>
      <c r="FS44" s="230"/>
      <c r="FT44" s="183"/>
      <c r="FU44" s="203" t="str">
        <f t="shared" si="74"/>
        <v>OK</v>
      </c>
      <c r="FV44" s="231" t="s">
        <v>389</v>
      </c>
      <c r="FW44" s="230"/>
      <c r="FX44" s="183"/>
      <c r="FY44" s="203" t="str">
        <f t="shared" si="76"/>
        <v>OK</v>
      </c>
      <c r="FZ44" s="231" t="s">
        <v>389</v>
      </c>
      <c r="GA44" s="230"/>
      <c r="GB44" s="183"/>
      <c r="GC44" s="203" t="str">
        <f t="shared" si="78"/>
        <v>OK</v>
      </c>
      <c r="GD44" s="231" t="s">
        <v>389</v>
      </c>
      <c r="GE44" s="230"/>
      <c r="GF44" s="183"/>
      <c r="GG44" s="203" t="str">
        <f t="shared" si="80"/>
        <v>OK</v>
      </c>
      <c r="GH44" s="231" t="s">
        <v>389</v>
      </c>
      <c r="GI44" s="230"/>
      <c r="GJ44" s="183"/>
      <c r="GK44" s="203" t="str">
        <f t="shared" si="82"/>
        <v>OK</v>
      </c>
      <c r="GL44" s="231" t="s">
        <v>389</v>
      </c>
      <c r="GM44" s="230"/>
      <c r="GN44" s="183"/>
      <c r="GO44" s="203" t="str">
        <f t="shared" si="84"/>
        <v>OK</v>
      </c>
      <c r="GP44" s="231" t="s">
        <v>389</v>
      </c>
      <c r="GQ44" s="230"/>
      <c r="GR44" s="183"/>
      <c r="GS44" s="203" t="str">
        <f t="shared" si="86"/>
        <v>OK</v>
      </c>
      <c r="GT44" s="202"/>
      <c r="GU44" s="202"/>
      <c r="GV44" s="201"/>
      <c r="GW44" s="201"/>
      <c r="GX44" s="201"/>
    </row>
    <row r="45" spans="1:206">
      <c r="A45" s="200" t="s">
        <v>336</v>
      </c>
      <c r="B45" s="225">
        <f t="shared" si="130"/>
        <v>38</v>
      </c>
      <c r="C45" s="229"/>
      <c r="D45" s="229"/>
      <c r="E45" s="228"/>
      <c r="F45" s="228"/>
      <c r="G45" s="250"/>
      <c r="H45" s="210" t="s">
        <v>388</v>
      </c>
      <c r="I45" s="209"/>
      <c r="J45" s="217" t="s">
        <v>23</v>
      </c>
      <c r="K45" s="219"/>
      <c r="L45" s="219"/>
      <c r="M45" s="218"/>
      <c r="N45" s="217"/>
      <c r="O45" s="216"/>
      <c r="P45" s="212"/>
      <c r="Q45" s="212"/>
      <c r="R45" s="215"/>
      <c r="S45" s="214"/>
      <c r="T45" s="212"/>
      <c r="U45" s="213"/>
      <c r="V45" s="212"/>
      <c r="W45" s="211" t="str">
        <f t="shared" si="131"/>
        <v>5</v>
      </c>
      <c r="X45" s="210" t="s">
        <v>387</v>
      </c>
      <c r="Y45" s="210">
        <v>1</v>
      </c>
      <c r="Z45" s="210">
        <v>192</v>
      </c>
      <c r="AA45" s="209" t="s">
        <v>69</v>
      </c>
      <c r="AB45" s="209" t="s">
        <v>306</v>
      </c>
      <c r="AC45" s="207"/>
      <c r="AD45" s="206" t="s">
        <v>386</v>
      </c>
      <c r="AE45" s="230"/>
      <c r="AF45" s="183" t="str">
        <f t="shared" ref="AF45:AF77" si="178">IF($AB45="I","",IF($AA45="","",IF(AD45="","",AD45)))</f>
        <v/>
      </c>
      <c r="AG45" s="203" t="str">
        <f t="shared" si="175"/>
        <v>OK</v>
      </c>
      <c r="AH45" s="206" t="s">
        <v>386</v>
      </c>
      <c r="AI45" s="230"/>
      <c r="AJ45" s="183" t="str">
        <f t="shared" ref="AJ45:AJ77" si="179">IF($AB45="I","",IF($AA45="","",IF(AH45="","",AH45)))</f>
        <v/>
      </c>
      <c r="AK45" s="203" t="str">
        <f t="shared" si="176"/>
        <v>OK</v>
      </c>
      <c r="AL45" s="206" t="s">
        <v>386</v>
      </c>
      <c r="AM45" s="230"/>
      <c r="AN45" s="183" t="str">
        <f t="shared" ref="AN45:AN77" si="180">IF($AB45="I","",IF($AA45="","",IF(AL45="","",AL45)))</f>
        <v/>
      </c>
      <c r="AO45" s="203" t="str">
        <f t="shared" si="177"/>
        <v>OK</v>
      </c>
      <c r="AP45" s="206" t="s">
        <v>386</v>
      </c>
      <c r="AQ45" s="230"/>
      <c r="AR45" s="183" t="str">
        <f t="shared" ref="AR45:AR77" si="181">IF($AB45="I","",IF($AA45="","",IF(AP45="","",AP45)))</f>
        <v/>
      </c>
      <c r="AS45" s="203" t="str">
        <f t="shared" si="8"/>
        <v>OK</v>
      </c>
      <c r="AT45" s="206" t="s">
        <v>386</v>
      </c>
      <c r="AU45" s="230"/>
      <c r="AV45" s="183" t="str">
        <f t="shared" ref="AV45:AV77" si="182">IF($AB45="I","",IF($AA45="","",IF(AT45="","",AT45)))</f>
        <v/>
      </c>
      <c r="AW45" s="203" t="str">
        <f t="shared" si="10"/>
        <v>OK</v>
      </c>
      <c r="AX45" s="206" t="s">
        <v>386</v>
      </c>
      <c r="AY45" s="230"/>
      <c r="AZ45" s="183" t="str">
        <f t="shared" ref="AZ45:AZ77" si="183">IF($AB45="I","",IF($AA45="","",IF(AX45="","",AX45)))</f>
        <v/>
      </c>
      <c r="BA45" s="203" t="str">
        <f t="shared" si="12"/>
        <v>OK</v>
      </c>
      <c r="BB45" s="206" t="s">
        <v>386</v>
      </c>
      <c r="BC45" s="230"/>
      <c r="BD45" s="183" t="str">
        <f t="shared" ref="BD45:BD77" si="184">IF($AB45="I","",IF($AA45="","",IF(BB45="","",BB45)))</f>
        <v/>
      </c>
      <c r="BE45" s="203" t="str">
        <f t="shared" si="14"/>
        <v>OK</v>
      </c>
      <c r="BF45" s="206" t="s">
        <v>386</v>
      </c>
      <c r="BG45" s="230"/>
      <c r="BH45" s="183" t="str">
        <f t="shared" ref="BH45:BH77" si="185">IF($AB45="I","",IF($AA45="","",IF(BF45="","",BF45)))</f>
        <v/>
      </c>
      <c r="BI45" s="203" t="str">
        <f t="shared" si="16"/>
        <v>OK</v>
      </c>
      <c r="BJ45" s="206" t="s">
        <v>386</v>
      </c>
      <c r="BK45" s="230"/>
      <c r="BL45" s="183" t="str">
        <f t="shared" ref="BL45:BL77" si="186">IF($AB45="I","",IF($AA45="","",IF(BJ45="","",BJ45)))</f>
        <v/>
      </c>
      <c r="BM45" s="203" t="str">
        <f t="shared" si="18"/>
        <v>OK</v>
      </c>
      <c r="BN45" s="206" t="s">
        <v>386</v>
      </c>
      <c r="BO45" s="230"/>
      <c r="BP45" s="183" t="str">
        <f t="shared" ref="BP45:BP77" si="187">IF($AB45="I","",IF($AA45="","",IF(BN45="","",BN45)))</f>
        <v/>
      </c>
      <c r="BQ45" s="203" t="str">
        <f t="shared" si="20"/>
        <v>OK</v>
      </c>
      <c r="BR45" s="206" t="s">
        <v>386</v>
      </c>
      <c r="BS45" s="230"/>
      <c r="BT45" s="183" t="str">
        <f t="shared" ref="BT45:BT77" si="188">IF($AB45="I","",IF($AA45="","",IF(BR45="","",BR45)))</f>
        <v/>
      </c>
      <c r="BU45" s="203" t="str">
        <f t="shared" si="22"/>
        <v>OK</v>
      </c>
      <c r="BV45" s="206" t="s">
        <v>386</v>
      </c>
      <c r="BW45" s="230"/>
      <c r="BX45" s="183" t="str">
        <f t="shared" ref="BX45:BX77" si="189">IF($AB45="I","",IF($AA45="","",IF(BV45="","",BV45)))</f>
        <v/>
      </c>
      <c r="BY45" s="203" t="str">
        <f t="shared" si="24"/>
        <v>OK</v>
      </c>
      <c r="BZ45" s="206" t="s">
        <v>386</v>
      </c>
      <c r="CA45" s="230"/>
      <c r="CB45" s="183" t="str">
        <f t="shared" ref="CB45:CB77" si="190">IF($AB45="I","",IF($AA45="","",IF(BZ45="","",BZ45)))</f>
        <v/>
      </c>
      <c r="CC45" s="203" t="str">
        <f t="shared" si="26"/>
        <v>OK</v>
      </c>
      <c r="CD45" s="206" t="s">
        <v>386</v>
      </c>
      <c r="CE45" s="230"/>
      <c r="CF45" s="183" t="str">
        <f t="shared" ref="CF45:CF77" si="191">IF($AB45="I","",IF($AA45="","",IF(CD45="","",CD45)))</f>
        <v/>
      </c>
      <c r="CG45" s="203" t="str">
        <f t="shared" si="28"/>
        <v>OK</v>
      </c>
      <c r="CH45" s="206" t="s">
        <v>386</v>
      </c>
      <c r="CI45" s="230"/>
      <c r="CJ45" s="183" t="str">
        <f t="shared" ref="CJ45:CJ77" si="192">IF($AB45="I","",IF($AA45="","",IF(CH45="","",CH45)))</f>
        <v/>
      </c>
      <c r="CK45" s="203" t="str">
        <f t="shared" si="30"/>
        <v>OK</v>
      </c>
      <c r="CL45" s="206" t="s">
        <v>386</v>
      </c>
      <c r="CM45" s="230"/>
      <c r="CN45" s="183" t="str">
        <f t="shared" ref="CN45:CN77" si="193">IF($AB45="I","",IF($AA45="","",IF(CL45="","",CL45)))</f>
        <v/>
      </c>
      <c r="CO45" s="203" t="str">
        <f t="shared" si="32"/>
        <v>OK</v>
      </c>
      <c r="CP45" s="206" t="s">
        <v>386</v>
      </c>
      <c r="CQ45" s="230"/>
      <c r="CR45" s="183" t="str">
        <f t="shared" ref="CR45:CR77" si="194">IF($AB45="I","",IF($AA45="","",IF(CP45="","",CP45)))</f>
        <v/>
      </c>
      <c r="CS45" s="203" t="str">
        <f t="shared" si="34"/>
        <v>OK</v>
      </c>
      <c r="CT45" s="206" t="s">
        <v>386</v>
      </c>
      <c r="CU45" s="230"/>
      <c r="CV45" s="183" t="str">
        <f t="shared" ref="CV45:CV77" si="195">IF($AB45="I","",IF($AA45="","",IF(CT45="","",CT45)))</f>
        <v/>
      </c>
      <c r="CW45" s="203" t="str">
        <f t="shared" si="36"/>
        <v>OK</v>
      </c>
      <c r="CX45" s="206" t="s">
        <v>386</v>
      </c>
      <c r="CY45" s="230"/>
      <c r="CZ45" s="183" t="str">
        <f t="shared" ref="CZ45:CZ77" si="196">IF($AB45="I","",IF($AA45="","",IF(CX45="","",CX45)))</f>
        <v/>
      </c>
      <c r="DA45" s="203" t="str">
        <f t="shared" si="38"/>
        <v>OK</v>
      </c>
      <c r="DB45" s="206" t="s">
        <v>386</v>
      </c>
      <c r="DC45" s="230"/>
      <c r="DD45" s="183" t="str">
        <f t="shared" ref="DD45:DD77" si="197">IF($AB45="I","",IF($AA45="","",IF(DB45="","",DB45)))</f>
        <v/>
      </c>
      <c r="DE45" s="203" t="str">
        <f t="shared" si="40"/>
        <v>OK</v>
      </c>
      <c r="DF45" s="206" t="s">
        <v>386</v>
      </c>
      <c r="DG45" s="230"/>
      <c r="DH45" s="183" t="str">
        <f t="shared" ref="DH45:DH77" si="198">IF($AB45="I","",IF($AA45="","",IF(DF45="","",DF45)))</f>
        <v/>
      </c>
      <c r="DI45" s="203" t="str">
        <f t="shared" si="42"/>
        <v>OK</v>
      </c>
      <c r="DJ45" s="206" t="s">
        <v>386</v>
      </c>
      <c r="DK45" s="230"/>
      <c r="DL45" s="183" t="str">
        <f t="shared" ref="DL45:DL77" si="199">IF($AB45="I","",IF($AA45="","",IF(DJ45="","",DJ45)))</f>
        <v/>
      </c>
      <c r="DM45" s="203" t="str">
        <f t="shared" si="44"/>
        <v>OK</v>
      </c>
      <c r="DN45" s="206" t="s">
        <v>386</v>
      </c>
      <c r="DO45" s="230"/>
      <c r="DP45" s="183" t="str">
        <f t="shared" ref="DP45:DP77" si="200">IF($AB45="I","",IF($AA45="","",IF(DN45="","",DN45)))</f>
        <v/>
      </c>
      <c r="DQ45" s="203" t="str">
        <f t="shared" si="46"/>
        <v>OK</v>
      </c>
      <c r="DR45" s="206" t="s">
        <v>386</v>
      </c>
      <c r="DS45" s="230"/>
      <c r="DT45" s="183" t="str">
        <f t="shared" ref="DT45:DT77" si="201">IF($AB45="I","",IF($AA45="","",IF(DR45="","",DR45)))</f>
        <v/>
      </c>
      <c r="DU45" s="203" t="str">
        <f t="shared" si="48"/>
        <v>OK</v>
      </c>
      <c r="DV45" s="206" t="s">
        <v>386</v>
      </c>
      <c r="DW45" s="230"/>
      <c r="DX45" s="183" t="str">
        <f t="shared" ref="DX45:DX77" si="202">IF($AB45="I","",IF($AA45="","",IF(DV45="","",DV45)))</f>
        <v/>
      </c>
      <c r="DY45" s="203" t="str">
        <f t="shared" si="50"/>
        <v>OK</v>
      </c>
      <c r="DZ45" s="206" t="s">
        <v>386</v>
      </c>
      <c r="EA45" s="230"/>
      <c r="EB45" s="183" t="str">
        <f t="shared" ref="EB45:EB77" si="203">IF($AB45="I","",IF($AA45="","",IF(DZ45="","",DZ45)))</f>
        <v/>
      </c>
      <c r="EC45" s="203" t="str">
        <f t="shared" si="52"/>
        <v>OK</v>
      </c>
      <c r="ED45" s="206" t="s">
        <v>386</v>
      </c>
      <c r="EE45" s="230"/>
      <c r="EF45" s="183" t="str">
        <f t="shared" ref="EF45:EF77" si="204">IF($AB45="I","",IF($AA45="","",IF(ED45="","",ED45)))</f>
        <v/>
      </c>
      <c r="EG45" s="203" t="str">
        <f t="shared" si="54"/>
        <v>OK</v>
      </c>
      <c r="EH45" s="206" t="s">
        <v>386</v>
      </c>
      <c r="EI45" s="230"/>
      <c r="EJ45" s="183" t="str">
        <f t="shared" ref="EJ45:EJ77" si="205">IF($AB45="I","",IF($AA45="","",IF(EH45="","",EH45)))</f>
        <v/>
      </c>
      <c r="EK45" s="203" t="str">
        <f t="shared" si="56"/>
        <v>OK</v>
      </c>
      <c r="EL45" s="206" t="s">
        <v>386</v>
      </c>
      <c r="EM45" s="230"/>
      <c r="EN45" s="183" t="str">
        <f t="shared" ref="EN45:EN77" si="206">IF($AB45="I","",IF($AA45="","",IF(EL45="","",EL45)))</f>
        <v/>
      </c>
      <c r="EO45" s="203" t="str">
        <f t="shared" si="58"/>
        <v>OK</v>
      </c>
      <c r="EP45" s="206" t="s">
        <v>386</v>
      </c>
      <c r="EQ45" s="230"/>
      <c r="ER45" s="183" t="str">
        <f t="shared" ref="ER45:ER77" si="207">IF($AB45="I","",IF($AA45="","",IF(EP45="","",EP45)))</f>
        <v/>
      </c>
      <c r="ES45" s="203" t="str">
        <f t="shared" si="60"/>
        <v>OK</v>
      </c>
      <c r="ET45" s="206" t="s">
        <v>386</v>
      </c>
      <c r="EU45" s="230"/>
      <c r="EV45" s="183" t="str">
        <f t="shared" ref="EV45:EV77" si="208">IF($AB45="I","",IF($AA45="","",IF(ET45="","",ET45)))</f>
        <v/>
      </c>
      <c r="EW45" s="203" t="str">
        <f t="shared" si="62"/>
        <v>OK</v>
      </c>
      <c r="EX45" s="206" t="s">
        <v>386</v>
      </c>
      <c r="EY45" s="230"/>
      <c r="EZ45" s="183" t="str">
        <f t="shared" ref="EZ45:EZ77" si="209">IF($AB45="I","",IF($AA45="","",IF(EX45="","",EX45)))</f>
        <v/>
      </c>
      <c r="FA45" s="203" t="str">
        <f t="shared" si="64"/>
        <v>OK</v>
      </c>
      <c r="FB45" s="206" t="s">
        <v>386</v>
      </c>
      <c r="FC45" s="230"/>
      <c r="FD45" s="183" t="str">
        <f t="shared" ref="FD45:FD77" si="210">IF($AB45="I","",IF($AA45="","",IF(FB45="","",FB45)))</f>
        <v/>
      </c>
      <c r="FE45" s="203" t="str">
        <f t="shared" si="66"/>
        <v>OK</v>
      </c>
      <c r="FF45" s="206" t="s">
        <v>386</v>
      </c>
      <c r="FG45" s="230"/>
      <c r="FH45" s="183" t="str">
        <f t="shared" ref="FH45:FH77" si="211">IF($AB45="I","",IF($AA45="","",IF(FF45="","",FF45)))</f>
        <v/>
      </c>
      <c r="FI45" s="203" t="str">
        <f t="shared" si="68"/>
        <v>OK</v>
      </c>
      <c r="FJ45" s="206" t="s">
        <v>386</v>
      </c>
      <c r="FK45" s="230"/>
      <c r="FL45" s="183" t="str">
        <f t="shared" ref="FL45:FL77" si="212">IF($AB45="I","",IF($AA45="","",IF(FJ45="","",FJ45)))</f>
        <v/>
      </c>
      <c r="FM45" s="203" t="str">
        <f t="shared" si="70"/>
        <v>OK</v>
      </c>
      <c r="FN45" s="206" t="s">
        <v>386</v>
      </c>
      <c r="FO45" s="230"/>
      <c r="FP45" s="183" t="str">
        <f t="shared" ref="FP45:FP77" si="213">IF($AB45="I","",IF($AA45="","",IF(FN45="","",FN45)))</f>
        <v/>
      </c>
      <c r="FQ45" s="203" t="str">
        <f t="shared" si="72"/>
        <v>OK</v>
      </c>
      <c r="FR45" s="206" t="s">
        <v>386</v>
      </c>
      <c r="FS45" s="230"/>
      <c r="FT45" s="183" t="str">
        <f t="shared" ref="FT45:FT77" si="214">IF($AB45="I","",IF($AA45="","",IF(FR45="","",FR45)))</f>
        <v/>
      </c>
      <c r="FU45" s="203" t="str">
        <f t="shared" si="74"/>
        <v>OK</v>
      </c>
      <c r="FV45" s="206" t="s">
        <v>386</v>
      </c>
      <c r="FW45" s="230"/>
      <c r="FX45" s="183" t="str">
        <f t="shared" ref="FX45:FX77" si="215">IF($AB45="I","",IF($AA45="","",IF(FV45="","",FV45)))</f>
        <v/>
      </c>
      <c r="FY45" s="203" t="str">
        <f t="shared" si="76"/>
        <v>OK</v>
      </c>
      <c r="FZ45" s="206" t="s">
        <v>386</v>
      </c>
      <c r="GA45" s="230"/>
      <c r="GB45" s="183" t="str">
        <f t="shared" ref="GB45:GB77" si="216">IF($AB45="I","",IF($AA45="","",IF(FZ45="","",FZ45)))</f>
        <v/>
      </c>
      <c r="GC45" s="203" t="str">
        <f t="shared" si="78"/>
        <v>OK</v>
      </c>
      <c r="GD45" s="206" t="s">
        <v>386</v>
      </c>
      <c r="GE45" s="230"/>
      <c r="GF45" s="183" t="str">
        <f t="shared" ref="GF45:GF77" si="217">IF($AB45="I","",IF($AA45="","",IF(GD45="","",GD45)))</f>
        <v/>
      </c>
      <c r="GG45" s="203" t="str">
        <f t="shared" si="80"/>
        <v>OK</v>
      </c>
      <c r="GH45" s="206" t="s">
        <v>386</v>
      </c>
      <c r="GI45" s="230"/>
      <c r="GJ45" s="183" t="str">
        <f t="shared" ref="GJ45:GJ77" si="218">IF($AB45="I","",IF($AA45="","",IF(GH45="","",GH45)))</f>
        <v/>
      </c>
      <c r="GK45" s="203" t="str">
        <f t="shared" si="82"/>
        <v>OK</v>
      </c>
      <c r="GL45" s="206" t="s">
        <v>386</v>
      </c>
      <c r="GM45" s="230"/>
      <c r="GN45" s="183" t="str">
        <f t="shared" ref="GN45:GN77" si="219">IF($AB45="I","",IF($AA45="","",IF(GL45="","",GL45)))</f>
        <v/>
      </c>
      <c r="GO45" s="203" t="str">
        <f t="shared" si="84"/>
        <v>OK</v>
      </c>
      <c r="GP45" s="206" t="s">
        <v>386</v>
      </c>
      <c r="GQ45" s="230"/>
      <c r="GR45" s="183" t="str">
        <f t="shared" ref="GR45:GR77" si="220">IF($AB45="I","",IF($AA45="","",IF(GP45="","",GP45)))</f>
        <v/>
      </c>
      <c r="GS45" s="203" t="str">
        <f t="shared" si="86"/>
        <v>OK</v>
      </c>
      <c r="GT45" s="202"/>
      <c r="GU45" s="202"/>
      <c r="GV45" s="201"/>
      <c r="GW45" s="201"/>
      <c r="GX45" s="201"/>
    </row>
    <row r="46" spans="1:206" ht="38.25">
      <c r="A46" s="200" t="s">
        <v>336</v>
      </c>
      <c r="B46" s="225">
        <f t="shared" si="130"/>
        <v>39</v>
      </c>
      <c r="C46" s="229"/>
      <c r="D46" s="229"/>
      <c r="E46" s="228"/>
      <c r="F46" s="228"/>
      <c r="G46" s="222" t="s">
        <v>385</v>
      </c>
      <c r="H46" s="220"/>
      <c r="I46" s="209"/>
      <c r="J46" s="217" t="s">
        <v>23</v>
      </c>
      <c r="K46" s="219"/>
      <c r="L46" s="219"/>
      <c r="M46" s="218" t="s">
        <v>384</v>
      </c>
      <c r="N46" s="217" t="s">
        <v>64</v>
      </c>
      <c r="O46" s="216"/>
      <c r="P46" s="212"/>
      <c r="Q46" s="212"/>
      <c r="R46" s="215"/>
      <c r="S46" s="214"/>
      <c r="T46" s="212"/>
      <c r="U46" s="213"/>
      <c r="V46" s="212"/>
      <c r="W46" s="211" t="str">
        <f t="shared" si="131"/>
        <v>4</v>
      </c>
      <c r="X46" s="210" t="s">
        <v>383</v>
      </c>
      <c r="Y46" s="210">
        <v>1</v>
      </c>
      <c r="Z46" s="210">
        <v>1</v>
      </c>
      <c r="AA46" s="209" t="s">
        <v>54</v>
      </c>
      <c r="AB46" s="209" t="s">
        <v>306</v>
      </c>
      <c r="AC46" s="207"/>
      <c r="AD46" s="231" t="s">
        <v>71</v>
      </c>
      <c r="AE46" s="230"/>
      <c r="AF46" s="183" t="str">
        <f t="shared" si="178"/>
        <v/>
      </c>
      <c r="AG46" s="203" t="str">
        <f t="shared" si="175"/>
        <v>OK</v>
      </c>
      <c r="AH46" s="231" t="s">
        <v>71</v>
      </c>
      <c r="AI46" s="230"/>
      <c r="AJ46" s="183" t="str">
        <f t="shared" si="179"/>
        <v/>
      </c>
      <c r="AK46" s="203" t="str">
        <f t="shared" si="176"/>
        <v>OK</v>
      </c>
      <c r="AL46" s="231" t="s">
        <v>71</v>
      </c>
      <c r="AM46" s="230"/>
      <c r="AN46" s="183" t="str">
        <f t="shared" si="180"/>
        <v/>
      </c>
      <c r="AO46" s="203" t="str">
        <f t="shared" si="177"/>
        <v>OK</v>
      </c>
      <c r="AP46" s="231" t="s">
        <v>71</v>
      </c>
      <c r="AQ46" s="230"/>
      <c r="AR46" s="183" t="str">
        <f t="shared" si="181"/>
        <v/>
      </c>
      <c r="AS46" s="203" t="str">
        <f t="shared" si="8"/>
        <v>OK</v>
      </c>
      <c r="AT46" s="231" t="s">
        <v>71</v>
      </c>
      <c r="AU46" s="230"/>
      <c r="AV46" s="183" t="str">
        <f t="shared" si="182"/>
        <v/>
      </c>
      <c r="AW46" s="203" t="str">
        <f t="shared" si="10"/>
        <v>OK</v>
      </c>
      <c r="AX46" s="231" t="s">
        <v>71</v>
      </c>
      <c r="AY46" s="230"/>
      <c r="AZ46" s="183" t="str">
        <f t="shared" si="183"/>
        <v/>
      </c>
      <c r="BA46" s="203" t="str">
        <f t="shared" si="12"/>
        <v>OK</v>
      </c>
      <c r="BB46" s="231" t="s">
        <v>71</v>
      </c>
      <c r="BC46" s="230"/>
      <c r="BD46" s="183" t="str">
        <f t="shared" si="184"/>
        <v/>
      </c>
      <c r="BE46" s="203" t="str">
        <f t="shared" si="14"/>
        <v>OK</v>
      </c>
      <c r="BF46" s="231" t="s">
        <v>71</v>
      </c>
      <c r="BG46" s="230"/>
      <c r="BH46" s="183" t="str">
        <f t="shared" si="185"/>
        <v/>
      </c>
      <c r="BI46" s="203" t="str">
        <f t="shared" si="16"/>
        <v>OK</v>
      </c>
      <c r="BJ46" s="231" t="s">
        <v>71</v>
      </c>
      <c r="BK46" s="230"/>
      <c r="BL46" s="183" t="str">
        <f t="shared" si="186"/>
        <v/>
      </c>
      <c r="BM46" s="203" t="str">
        <f t="shared" si="18"/>
        <v>OK</v>
      </c>
      <c r="BN46" s="231" t="s">
        <v>71</v>
      </c>
      <c r="BO46" s="230"/>
      <c r="BP46" s="183" t="str">
        <f t="shared" si="187"/>
        <v/>
      </c>
      <c r="BQ46" s="203" t="str">
        <f t="shared" si="20"/>
        <v>OK</v>
      </c>
      <c r="BR46" s="231" t="s">
        <v>71</v>
      </c>
      <c r="BS46" s="230"/>
      <c r="BT46" s="183" t="str">
        <f t="shared" si="188"/>
        <v/>
      </c>
      <c r="BU46" s="203" t="str">
        <f t="shared" si="22"/>
        <v>OK</v>
      </c>
      <c r="BV46" s="231" t="s">
        <v>71</v>
      </c>
      <c r="BW46" s="230"/>
      <c r="BX46" s="183" t="str">
        <f t="shared" si="189"/>
        <v/>
      </c>
      <c r="BY46" s="203" t="str">
        <f t="shared" si="24"/>
        <v>OK</v>
      </c>
      <c r="BZ46" s="231" t="s">
        <v>71</v>
      </c>
      <c r="CA46" s="230"/>
      <c r="CB46" s="183" t="str">
        <f t="shared" si="190"/>
        <v/>
      </c>
      <c r="CC46" s="203" t="str">
        <f t="shared" si="26"/>
        <v>OK</v>
      </c>
      <c r="CD46" s="231" t="s">
        <v>71</v>
      </c>
      <c r="CE46" s="230"/>
      <c r="CF46" s="183" t="str">
        <f t="shared" si="191"/>
        <v/>
      </c>
      <c r="CG46" s="203" t="str">
        <f t="shared" si="28"/>
        <v>OK</v>
      </c>
      <c r="CH46" s="231" t="s">
        <v>71</v>
      </c>
      <c r="CI46" s="230"/>
      <c r="CJ46" s="183" t="str">
        <f t="shared" si="192"/>
        <v/>
      </c>
      <c r="CK46" s="203" t="str">
        <f t="shared" si="30"/>
        <v>OK</v>
      </c>
      <c r="CL46" s="231" t="s">
        <v>71</v>
      </c>
      <c r="CM46" s="230"/>
      <c r="CN46" s="183" t="str">
        <f t="shared" si="193"/>
        <v/>
      </c>
      <c r="CO46" s="203" t="str">
        <f t="shared" si="32"/>
        <v>OK</v>
      </c>
      <c r="CP46" s="231" t="s">
        <v>71</v>
      </c>
      <c r="CQ46" s="230"/>
      <c r="CR46" s="183" t="str">
        <f t="shared" si="194"/>
        <v/>
      </c>
      <c r="CS46" s="203" t="str">
        <f t="shared" si="34"/>
        <v>OK</v>
      </c>
      <c r="CT46" s="231" t="s">
        <v>71</v>
      </c>
      <c r="CU46" s="230"/>
      <c r="CV46" s="183" t="str">
        <f t="shared" si="195"/>
        <v/>
      </c>
      <c r="CW46" s="203" t="str">
        <f t="shared" si="36"/>
        <v>OK</v>
      </c>
      <c r="CX46" s="231" t="s">
        <v>71</v>
      </c>
      <c r="CY46" s="230"/>
      <c r="CZ46" s="183" t="str">
        <f t="shared" si="196"/>
        <v/>
      </c>
      <c r="DA46" s="203" t="str">
        <f t="shared" si="38"/>
        <v>OK</v>
      </c>
      <c r="DB46" s="231" t="s">
        <v>71</v>
      </c>
      <c r="DC46" s="230"/>
      <c r="DD46" s="183" t="str">
        <f t="shared" si="197"/>
        <v/>
      </c>
      <c r="DE46" s="203" t="str">
        <f t="shared" si="40"/>
        <v>OK</v>
      </c>
      <c r="DF46" s="231" t="s">
        <v>71</v>
      </c>
      <c r="DG46" s="230"/>
      <c r="DH46" s="183" t="str">
        <f t="shared" si="198"/>
        <v/>
      </c>
      <c r="DI46" s="203" t="str">
        <f t="shared" si="42"/>
        <v>OK</v>
      </c>
      <c r="DJ46" s="231" t="s">
        <v>71</v>
      </c>
      <c r="DK46" s="230"/>
      <c r="DL46" s="183" t="str">
        <f t="shared" si="199"/>
        <v/>
      </c>
      <c r="DM46" s="203" t="str">
        <f t="shared" si="44"/>
        <v>OK</v>
      </c>
      <c r="DN46" s="231" t="s">
        <v>71</v>
      </c>
      <c r="DO46" s="230"/>
      <c r="DP46" s="183" t="str">
        <f t="shared" si="200"/>
        <v/>
      </c>
      <c r="DQ46" s="203" t="str">
        <f t="shared" si="46"/>
        <v>OK</v>
      </c>
      <c r="DR46" s="231" t="s">
        <v>71</v>
      </c>
      <c r="DS46" s="230"/>
      <c r="DT46" s="183" t="str">
        <f t="shared" si="201"/>
        <v/>
      </c>
      <c r="DU46" s="203" t="str">
        <f t="shared" si="48"/>
        <v>OK</v>
      </c>
      <c r="DV46" s="231" t="s">
        <v>71</v>
      </c>
      <c r="DW46" s="230"/>
      <c r="DX46" s="183" t="str">
        <f t="shared" si="202"/>
        <v/>
      </c>
      <c r="DY46" s="203" t="str">
        <f t="shared" si="50"/>
        <v>OK</v>
      </c>
      <c r="DZ46" s="231" t="s">
        <v>71</v>
      </c>
      <c r="EA46" s="230"/>
      <c r="EB46" s="183" t="str">
        <f t="shared" si="203"/>
        <v/>
      </c>
      <c r="EC46" s="203" t="str">
        <f t="shared" si="52"/>
        <v>OK</v>
      </c>
      <c r="ED46" s="231" t="s">
        <v>71</v>
      </c>
      <c r="EE46" s="230"/>
      <c r="EF46" s="183" t="str">
        <f t="shared" si="204"/>
        <v/>
      </c>
      <c r="EG46" s="203" t="str">
        <f t="shared" si="54"/>
        <v>OK</v>
      </c>
      <c r="EH46" s="231" t="s">
        <v>71</v>
      </c>
      <c r="EI46" s="230"/>
      <c r="EJ46" s="183" t="str">
        <f t="shared" si="205"/>
        <v/>
      </c>
      <c r="EK46" s="203" t="str">
        <f t="shared" si="56"/>
        <v>OK</v>
      </c>
      <c r="EL46" s="231" t="s">
        <v>71</v>
      </c>
      <c r="EM46" s="230"/>
      <c r="EN46" s="183" t="str">
        <f t="shared" si="206"/>
        <v/>
      </c>
      <c r="EO46" s="203" t="str">
        <f t="shared" si="58"/>
        <v>OK</v>
      </c>
      <c r="EP46" s="231" t="s">
        <v>71</v>
      </c>
      <c r="EQ46" s="230"/>
      <c r="ER46" s="183" t="str">
        <f t="shared" si="207"/>
        <v/>
      </c>
      <c r="ES46" s="203" t="str">
        <f t="shared" si="60"/>
        <v>OK</v>
      </c>
      <c r="ET46" s="231" t="s">
        <v>71</v>
      </c>
      <c r="EU46" s="230"/>
      <c r="EV46" s="183" t="str">
        <f t="shared" si="208"/>
        <v/>
      </c>
      <c r="EW46" s="203" t="str">
        <f t="shared" si="62"/>
        <v>OK</v>
      </c>
      <c r="EX46" s="231" t="s">
        <v>71</v>
      </c>
      <c r="EY46" s="230"/>
      <c r="EZ46" s="183" t="str">
        <f t="shared" si="209"/>
        <v/>
      </c>
      <c r="FA46" s="203" t="str">
        <f t="shared" si="64"/>
        <v>OK</v>
      </c>
      <c r="FB46" s="231" t="s">
        <v>71</v>
      </c>
      <c r="FC46" s="230"/>
      <c r="FD46" s="183" t="str">
        <f t="shared" si="210"/>
        <v/>
      </c>
      <c r="FE46" s="203" t="str">
        <f t="shared" si="66"/>
        <v>OK</v>
      </c>
      <c r="FF46" s="231" t="s">
        <v>71</v>
      </c>
      <c r="FG46" s="230"/>
      <c r="FH46" s="183" t="str">
        <f t="shared" si="211"/>
        <v/>
      </c>
      <c r="FI46" s="203" t="str">
        <f t="shared" si="68"/>
        <v>OK</v>
      </c>
      <c r="FJ46" s="231" t="s">
        <v>71</v>
      </c>
      <c r="FK46" s="230"/>
      <c r="FL46" s="183" t="str">
        <f t="shared" si="212"/>
        <v/>
      </c>
      <c r="FM46" s="203" t="str">
        <f t="shared" si="70"/>
        <v>OK</v>
      </c>
      <c r="FN46" s="231" t="s">
        <v>71</v>
      </c>
      <c r="FO46" s="230"/>
      <c r="FP46" s="183" t="str">
        <f t="shared" si="213"/>
        <v/>
      </c>
      <c r="FQ46" s="203" t="str">
        <f t="shared" si="72"/>
        <v>OK</v>
      </c>
      <c r="FR46" s="231" t="s">
        <v>71</v>
      </c>
      <c r="FS46" s="230"/>
      <c r="FT46" s="183" t="str">
        <f t="shared" si="214"/>
        <v/>
      </c>
      <c r="FU46" s="203" t="str">
        <f t="shared" si="74"/>
        <v>OK</v>
      </c>
      <c r="FV46" s="231" t="s">
        <v>71</v>
      </c>
      <c r="FW46" s="230"/>
      <c r="FX46" s="183" t="str">
        <f t="shared" si="215"/>
        <v/>
      </c>
      <c r="FY46" s="203" t="str">
        <f t="shared" si="76"/>
        <v>OK</v>
      </c>
      <c r="FZ46" s="231" t="s">
        <v>71</v>
      </c>
      <c r="GA46" s="230"/>
      <c r="GB46" s="183" t="str">
        <f t="shared" si="216"/>
        <v/>
      </c>
      <c r="GC46" s="203" t="str">
        <f t="shared" si="78"/>
        <v>OK</v>
      </c>
      <c r="GD46" s="231" t="s">
        <v>71</v>
      </c>
      <c r="GE46" s="230"/>
      <c r="GF46" s="183" t="str">
        <f t="shared" si="217"/>
        <v/>
      </c>
      <c r="GG46" s="203" t="str">
        <f t="shared" si="80"/>
        <v>OK</v>
      </c>
      <c r="GH46" s="231" t="s">
        <v>71</v>
      </c>
      <c r="GI46" s="230"/>
      <c r="GJ46" s="183" t="str">
        <f t="shared" si="218"/>
        <v/>
      </c>
      <c r="GK46" s="203" t="str">
        <f t="shared" si="82"/>
        <v>OK</v>
      </c>
      <c r="GL46" s="231" t="s">
        <v>71</v>
      </c>
      <c r="GM46" s="230"/>
      <c r="GN46" s="183" t="str">
        <f t="shared" si="219"/>
        <v/>
      </c>
      <c r="GO46" s="203" t="str">
        <f t="shared" si="84"/>
        <v>OK</v>
      </c>
      <c r="GP46" s="231" t="s">
        <v>71</v>
      </c>
      <c r="GQ46" s="230"/>
      <c r="GR46" s="183" t="str">
        <f t="shared" si="220"/>
        <v/>
      </c>
      <c r="GS46" s="203" t="str">
        <f t="shared" si="86"/>
        <v>OK</v>
      </c>
      <c r="GT46" s="202"/>
      <c r="GU46" s="202"/>
      <c r="GV46" s="201"/>
      <c r="GW46" s="201"/>
      <c r="GX46" s="201"/>
    </row>
    <row r="47" spans="1:206" ht="38.25">
      <c r="A47" s="200" t="s">
        <v>59</v>
      </c>
      <c r="B47" s="225">
        <f t="shared" si="130"/>
        <v>40</v>
      </c>
      <c r="C47" s="249"/>
      <c r="D47" s="249"/>
      <c r="E47" s="248"/>
      <c r="F47" s="247"/>
      <c r="G47" s="246" t="s">
        <v>382</v>
      </c>
      <c r="H47" s="245"/>
      <c r="I47" s="238"/>
      <c r="J47" s="244" t="s">
        <v>23</v>
      </c>
      <c r="K47" s="243"/>
      <c r="L47" s="243"/>
      <c r="M47" s="242" t="s">
        <v>381</v>
      </c>
      <c r="N47" s="241" t="s">
        <v>64</v>
      </c>
      <c r="O47" s="240"/>
      <c r="P47" s="212"/>
      <c r="Q47" s="212"/>
      <c r="R47" s="215"/>
      <c r="S47" s="214"/>
      <c r="T47" s="212"/>
      <c r="U47" s="213"/>
      <c r="V47" s="212"/>
      <c r="W47" s="211" t="str">
        <f t="shared" si="131"/>
        <v>4</v>
      </c>
      <c r="X47" s="239" t="s">
        <v>380</v>
      </c>
      <c r="Y47" s="239">
        <v>1</v>
      </c>
      <c r="Z47" s="239">
        <v>1</v>
      </c>
      <c r="AA47" s="238" t="s">
        <v>54</v>
      </c>
      <c r="AB47" s="238" t="s">
        <v>306</v>
      </c>
      <c r="AC47" s="237"/>
      <c r="AD47" s="231" t="s">
        <v>57</v>
      </c>
      <c r="AE47" s="230"/>
      <c r="AF47" s="183" t="str">
        <f t="shared" si="178"/>
        <v/>
      </c>
      <c r="AG47" s="203" t="str">
        <f t="shared" si="175"/>
        <v>OK</v>
      </c>
      <c r="AH47" s="231" t="s">
        <v>57</v>
      </c>
      <c r="AI47" s="230"/>
      <c r="AJ47" s="183" t="str">
        <f t="shared" si="179"/>
        <v/>
      </c>
      <c r="AK47" s="203" t="str">
        <f t="shared" si="176"/>
        <v>OK</v>
      </c>
      <c r="AL47" s="231" t="s">
        <v>57</v>
      </c>
      <c r="AM47" s="230"/>
      <c r="AN47" s="183" t="str">
        <f t="shared" si="180"/>
        <v/>
      </c>
      <c r="AO47" s="203" t="str">
        <f t="shared" si="177"/>
        <v>OK</v>
      </c>
      <c r="AP47" s="231" t="s">
        <v>57</v>
      </c>
      <c r="AQ47" s="230"/>
      <c r="AR47" s="183" t="str">
        <f t="shared" si="181"/>
        <v/>
      </c>
      <c r="AS47" s="203" t="str">
        <f t="shared" si="8"/>
        <v>OK</v>
      </c>
      <c r="AT47" s="231" t="s">
        <v>57</v>
      </c>
      <c r="AU47" s="230"/>
      <c r="AV47" s="183" t="str">
        <f t="shared" si="182"/>
        <v/>
      </c>
      <c r="AW47" s="203" t="str">
        <f t="shared" si="10"/>
        <v>OK</v>
      </c>
      <c r="AX47" s="231" t="s">
        <v>57</v>
      </c>
      <c r="AY47" s="230"/>
      <c r="AZ47" s="183" t="str">
        <f t="shared" si="183"/>
        <v/>
      </c>
      <c r="BA47" s="203" t="str">
        <f t="shared" si="12"/>
        <v>OK</v>
      </c>
      <c r="BB47" s="231" t="s">
        <v>57</v>
      </c>
      <c r="BC47" s="230"/>
      <c r="BD47" s="183" t="str">
        <f t="shared" si="184"/>
        <v/>
      </c>
      <c r="BE47" s="203" t="str">
        <f t="shared" si="14"/>
        <v>OK</v>
      </c>
      <c r="BF47" s="231" t="s">
        <v>57</v>
      </c>
      <c r="BG47" s="230"/>
      <c r="BH47" s="183" t="str">
        <f t="shared" si="185"/>
        <v/>
      </c>
      <c r="BI47" s="203" t="str">
        <f t="shared" si="16"/>
        <v>OK</v>
      </c>
      <c r="BJ47" s="231" t="s">
        <v>57</v>
      </c>
      <c r="BK47" s="230"/>
      <c r="BL47" s="183" t="str">
        <f t="shared" si="186"/>
        <v/>
      </c>
      <c r="BM47" s="203" t="str">
        <f t="shared" si="18"/>
        <v>OK</v>
      </c>
      <c r="BN47" s="231" t="s">
        <v>57</v>
      </c>
      <c r="BO47" s="230"/>
      <c r="BP47" s="183" t="str">
        <f t="shared" si="187"/>
        <v/>
      </c>
      <c r="BQ47" s="203" t="str">
        <f t="shared" si="20"/>
        <v>OK</v>
      </c>
      <c r="BR47" s="231" t="s">
        <v>57</v>
      </c>
      <c r="BS47" s="230"/>
      <c r="BT47" s="183" t="str">
        <f t="shared" si="188"/>
        <v/>
      </c>
      <c r="BU47" s="203" t="str">
        <f t="shared" si="22"/>
        <v>OK</v>
      </c>
      <c r="BV47" s="231" t="s">
        <v>57</v>
      </c>
      <c r="BW47" s="230"/>
      <c r="BX47" s="183" t="str">
        <f t="shared" si="189"/>
        <v/>
      </c>
      <c r="BY47" s="203" t="str">
        <f t="shared" si="24"/>
        <v>OK</v>
      </c>
      <c r="BZ47" s="231" t="s">
        <v>57</v>
      </c>
      <c r="CA47" s="230"/>
      <c r="CB47" s="183" t="str">
        <f t="shared" si="190"/>
        <v/>
      </c>
      <c r="CC47" s="203" t="str">
        <f t="shared" si="26"/>
        <v>OK</v>
      </c>
      <c r="CD47" s="231" t="s">
        <v>57</v>
      </c>
      <c r="CE47" s="230"/>
      <c r="CF47" s="183" t="str">
        <f t="shared" si="191"/>
        <v/>
      </c>
      <c r="CG47" s="203" t="str">
        <f t="shared" si="28"/>
        <v>OK</v>
      </c>
      <c r="CH47" s="231" t="s">
        <v>57</v>
      </c>
      <c r="CI47" s="230"/>
      <c r="CJ47" s="183" t="str">
        <f t="shared" si="192"/>
        <v/>
      </c>
      <c r="CK47" s="203" t="str">
        <f t="shared" si="30"/>
        <v>OK</v>
      </c>
      <c r="CL47" s="231" t="s">
        <v>57</v>
      </c>
      <c r="CM47" s="230"/>
      <c r="CN47" s="183" t="str">
        <f t="shared" si="193"/>
        <v/>
      </c>
      <c r="CO47" s="203" t="str">
        <f t="shared" si="32"/>
        <v>OK</v>
      </c>
      <c r="CP47" s="231" t="s">
        <v>57</v>
      </c>
      <c r="CQ47" s="230"/>
      <c r="CR47" s="183" t="str">
        <f t="shared" si="194"/>
        <v/>
      </c>
      <c r="CS47" s="203" t="str">
        <f t="shared" si="34"/>
        <v>OK</v>
      </c>
      <c r="CT47" s="231" t="s">
        <v>57</v>
      </c>
      <c r="CU47" s="230"/>
      <c r="CV47" s="183" t="str">
        <f t="shared" si="195"/>
        <v/>
      </c>
      <c r="CW47" s="203" t="str">
        <f t="shared" si="36"/>
        <v>OK</v>
      </c>
      <c r="CX47" s="231" t="s">
        <v>57</v>
      </c>
      <c r="CY47" s="230"/>
      <c r="CZ47" s="183" t="str">
        <f t="shared" si="196"/>
        <v/>
      </c>
      <c r="DA47" s="203" t="str">
        <f t="shared" si="38"/>
        <v>OK</v>
      </c>
      <c r="DB47" s="231" t="s">
        <v>57</v>
      </c>
      <c r="DC47" s="230"/>
      <c r="DD47" s="183" t="str">
        <f t="shared" si="197"/>
        <v/>
      </c>
      <c r="DE47" s="203" t="str">
        <f t="shared" si="40"/>
        <v>OK</v>
      </c>
      <c r="DF47" s="231" t="s">
        <v>57</v>
      </c>
      <c r="DG47" s="230"/>
      <c r="DH47" s="183" t="str">
        <f t="shared" si="198"/>
        <v/>
      </c>
      <c r="DI47" s="203" t="str">
        <f t="shared" si="42"/>
        <v>OK</v>
      </c>
      <c r="DJ47" s="231" t="s">
        <v>57</v>
      </c>
      <c r="DK47" s="230"/>
      <c r="DL47" s="183" t="str">
        <f t="shared" si="199"/>
        <v/>
      </c>
      <c r="DM47" s="203" t="str">
        <f t="shared" si="44"/>
        <v>OK</v>
      </c>
      <c r="DN47" s="231" t="s">
        <v>57</v>
      </c>
      <c r="DO47" s="230"/>
      <c r="DP47" s="183" t="str">
        <f t="shared" si="200"/>
        <v/>
      </c>
      <c r="DQ47" s="203" t="str">
        <f t="shared" si="46"/>
        <v>OK</v>
      </c>
      <c r="DR47" s="231" t="s">
        <v>57</v>
      </c>
      <c r="DS47" s="230"/>
      <c r="DT47" s="183" t="str">
        <f t="shared" si="201"/>
        <v/>
      </c>
      <c r="DU47" s="203" t="str">
        <f t="shared" si="48"/>
        <v>OK</v>
      </c>
      <c r="DV47" s="231" t="s">
        <v>57</v>
      </c>
      <c r="DW47" s="230"/>
      <c r="DX47" s="183" t="str">
        <f t="shared" si="202"/>
        <v/>
      </c>
      <c r="DY47" s="203" t="str">
        <f t="shared" si="50"/>
        <v>OK</v>
      </c>
      <c r="DZ47" s="231" t="s">
        <v>57</v>
      </c>
      <c r="EA47" s="230"/>
      <c r="EB47" s="183" t="str">
        <f t="shared" si="203"/>
        <v/>
      </c>
      <c r="EC47" s="203" t="str">
        <f t="shared" si="52"/>
        <v>OK</v>
      </c>
      <c r="ED47" s="231" t="s">
        <v>57</v>
      </c>
      <c r="EE47" s="230"/>
      <c r="EF47" s="183" t="str">
        <f t="shared" si="204"/>
        <v/>
      </c>
      <c r="EG47" s="203" t="str">
        <f t="shared" si="54"/>
        <v>OK</v>
      </c>
      <c r="EH47" s="231" t="s">
        <v>57</v>
      </c>
      <c r="EI47" s="230"/>
      <c r="EJ47" s="183" t="str">
        <f t="shared" si="205"/>
        <v/>
      </c>
      <c r="EK47" s="203" t="str">
        <f t="shared" si="56"/>
        <v>OK</v>
      </c>
      <c r="EL47" s="231" t="s">
        <v>57</v>
      </c>
      <c r="EM47" s="230"/>
      <c r="EN47" s="183" t="str">
        <f t="shared" si="206"/>
        <v/>
      </c>
      <c r="EO47" s="203" t="str">
        <f t="shared" si="58"/>
        <v>OK</v>
      </c>
      <c r="EP47" s="231" t="s">
        <v>57</v>
      </c>
      <c r="EQ47" s="230"/>
      <c r="ER47" s="183" t="str">
        <f t="shared" si="207"/>
        <v/>
      </c>
      <c r="ES47" s="203" t="str">
        <f t="shared" si="60"/>
        <v>OK</v>
      </c>
      <c r="ET47" s="231" t="s">
        <v>57</v>
      </c>
      <c r="EU47" s="230"/>
      <c r="EV47" s="183" t="str">
        <f t="shared" si="208"/>
        <v/>
      </c>
      <c r="EW47" s="203" t="str">
        <f t="shared" si="62"/>
        <v>OK</v>
      </c>
      <c r="EX47" s="231" t="s">
        <v>57</v>
      </c>
      <c r="EY47" s="230"/>
      <c r="EZ47" s="183" t="str">
        <f t="shared" si="209"/>
        <v/>
      </c>
      <c r="FA47" s="203" t="str">
        <f t="shared" si="64"/>
        <v>OK</v>
      </c>
      <c r="FB47" s="231" t="s">
        <v>57</v>
      </c>
      <c r="FC47" s="230"/>
      <c r="FD47" s="183" t="str">
        <f t="shared" si="210"/>
        <v/>
      </c>
      <c r="FE47" s="203" t="str">
        <f t="shared" si="66"/>
        <v>OK</v>
      </c>
      <c r="FF47" s="231" t="s">
        <v>57</v>
      </c>
      <c r="FG47" s="230"/>
      <c r="FH47" s="183" t="str">
        <f t="shared" si="211"/>
        <v/>
      </c>
      <c r="FI47" s="203" t="str">
        <f t="shared" si="68"/>
        <v>OK</v>
      </c>
      <c r="FJ47" s="231" t="s">
        <v>57</v>
      </c>
      <c r="FK47" s="230"/>
      <c r="FL47" s="183" t="str">
        <f t="shared" si="212"/>
        <v/>
      </c>
      <c r="FM47" s="203" t="str">
        <f t="shared" si="70"/>
        <v>OK</v>
      </c>
      <c r="FN47" s="231" t="s">
        <v>57</v>
      </c>
      <c r="FO47" s="230"/>
      <c r="FP47" s="183" t="str">
        <f t="shared" si="213"/>
        <v/>
      </c>
      <c r="FQ47" s="203" t="str">
        <f t="shared" si="72"/>
        <v>OK</v>
      </c>
      <c r="FR47" s="231" t="s">
        <v>57</v>
      </c>
      <c r="FS47" s="230"/>
      <c r="FT47" s="183" t="str">
        <f t="shared" si="214"/>
        <v/>
      </c>
      <c r="FU47" s="203" t="str">
        <f t="shared" si="74"/>
        <v>OK</v>
      </c>
      <c r="FV47" s="231" t="s">
        <v>57</v>
      </c>
      <c r="FW47" s="230"/>
      <c r="FX47" s="183" t="str">
        <f t="shared" si="215"/>
        <v/>
      </c>
      <c r="FY47" s="203" t="str">
        <f t="shared" si="76"/>
        <v>OK</v>
      </c>
      <c r="FZ47" s="231" t="s">
        <v>57</v>
      </c>
      <c r="GA47" s="230"/>
      <c r="GB47" s="183" t="str">
        <f t="shared" si="216"/>
        <v/>
      </c>
      <c r="GC47" s="203" t="str">
        <f t="shared" si="78"/>
        <v>OK</v>
      </c>
      <c r="GD47" s="231" t="s">
        <v>57</v>
      </c>
      <c r="GE47" s="230"/>
      <c r="GF47" s="183" t="str">
        <f t="shared" si="217"/>
        <v/>
      </c>
      <c r="GG47" s="203" t="str">
        <f t="shared" si="80"/>
        <v>OK</v>
      </c>
      <c r="GH47" s="231" t="s">
        <v>57</v>
      </c>
      <c r="GI47" s="230"/>
      <c r="GJ47" s="183" t="str">
        <f t="shared" si="218"/>
        <v/>
      </c>
      <c r="GK47" s="203" t="str">
        <f t="shared" si="82"/>
        <v>OK</v>
      </c>
      <c r="GL47" s="231" t="s">
        <v>57</v>
      </c>
      <c r="GM47" s="230"/>
      <c r="GN47" s="183" t="str">
        <f t="shared" si="219"/>
        <v/>
      </c>
      <c r="GO47" s="203" t="str">
        <f t="shared" si="84"/>
        <v>OK</v>
      </c>
      <c r="GP47" s="231" t="s">
        <v>57</v>
      </c>
      <c r="GQ47" s="230"/>
      <c r="GR47" s="183" t="str">
        <f t="shared" si="220"/>
        <v/>
      </c>
      <c r="GS47" s="203" t="str">
        <f t="shared" si="86"/>
        <v>OK</v>
      </c>
      <c r="GT47" s="202"/>
      <c r="GU47" s="202"/>
      <c r="GV47" s="201"/>
      <c r="GW47" s="201"/>
      <c r="GX47" s="201"/>
    </row>
    <row r="48" spans="1:206">
      <c r="A48" s="200" t="s">
        <v>59</v>
      </c>
      <c r="B48" s="225">
        <f t="shared" si="130"/>
        <v>41</v>
      </c>
      <c r="C48" s="229"/>
      <c r="D48" s="229"/>
      <c r="E48" s="228"/>
      <c r="F48" s="234" t="s">
        <v>379</v>
      </c>
      <c r="G48" s="233"/>
      <c r="H48" s="232"/>
      <c r="I48" s="209"/>
      <c r="J48" s="217" t="s">
        <v>61</v>
      </c>
      <c r="K48" s="219"/>
      <c r="L48" s="219"/>
      <c r="M48" s="218"/>
      <c r="N48" s="217"/>
      <c r="O48" s="216"/>
      <c r="P48" s="212"/>
      <c r="Q48" s="212"/>
      <c r="R48" s="215"/>
      <c r="S48" s="214"/>
      <c r="T48" s="212"/>
      <c r="U48" s="213"/>
      <c r="V48" s="212"/>
      <c r="W48" s="211" t="str">
        <f t="shared" si="131"/>
        <v>3</v>
      </c>
      <c r="X48" s="210" t="s">
        <v>378</v>
      </c>
      <c r="Y48" s="210"/>
      <c r="Z48" s="210"/>
      <c r="AA48" s="209"/>
      <c r="AB48" s="209" t="s">
        <v>306</v>
      </c>
      <c r="AC48" s="207"/>
      <c r="AD48" s="226"/>
      <c r="AE48" s="230"/>
      <c r="AF48" s="183" t="str">
        <f t="shared" si="178"/>
        <v/>
      </c>
      <c r="AG48" s="203" t="str">
        <f t="shared" si="175"/>
        <v>OK</v>
      </c>
      <c r="AH48" s="226"/>
      <c r="AI48" s="230"/>
      <c r="AJ48" s="183" t="str">
        <f t="shared" si="179"/>
        <v/>
      </c>
      <c r="AK48" s="203" t="str">
        <f t="shared" si="176"/>
        <v>OK</v>
      </c>
      <c r="AL48" s="226"/>
      <c r="AM48" s="230"/>
      <c r="AN48" s="183" t="str">
        <f t="shared" si="180"/>
        <v/>
      </c>
      <c r="AO48" s="203" t="str">
        <f t="shared" si="177"/>
        <v>OK</v>
      </c>
      <c r="AP48" s="226"/>
      <c r="AQ48" s="230"/>
      <c r="AR48" s="183" t="str">
        <f t="shared" si="181"/>
        <v/>
      </c>
      <c r="AS48" s="203" t="str">
        <f t="shared" si="8"/>
        <v>OK</v>
      </c>
      <c r="AT48" s="226"/>
      <c r="AU48" s="230"/>
      <c r="AV48" s="183" t="str">
        <f t="shared" si="182"/>
        <v/>
      </c>
      <c r="AW48" s="203" t="str">
        <f t="shared" si="10"/>
        <v>OK</v>
      </c>
      <c r="AX48" s="226"/>
      <c r="AY48" s="230"/>
      <c r="AZ48" s="183" t="str">
        <f t="shared" si="183"/>
        <v/>
      </c>
      <c r="BA48" s="203" t="str">
        <f t="shared" si="12"/>
        <v>OK</v>
      </c>
      <c r="BB48" s="226"/>
      <c r="BC48" s="230"/>
      <c r="BD48" s="183" t="str">
        <f t="shared" si="184"/>
        <v/>
      </c>
      <c r="BE48" s="203" t="str">
        <f t="shared" si="14"/>
        <v>OK</v>
      </c>
      <c r="BF48" s="226"/>
      <c r="BG48" s="230"/>
      <c r="BH48" s="183" t="str">
        <f t="shared" si="185"/>
        <v/>
      </c>
      <c r="BI48" s="203" t="str">
        <f t="shared" si="16"/>
        <v>OK</v>
      </c>
      <c r="BJ48" s="226"/>
      <c r="BK48" s="230"/>
      <c r="BL48" s="183" t="str">
        <f t="shared" si="186"/>
        <v/>
      </c>
      <c r="BM48" s="203" t="str">
        <f t="shared" si="18"/>
        <v>OK</v>
      </c>
      <c r="BN48" s="226"/>
      <c r="BO48" s="230"/>
      <c r="BP48" s="183" t="str">
        <f t="shared" si="187"/>
        <v/>
      </c>
      <c r="BQ48" s="203" t="str">
        <f t="shared" si="20"/>
        <v>OK</v>
      </c>
      <c r="BR48" s="226"/>
      <c r="BS48" s="230"/>
      <c r="BT48" s="183" t="str">
        <f t="shared" si="188"/>
        <v/>
      </c>
      <c r="BU48" s="203" t="str">
        <f t="shared" si="22"/>
        <v>OK</v>
      </c>
      <c r="BV48" s="226"/>
      <c r="BW48" s="230"/>
      <c r="BX48" s="183" t="str">
        <f t="shared" si="189"/>
        <v/>
      </c>
      <c r="BY48" s="203" t="str">
        <f t="shared" si="24"/>
        <v>OK</v>
      </c>
      <c r="BZ48" s="226"/>
      <c r="CA48" s="230"/>
      <c r="CB48" s="183" t="str">
        <f t="shared" si="190"/>
        <v/>
      </c>
      <c r="CC48" s="203" t="str">
        <f t="shared" si="26"/>
        <v>OK</v>
      </c>
      <c r="CD48" s="226"/>
      <c r="CE48" s="230"/>
      <c r="CF48" s="183" t="str">
        <f t="shared" si="191"/>
        <v/>
      </c>
      <c r="CG48" s="203" t="str">
        <f t="shared" si="28"/>
        <v>OK</v>
      </c>
      <c r="CH48" s="226"/>
      <c r="CI48" s="230"/>
      <c r="CJ48" s="183" t="str">
        <f t="shared" si="192"/>
        <v/>
      </c>
      <c r="CK48" s="203" t="str">
        <f t="shared" si="30"/>
        <v>OK</v>
      </c>
      <c r="CL48" s="226"/>
      <c r="CM48" s="230"/>
      <c r="CN48" s="183" t="str">
        <f t="shared" si="193"/>
        <v/>
      </c>
      <c r="CO48" s="203" t="str">
        <f t="shared" si="32"/>
        <v>OK</v>
      </c>
      <c r="CP48" s="226"/>
      <c r="CQ48" s="230"/>
      <c r="CR48" s="183" t="str">
        <f t="shared" si="194"/>
        <v/>
      </c>
      <c r="CS48" s="203" t="str">
        <f t="shared" si="34"/>
        <v>OK</v>
      </c>
      <c r="CT48" s="226"/>
      <c r="CU48" s="230"/>
      <c r="CV48" s="183" t="str">
        <f t="shared" si="195"/>
        <v/>
      </c>
      <c r="CW48" s="203" t="str">
        <f t="shared" si="36"/>
        <v>OK</v>
      </c>
      <c r="CX48" s="226"/>
      <c r="CY48" s="230"/>
      <c r="CZ48" s="183" t="str">
        <f t="shared" si="196"/>
        <v/>
      </c>
      <c r="DA48" s="203" t="str">
        <f t="shared" si="38"/>
        <v>OK</v>
      </c>
      <c r="DB48" s="226"/>
      <c r="DC48" s="230"/>
      <c r="DD48" s="183" t="str">
        <f t="shared" si="197"/>
        <v/>
      </c>
      <c r="DE48" s="203" t="str">
        <f t="shared" si="40"/>
        <v>OK</v>
      </c>
      <c r="DF48" s="226"/>
      <c r="DG48" s="230"/>
      <c r="DH48" s="183" t="str">
        <f t="shared" si="198"/>
        <v/>
      </c>
      <c r="DI48" s="203" t="str">
        <f t="shared" si="42"/>
        <v>OK</v>
      </c>
      <c r="DJ48" s="226"/>
      <c r="DK48" s="230"/>
      <c r="DL48" s="183" t="str">
        <f t="shared" si="199"/>
        <v/>
      </c>
      <c r="DM48" s="203" t="str">
        <f t="shared" si="44"/>
        <v>OK</v>
      </c>
      <c r="DN48" s="226"/>
      <c r="DO48" s="230"/>
      <c r="DP48" s="183" t="str">
        <f t="shared" si="200"/>
        <v/>
      </c>
      <c r="DQ48" s="203" t="str">
        <f t="shared" si="46"/>
        <v>OK</v>
      </c>
      <c r="DR48" s="226"/>
      <c r="DS48" s="230"/>
      <c r="DT48" s="183" t="str">
        <f t="shared" si="201"/>
        <v/>
      </c>
      <c r="DU48" s="203" t="str">
        <f t="shared" si="48"/>
        <v>OK</v>
      </c>
      <c r="DV48" s="226"/>
      <c r="DW48" s="230"/>
      <c r="DX48" s="183" t="str">
        <f t="shared" si="202"/>
        <v/>
      </c>
      <c r="DY48" s="203" t="str">
        <f t="shared" si="50"/>
        <v>OK</v>
      </c>
      <c r="DZ48" s="226"/>
      <c r="EA48" s="230"/>
      <c r="EB48" s="183" t="str">
        <f t="shared" si="203"/>
        <v/>
      </c>
      <c r="EC48" s="203" t="str">
        <f t="shared" si="52"/>
        <v>OK</v>
      </c>
      <c r="ED48" s="226"/>
      <c r="EE48" s="230"/>
      <c r="EF48" s="183" t="str">
        <f t="shared" si="204"/>
        <v/>
      </c>
      <c r="EG48" s="203" t="str">
        <f t="shared" si="54"/>
        <v>OK</v>
      </c>
      <c r="EH48" s="226"/>
      <c r="EI48" s="230"/>
      <c r="EJ48" s="183" t="str">
        <f t="shared" si="205"/>
        <v/>
      </c>
      <c r="EK48" s="203" t="str">
        <f t="shared" si="56"/>
        <v>OK</v>
      </c>
      <c r="EL48" s="226"/>
      <c r="EM48" s="230"/>
      <c r="EN48" s="183" t="str">
        <f t="shared" si="206"/>
        <v/>
      </c>
      <c r="EO48" s="203" t="str">
        <f t="shared" si="58"/>
        <v>OK</v>
      </c>
      <c r="EP48" s="226"/>
      <c r="EQ48" s="230"/>
      <c r="ER48" s="183" t="str">
        <f t="shared" si="207"/>
        <v/>
      </c>
      <c r="ES48" s="203" t="str">
        <f t="shared" si="60"/>
        <v>OK</v>
      </c>
      <c r="ET48" s="226"/>
      <c r="EU48" s="230"/>
      <c r="EV48" s="183" t="str">
        <f t="shared" si="208"/>
        <v/>
      </c>
      <c r="EW48" s="203" t="str">
        <f t="shared" si="62"/>
        <v>OK</v>
      </c>
      <c r="EX48" s="226"/>
      <c r="EY48" s="230"/>
      <c r="EZ48" s="183" t="str">
        <f t="shared" si="209"/>
        <v/>
      </c>
      <c r="FA48" s="203" t="str">
        <f t="shared" si="64"/>
        <v>OK</v>
      </c>
      <c r="FB48" s="226"/>
      <c r="FC48" s="230"/>
      <c r="FD48" s="183" t="str">
        <f t="shared" si="210"/>
        <v/>
      </c>
      <c r="FE48" s="203" t="str">
        <f t="shared" si="66"/>
        <v>OK</v>
      </c>
      <c r="FF48" s="226"/>
      <c r="FG48" s="230"/>
      <c r="FH48" s="183" t="str">
        <f t="shared" si="211"/>
        <v/>
      </c>
      <c r="FI48" s="203" t="str">
        <f t="shared" si="68"/>
        <v>OK</v>
      </c>
      <c r="FJ48" s="226"/>
      <c r="FK48" s="230"/>
      <c r="FL48" s="183" t="str">
        <f t="shared" si="212"/>
        <v/>
      </c>
      <c r="FM48" s="203" t="str">
        <f t="shared" si="70"/>
        <v>OK</v>
      </c>
      <c r="FN48" s="226"/>
      <c r="FO48" s="230"/>
      <c r="FP48" s="183" t="str">
        <f t="shared" si="213"/>
        <v/>
      </c>
      <c r="FQ48" s="203" t="str">
        <f t="shared" si="72"/>
        <v>OK</v>
      </c>
      <c r="FR48" s="226"/>
      <c r="FS48" s="230"/>
      <c r="FT48" s="183" t="str">
        <f t="shared" si="214"/>
        <v/>
      </c>
      <c r="FU48" s="203" t="str">
        <f t="shared" si="74"/>
        <v>OK</v>
      </c>
      <c r="FV48" s="226"/>
      <c r="FW48" s="230"/>
      <c r="FX48" s="183" t="str">
        <f t="shared" si="215"/>
        <v/>
      </c>
      <c r="FY48" s="203" t="str">
        <f t="shared" si="76"/>
        <v>OK</v>
      </c>
      <c r="FZ48" s="226"/>
      <c r="GA48" s="230"/>
      <c r="GB48" s="183" t="str">
        <f t="shared" si="216"/>
        <v/>
      </c>
      <c r="GC48" s="203" t="str">
        <f t="shared" si="78"/>
        <v>OK</v>
      </c>
      <c r="GD48" s="226"/>
      <c r="GE48" s="230"/>
      <c r="GF48" s="183" t="str">
        <f t="shared" si="217"/>
        <v/>
      </c>
      <c r="GG48" s="203" t="str">
        <f t="shared" si="80"/>
        <v>OK</v>
      </c>
      <c r="GH48" s="226"/>
      <c r="GI48" s="230"/>
      <c r="GJ48" s="183" t="str">
        <f t="shared" si="218"/>
        <v/>
      </c>
      <c r="GK48" s="203" t="str">
        <f t="shared" si="82"/>
        <v>OK</v>
      </c>
      <c r="GL48" s="226"/>
      <c r="GM48" s="230"/>
      <c r="GN48" s="183" t="str">
        <f t="shared" si="219"/>
        <v/>
      </c>
      <c r="GO48" s="203" t="str">
        <f t="shared" si="84"/>
        <v>OK</v>
      </c>
      <c r="GP48" s="226"/>
      <c r="GQ48" s="230"/>
      <c r="GR48" s="183" t="str">
        <f t="shared" si="220"/>
        <v/>
      </c>
      <c r="GS48" s="203" t="str">
        <f t="shared" si="86"/>
        <v>OK</v>
      </c>
      <c r="GT48" s="202"/>
      <c r="GU48" s="202"/>
      <c r="GV48" s="201"/>
      <c r="GW48" s="201"/>
      <c r="GX48" s="201"/>
    </row>
    <row r="49" spans="1:206" ht="51">
      <c r="A49" s="200" t="s">
        <v>59</v>
      </c>
      <c r="B49" s="225">
        <f t="shared" si="130"/>
        <v>42</v>
      </c>
      <c r="C49" s="229"/>
      <c r="D49" s="229"/>
      <c r="E49" s="228"/>
      <c r="F49" s="228"/>
      <c r="G49" s="222" t="s">
        <v>377</v>
      </c>
      <c r="H49" s="220"/>
      <c r="I49" s="209"/>
      <c r="J49" s="217" t="s">
        <v>326</v>
      </c>
      <c r="K49" s="219"/>
      <c r="L49" s="219"/>
      <c r="M49" s="218" t="s">
        <v>376</v>
      </c>
      <c r="N49" s="217" t="s">
        <v>375</v>
      </c>
      <c r="O49" s="216"/>
      <c r="P49" s="212"/>
      <c r="Q49" s="212"/>
      <c r="R49" s="215"/>
      <c r="S49" s="214"/>
      <c r="T49" s="212"/>
      <c r="U49" s="213"/>
      <c r="V49" s="212"/>
      <c r="W49" s="211" t="str">
        <f t="shared" si="131"/>
        <v>4</v>
      </c>
      <c r="X49" s="210" t="s">
        <v>374</v>
      </c>
      <c r="Y49" s="210">
        <v>1</v>
      </c>
      <c r="Z49" s="210">
        <v>1</v>
      </c>
      <c r="AA49" s="209" t="s">
        <v>54</v>
      </c>
      <c r="AB49" s="209" t="s">
        <v>306</v>
      </c>
      <c r="AC49" s="207"/>
      <c r="AD49" s="231" t="s">
        <v>71</v>
      </c>
      <c r="AE49" s="230"/>
      <c r="AF49" s="183" t="str">
        <f t="shared" si="178"/>
        <v/>
      </c>
      <c r="AG49" s="203" t="str">
        <f t="shared" si="175"/>
        <v>OK</v>
      </c>
      <c r="AH49" s="231" t="s">
        <v>71</v>
      </c>
      <c r="AI49" s="230"/>
      <c r="AJ49" s="183" t="str">
        <f t="shared" si="179"/>
        <v/>
      </c>
      <c r="AK49" s="203" t="str">
        <f t="shared" si="176"/>
        <v>OK</v>
      </c>
      <c r="AL49" s="231" t="s">
        <v>71</v>
      </c>
      <c r="AM49" s="230"/>
      <c r="AN49" s="183" t="str">
        <f t="shared" si="180"/>
        <v/>
      </c>
      <c r="AO49" s="203" t="str">
        <f t="shared" si="177"/>
        <v>OK</v>
      </c>
      <c r="AP49" s="231" t="s">
        <v>71</v>
      </c>
      <c r="AQ49" s="230"/>
      <c r="AR49" s="183" t="str">
        <f t="shared" si="181"/>
        <v/>
      </c>
      <c r="AS49" s="203" t="str">
        <f t="shared" si="8"/>
        <v>OK</v>
      </c>
      <c r="AT49" s="231" t="s">
        <v>71</v>
      </c>
      <c r="AU49" s="230"/>
      <c r="AV49" s="183" t="str">
        <f t="shared" si="182"/>
        <v/>
      </c>
      <c r="AW49" s="203" t="str">
        <f t="shared" si="10"/>
        <v>OK</v>
      </c>
      <c r="AX49" s="231" t="s">
        <v>71</v>
      </c>
      <c r="AY49" s="230"/>
      <c r="AZ49" s="183" t="str">
        <f t="shared" si="183"/>
        <v/>
      </c>
      <c r="BA49" s="203" t="str">
        <f t="shared" si="12"/>
        <v>OK</v>
      </c>
      <c r="BB49" s="231" t="s">
        <v>71</v>
      </c>
      <c r="BC49" s="230"/>
      <c r="BD49" s="183" t="str">
        <f t="shared" si="184"/>
        <v/>
      </c>
      <c r="BE49" s="203" t="str">
        <f t="shared" si="14"/>
        <v>OK</v>
      </c>
      <c r="BF49" s="231" t="s">
        <v>71</v>
      </c>
      <c r="BG49" s="230"/>
      <c r="BH49" s="183" t="str">
        <f t="shared" si="185"/>
        <v/>
      </c>
      <c r="BI49" s="203" t="str">
        <f t="shared" si="16"/>
        <v>OK</v>
      </c>
      <c r="BJ49" s="231" t="s">
        <v>71</v>
      </c>
      <c r="BK49" s="230"/>
      <c r="BL49" s="183" t="str">
        <f t="shared" si="186"/>
        <v/>
      </c>
      <c r="BM49" s="203" t="str">
        <f t="shared" si="18"/>
        <v>OK</v>
      </c>
      <c r="BN49" s="231" t="s">
        <v>71</v>
      </c>
      <c r="BO49" s="230"/>
      <c r="BP49" s="183" t="str">
        <f t="shared" si="187"/>
        <v/>
      </c>
      <c r="BQ49" s="203" t="str">
        <f t="shared" si="20"/>
        <v>OK</v>
      </c>
      <c r="BR49" s="231" t="s">
        <v>71</v>
      </c>
      <c r="BS49" s="230"/>
      <c r="BT49" s="183" t="str">
        <f t="shared" si="188"/>
        <v/>
      </c>
      <c r="BU49" s="203" t="str">
        <f t="shared" si="22"/>
        <v>OK</v>
      </c>
      <c r="BV49" s="231" t="s">
        <v>71</v>
      </c>
      <c r="BW49" s="230"/>
      <c r="BX49" s="183" t="str">
        <f t="shared" si="189"/>
        <v/>
      </c>
      <c r="BY49" s="203" t="str">
        <f t="shared" si="24"/>
        <v>OK</v>
      </c>
      <c r="BZ49" s="231" t="s">
        <v>71</v>
      </c>
      <c r="CA49" s="230"/>
      <c r="CB49" s="183" t="str">
        <f t="shared" si="190"/>
        <v/>
      </c>
      <c r="CC49" s="203" t="str">
        <f t="shared" si="26"/>
        <v>OK</v>
      </c>
      <c r="CD49" s="231" t="s">
        <v>71</v>
      </c>
      <c r="CE49" s="230"/>
      <c r="CF49" s="183" t="str">
        <f t="shared" si="191"/>
        <v/>
      </c>
      <c r="CG49" s="203" t="str">
        <f t="shared" si="28"/>
        <v>OK</v>
      </c>
      <c r="CH49" s="231" t="s">
        <v>71</v>
      </c>
      <c r="CI49" s="230"/>
      <c r="CJ49" s="183" t="str">
        <f t="shared" si="192"/>
        <v/>
      </c>
      <c r="CK49" s="203" t="str">
        <f t="shared" si="30"/>
        <v>OK</v>
      </c>
      <c r="CL49" s="231" t="s">
        <v>71</v>
      </c>
      <c r="CM49" s="230"/>
      <c r="CN49" s="183" t="str">
        <f t="shared" si="193"/>
        <v/>
      </c>
      <c r="CO49" s="203" t="str">
        <f t="shared" si="32"/>
        <v>OK</v>
      </c>
      <c r="CP49" s="231" t="s">
        <v>71</v>
      </c>
      <c r="CQ49" s="230"/>
      <c r="CR49" s="183" t="str">
        <f t="shared" si="194"/>
        <v/>
      </c>
      <c r="CS49" s="203" t="str">
        <f t="shared" si="34"/>
        <v>OK</v>
      </c>
      <c r="CT49" s="231" t="s">
        <v>71</v>
      </c>
      <c r="CU49" s="230"/>
      <c r="CV49" s="183" t="str">
        <f t="shared" si="195"/>
        <v/>
      </c>
      <c r="CW49" s="203" t="str">
        <f t="shared" si="36"/>
        <v>OK</v>
      </c>
      <c r="CX49" s="231" t="s">
        <v>71</v>
      </c>
      <c r="CY49" s="230"/>
      <c r="CZ49" s="183" t="str">
        <f t="shared" si="196"/>
        <v/>
      </c>
      <c r="DA49" s="203" t="str">
        <f t="shared" si="38"/>
        <v>OK</v>
      </c>
      <c r="DB49" s="231" t="s">
        <v>71</v>
      </c>
      <c r="DC49" s="230"/>
      <c r="DD49" s="183" t="str">
        <f t="shared" si="197"/>
        <v/>
      </c>
      <c r="DE49" s="203" t="str">
        <f t="shared" si="40"/>
        <v>OK</v>
      </c>
      <c r="DF49" s="231" t="s">
        <v>71</v>
      </c>
      <c r="DG49" s="230"/>
      <c r="DH49" s="183" t="str">
        <f t="shared" si="198"/>
        <v/>
      </c>
      <c r="DI49" s="203" t="str">
        <f t="shared" si="42"/>
        <v>OK</v>
      </c>
      <c r="DJ49" s="231" t="s">
        <v>71</v>
      </c>
      <c r="DK49" s="230"/>
      <c r="DL49" s="183" t="str">
        <f t="shared" si="199"/>
        <v/>
      </c>
      <c r="DM49" s="203" t="str">
        <f t="shared" si="44"/>
        <v>OK</v>
      </c>
      <c r="DN49" s="231" t="s">
        <v>71</v>
      </c>
      <c r="DO49" s="230"/>
      <c r="DP49" s="183" t="str">
        <f t="shared" si="200"/>
        <v/>
      </c>
      <c r="DQ49" s="203" t="str">
        <f t="shared" si="46"/>
        <v>OK</v>
      </c>
      <c r="DR49" s="231" t="s">
        <v>71</v>
      </c>
      <c r="DS49" s="230"/>
      <c r="DT49" s="183" t="str">
        <f t="shared" si="201"/>
        <v/>
      </c>
      <c r="DU49" s="203" t="str">
        <f t="shared" si="48"/>
        <v>OK</v>
      </c>
      <c r="DV49" s="231" t="s">
        <v>71</v>
      </c>
      <c r="DW49" s="230"/>
      <c r="DX49" s="183" t="str">
        <f t="shared" si="202"/>
        <v/>
      </c>
      <c r="DY49" s="203" t="str">
        <f t="shared" si="50"/>
        <v>OK</v>
      </c>
      <c r="DZ49" s="231" t="s">
        <v>71</v>
      </c>
      <c r="EA49" s="230"/>
      <c r="EB49" s="183" t="str">
        <f t="shared" si="203"/>
        <v/>
      </c>
      <c r="EC49" s="203" t="str">
        <f t="shared" si="52"/>
        <v>OK</v>
      </c>
      <c r="ED49" s="231" t="s">
        <v>71</v>
      </c>
      <c r="EE49" s="230"/>
      <c r="EF49" s="183" t="str">
        <f t="shared" si="204"/>
        <v/>
      </c>
      <c r="EG49" s="203" t="str">
        <f t="shared" si="54"/>
        <v>OK</v>
      </c>
      <c r="EH49" s="231" t="s">
        <v>71</v>
      </c>
      <c r="EI49" s="230"/>
      <c r="EJ49" s="183" t="str">
        <f t="shared" si="205"/>
        <v/>
      </c>
      <c r="EK49" s="203" t="str">
        <f t="shared" si="56"/>
        <v>OK</v>
      </c>
      <c r="EL49" s="231" t="s">
        <v>71</v>
      </c>
      <c r="EM49" s="230"/>
      <c r="EN49" s="183" t="str">
        <f t="shared" si="206"/>
        <v/>
      </c>
      <c r="EO49" s="203" t="str">
        <f t="shared" si="58"/>
        <v>OK</v>
      </c>
      <c r="EP49" s="231" t="s">
        <v>71</v>
      </c>
      <c r="EQ49" s="230"/>
      <c r="ER49" s="183" t="str">
        <f t="shared" si="207"/>
        <v/>
      </c>
      <c r="ES49" s="203" t="str">
        <f t="shared" si="60"/>
        <v>OK</v>
      </c>
      <c r="ET49" s="231" t="s">
        <v>71</v>
      </c>
      <c r="EU49" s="230"/>
      <c r="EV49" s="183" t="str">
        <f t="shared" si="208"/>
        <v/>
      </c>
      <c r="EW49" s="203" t="str">
        <f t="shared" si="62"/>
        <v>OK</v>
      </c>
      <c r="EX49" s="231" t="s">
        <v>71</v>
      </c>
      <c r="EY49" s="230"/>
      <c r="EZ49" s="183" t="str">
        <f t="shared" si="209"/>
        <v/>
      </c>
      <c r="FA49" s="203" t="str">
        <f t="shared" si="64"/>
        <v>OK</v>
      </c>
      <c r="FB49" s="231" t="s">
        <v>71</v>
      </c>
      <c r="FC49" s="230"/>
      <c r="FD49" s="183" t="str">
        <f t="shared" si="210"/>
        <v/>
      </c>
      <c r="FE49" s="203" t="str">
        <f t="shared" si="66"/>
        <v>OK</v>
      </c>
      <c r="FF49" s="231" t="s">
        <v>71</v>
      </c>
      <c r="FG49" s="230"/>
      <c r="FH49" s="183" t="str">
        <f t="shared" si="211"/>
        <v/>
      </c>
      <c r="FI49" s="203" t="str">
        <f t="shared" si="68"/>
        <v>OK</v>
      </c>
      <c r="FJ49" s="231" t="s">
        <v>71</v>
      </c>
      <c r="FK49" s="230"/>
      <c r="FL49" s="183" t="str">
        <f t="shared" si="212"/>
        <v/>
      </c>
      <c r="FM49" s="203" t="str">
        <f t="shared" si="70"/>
        <v>OK</v>
      </c>
      <c r="FN49" s="231" t="s">
        <v>71</v>
      </c>
      <c r="FO49" s="230"/>
      <c r="FP49" s="183" t="str">
        <f t="shared" si="213"/>
        <v/>
      </c>
      <c r="FQ49" s="203" t="str">
        <f t="shared" si="72"/>
        <v>OK</v>
      </c>
      <c r="FR49" s="231" t="s">
        <v>71</v>
      </c>
      <c r="FS49" s="230"/>
      <c r="FT49" s="183" t="str">
        <f t="shared" si="214"/>
        <v/>
      </c>
      <c r="FU49" s="203" t="str">
        <f t="shared" si="74"/>
        <v>OK</v>
      </c>
      <c r="FV49" s="231" t="s">
        <v>71</v>
      </c>
      <c r="FW49" s="230"/>
      <c r="FX49" s="183" t="str">
        <f t="shared" si="215"/>
        <v/>
      </c>
      <c r="FY49" s="203" t="str">
        <f t="shared" si="76"/>
        <v>OK</v>
      </c>
      <c r="FZ49" s="231" t="s">
        <v>71</v>
      </c>
      <c r="GA49" s="230"/>
      <c r="GB49" s="183" t="str">
        <f t="shared" si="216"/>
        <v/>
      </c>
      <c r="GC49" s="203" t="str">
        <f t="shared" si="78"/>
        <v>OK</v>
      </c>
      <c r="GD49" s="231" t="s">
        <v>71</v>
      </c>
      <c r="GE49" s="230"/>
      <c r="GF49" s="183" t="str">
        <f t="shared" si="217"/>
        <v/>
      </c>
      <c r="GG49" s="203" t="str">
        <f t="shared" si="80"/>
        <v>OK</v>
      </c>
      <c r="GH49" s="231" t="s">
        <v>71</v>
      </c>
      <c r="GI49" s="230"/>
      <c r="GJ49" s="183" t="str">
        <f t="shared" si="218"/>
        <v/>
      </c>
      <c r="GK49" s="203" t="str">
        <f t="shared" si="82"/>
        <v>OK</v>
      </c>
      <c r="GL49" s="231" t="s">
        <v>71</v>
      </c>
      <c r="GM49" s="230"/>
      <c r="GN49" s="183" t="str">
        <f t="shared" si="219"/>
        <v/>
      </c>
      <c r="GO49" s="203" t="str">
        <f t="shared" si="84"/>
        <v>OK</v>
      </c>
      <c r="GP49" s="231" t="s">
        <v>71</v>
      </c>
      <c r="GQ49" s="230"/>
      <c r="GR49" s="183" t="str">
        <f t="shared" si="220"/>
        <v/>
      </c>
      <c r="GS49" s="203" t="str">
        <f t="shared" si="86"/>
        <v>OK</v>
      </c>
      <c r="GT49" s="202"/>
      <c r="GU49" s="202"/>
      <c r="GV49" s="201"/>
      <c r="GW49" s="201"/>
      <c r="GX49" s="201"/>
    </row>
    <row r="50" spans="1:206" ht="63.75">
      <c r="A50" s="200" t="s">
        <v>59</v>
      </c>
      <c r="B50" s="225">
        <f t="shared" si="130"/>
        <v>43</v>
      </c>
      <c r="C50" s="229"/>
      <c r="D50" s="229"/>
      <c r="E50" s="228"/>
      <c r="F50" s="228"/>
      <c r="G50" s="222" t="s">
        <v>373</v>
      </c>
      <c r="H50" s="220"/>
      <c r="I50" s="209"/>
      <c r="J50" s="217" t="s">
        <v>326</v>
      </c>
      <c r="K50" s="219"/>
      <c r="L50" s="219"/>
      <c r="M50" s="218" t="s">
        <v>372</v>
      </c>
      <c r="N50" s="217" t="s">
        <v>371</v>
      </c>
      <c r="O50" s="216"/>
      <c r="P50" s="212"/>
      <c r="Q50" s="212"/>
      <c r="R50" s="215"/>
      <c r="S50" s="214"/>
      <c r="T50" s="212"/>
      <c r="U50" s="213"/>
      <c r="V50" s="212"/>
      <c r="W50" s="211" t="str">
        <f t="shared" si="131"/>
        <v>4</v>
      </c>
      <c r="X50" s="210" t="s">
        <v>370</v>
      </c>
      <c r="Y50" s="210">
        <v>1</v>
      </c>
      <c r="Z50" s="210">
        <v>1</v>
      </c>
      <c r="AA50" s="209" t="s">
        <v>54</v>
      </c>
      <c r="AB50" s="209" t="s">
        <v>306</v>
      </c>
      <c r="AC50" s="207"/>
      <c r="AD50" s="231" t="s">
        <v>57</v>
      </c>
      <c r="AE50" s="230"/>
      <c r="AF50" s="183" t="str">
        <f t="shared" si="178"/>
        <v/>
      </c>
      <c r="AG50" s="203" t="str">
        <f t="shared" si="175"/>
        <v>OK</v>
      </c>
      <c r="AH50" s="231" t="s">
        <v>57</v>
      </c>
      <c r="AI50" s="230"/>
      <c r="AJ50" s="183" t="str">
        <f t="shared" si="179"/>
        <v/>
      </c>
      <c r="AK50" s="203" t="str">
        <f t="shared" si="176"/>
        <v>OK</v>
      </c>
      <c r="AL50" s="231" t="s">
        <v>57</v>
      </c>
      <c r="AM50" s="230"/>
      <c r="AN50" s="183" t="str">
        <f t="shared" si="180"/>
        <v/>
      </c>
      <c r="AO50" s="203" t="str">
        <f t="shared" si="177"/>
        <v>OK</v>
      </c>
      <c r="AP50" s="231" t="s">
        <v>57</v>
      </c>
      <c r="AQ50" s="230"/>
      <c r="AR50" s="183" t="str">
        <f t="shared" si="181"/>
        <v/>
      </c>
      <c r="AS50" s="203" t="str">
        <f t="shared" si="8"/>
        <v>OK</v>
      </c>
      <c r="AT50" s="231" t="s">
        <v>57</v>
      </c>
      <c r="AU50" s="230"/>
      <c r="AV50" s="183" t="str">
        <f t="shared" si="182"/>
        <v/>
      </c>
      <c r="AW50" s="203" t="str">
        <f t="shared" si="10"/>
        <v>OK</v>
      </c>
      <c r="AX50" s="231" t="s">
        <v>57</v>
      </c>
      <c r="AY50" s="230"/>
      <c r="AZ50" s="183" t="str">
        <f t="shared" si="183"/>
        <v/>
      </c>
      <c r="BA50" s="203" t="str">
        <f t="shared" si="12"/>
        <v>OK</v>
      </c>
      <c r="BB50" s="231" t="s">
        <v>57</v>
      </c>
      <c r="BC50" s="230"/>
      <c r="BD50" s="183" t="str">
        <f t="shared" si="184"/>
        <v/>
      </c>
      <c r="BE50" s="203" t="str">
        <f t="shared" si="14"/>
        <v>OK</v>
      </c>
      <c r="BF50" s="231" t="s">
        <v>57</v>
      </c>
      <c r="BG50" s="230"/>
      <c r="BH50" s="183" t="str">
        <f t="shared" si="185"/>
        <v/>
      </c>
      <c r="BI50" s="203" t="str">
        <f t="shared" si="16"/>
        <v>OK</v>
      </c>
      <c r="BJ50" s="231" t="s">
        <v>57</v>
      </c>
      <c r="BK50" s="230"/>
      <c r="BL50" s="183" t="str">
        <f t="shared" si="186"/>
        <v/>
      </c>
      <c r="BM50" s="203" t="str">
        <f t="shared" si="18"/>
        <v>OK</v>
      </c>
      <c r="BN50" s="231" t="s">
        <v>57</v>
      </c>
      <c r="BO50" s="230"/>
      <c r="BP50" s="183" t="str">
        <f t="shared" si="187"/>
        <v/>
      </c>
      <c r="BQ50" s="203" t="str">
        <f t="shared" si="20"/>
        <v>OK</v>
      </c>
      <c r="BR50" s="231" t="s">
        <v>57</v>
      </c>
      <c r="BS50" s="230"/>
      <c r="BT50" s="183" t="str">
        <f t="shared" si="188"/>
        <v/>
      </c>
      <c r="BU50" s="203" t="str">
        <f t="shared" si="22"/>
        <v>OK</v>
      </c>
      <c r="BV50" s="231" t="s">
        <v>57</v>
      </c>
      <c r="BW50" s="230"/>
      <c r="BX50" s="183" t="str">
        <f t="shared" si="189"/>
        <v/>
      </c>
      <c r="BY50" s="203" t="str">
        <f t="shared" si="24"/>
        <v>OK</v>
      </c>
      <c r="BZ50" s="231" t="s">
        <v>57</v>
      </c>
      <c r="CA50" s="230"/>
      <c r="CB50" s="183" t="str">
        <f t="shared" si="190"/>
        <v/>
      </c>
      <c r="CC50" s="203" t="str">
        <f t="shared" si="26"/>
        <v>OK</v>
      </c>
      <c r="CD50" s="231" t="s">
        <v>57</v>
      </c>
      <c r="CE50" s="230"/>
      <c r="CF50" s="183" t="str">
        <f t="shared" si="191"/>
        <v/>
      </c>
      <c r="CG50" s="203" t="str">
        <f t="shared" si="28"/>
        <v>OK</v>
      </c>
      <c r="CH50" s="231" t="s">
        <v>57</v>
      </c>
      <c r="CI50" s="230"/>
      <c r="CJ50" s="183" t="str">
        <f t="shared" si="192"/>
        <v/>
      </c>
      <c r="CK50" s="203" t="str">
        <f t="shared" si="30"/>
        <v>OK</v>
      </c>
      <c r="CL50" s="231" t="s">
        <v>57</v>
      </c>
      <c r="CM50" s="230"/>
      <c r="CN50" s="183" t="str">
        <f t="shared" si="193"/>
        <v/>
      </c>
      <c r="CO50" s="203" t="str">
        <f t="shared" si="32"/>
        <v>OK</v>
      </c>
      <c r="CP50" s="231" t="s">
        <v>57</v>
      </c>
      <c r="CQ50" s="230"/>
      <c r="CR50" s="183" t="str">
        <f t="shared" si="194"/>
        <v/>
      </c>
      <c r="CS50" s="203" t="str">
        <f t="shared" si="34"/>
        <v>OK</v>
      </c>
      <c r="CT50" s="231" t="s">
        <v>57</v>
      </c>
      <c r="CU50" s="230"/>
      <c r="CV50" s="183" t="str">
        <f t="shared" si="195"/>
        <v/>
      </c>
      <c r="CW50" s="203" t="str">
        <f t="shared" si="36"/>
        <v>OK</v>
      </c>
      <c r="CX50" s="231" t="s">
        <v>57</v>
      </c>
      <c r="CY50" s="230"/>
      <c r="CZ50" s="183" t="str">
        <f t="shared" si="196"/>
        <v/>
      </c>
      <c r="DA50" s="203" t="str">
        <f t="shared" si="38"/>
        <v>OK</v>
      </c>
      <c r="DB50" s="231" t="s">
        <v>57</v>
      </c>
      <c r="DC50" s="230"/>
      <c r="DD50" s="183" t="str">
        <f t="shared" si="197"/>
        <v/>
      </c>
      <c r="DE50" s="203" t="str">
        <f t="shared" si="40"/>
        <v>OK</v>
      </c>
      <c r="DF50" s="231" t="s">
        <v>57</v>
      </c>
      <c r="DG50" s="230"/>
      <c r="DH50" s="183" t="str">
        <f t="shared" si="198"/>
        <v/>
      </c>
      <c r="DI50" s="203" t="str">
        <f t="shared" si="42"/>
        <v>OK</v>
      </c>
      <c r="DJ50" s="231" t="s">
        <v>57</v>
      </c>
      <c r="DK50" s="230"/>
      <c r="DL50" s="183" t="str">
        <f t="shared" si="199"/>
        <v/>
      </c>
      <c r="DM50" s="203" t="str">
        <f t="shared" si="44"/>
        <v>OK</v>
      </c>
      <c r="DN50" s="231" t="s">
        <v>57</v>
      </c>
      <c r="DO50" s="230"/>
      <c r="DP50" s="183" t="str">
        <f t="shared" si="200"/>
        <v/>
      </c>
      <c r="DQ50" s="203" t="str">
        <f t="shared" si="46"/>
        <v>OK</v>
      </c>
      <c r="DR50" s="231" t="s">
        <v>57</v>
      </c>
      <c r="DS50" s="230"/>
      <c r="DT50" s="183" t="str">
        <f t="shared" si="201"/>
        <v/>
      </c>
      <c r="DU50" s="203" t="str">
        <f t="shared" si="48"/>
        <v>OK</v>
      </c>
      <c r="DV50" s="231" t="s">
        <v>57</v>
      </c>
      <c r="DW50" s="230"/>
      <c r="DX50" s="183" t="str">
        <f t="shared" si="202"/>
        <v/>
      </c>
      <c r="DY50" s="203" t="str">
        <f t="shared" si="50"/>
        <v>OK</v>
      </c>
      <c r="DZ50" s="231" t="s">
        <v>57</v>
      </c>
      <c r="EA50" s="230"/>
      <c r="EB50" s="183" t="str">
        <f t="shared" si="203"/>
        <v/>
      </c>
      <c r="EC50" s="203" t="str">
        <f t="shared" si="52"/>
        <v>OK</v>
      </c>
      <c r="ED50" s="231" t="s">
        <v>57</v>
      </c>
      <c r="EE50" s="230"/>
      <c r="EF50" s="183" t="str">
        <f t="shared" si="204"/>
        <v/>
      </c>
      <c r="EG50" s="203" t="str">
        <f t="shared" si="54"/>
        <v>OK</v>
      </c>
      <c r="EH50" s="231" t="s">
        <v>57</v>
      </c>
      <c r="EI50" s="230"/>
      <c r="EJ50" s="183" t="str">
        <f t="shared" si="205"/>
        <v/>
      </c>
      <c r="EK50" s="203" t="str">
        <f t="shared" si="56"/>
        <v>OK</v>
      </c>
      <c r="EL50" s="231" t="s">
        <v>57</v>
      </c>
      <c r="EM50" s="230"/>
      <c r="EN50" s="183" t="str">
        <f t="shared" si="206"/>
        <v/>
      </c>
      <c r="EO50" s="203" t="str">
        <f t="shared" si="58"/>
        <v>OK</v>
      </c>
      <c r="EP50" s="231" t="s">
        <v>57</v>
      </c>
      <c r="EQ50" s="230"/>
      <c r="ER50" s="183" t="str">
        <f t="shared" si="207"/>
        <v/>
      </c>
      <c r="ES50" s="203" t="str">
        <f t="shared" si="60"/>
        <v>OK</v>
      </c>
      <c r="ET50" s="231" t="s">
        <v>57</v>
      </c>
      <c r="EU50" s="230"/>
      <c r="EV50" s="183" t="str">
        <f t="shared" si="208"/>
        <v/>
      </c>
      <c r="EW50" s="203" t="str">
        <f t="shared" si="62"/>
        <v>OK</v>
      </c>
      <c r="EX50" s="231" t="s">
        <v>57</v>
      </c>
      <c r="EY50" s="230"/>
      <c r="EZ50" s="183" t="str">
        <f t="shared" si="209"/>
        <v/>
      </c>
      <c r="FA50" s="203" t="str">
        <f t="shared" si="64"/>
        <v>OK</v>
      </c>
      <c r="FB50" s="231" t="s">
        <v>57</v>
      </c>
      <c r="FC50" s="230"/>
      <c r="FD50" s="183" t="str">
        <f t="shared" si="210"/>
        <v/>
      </c>
      <c r="FE50" s="203" t="str">
        <f t="shared" si="66"/>
        <v>OK</v>
      </c>
      <c r="FF50" s="231" t="s">
        <v>57</v>
      </c>
      <c r="FG50" s="230"/>
      <c r="FH50" s="183" t="str">
        <f t="shared" si="211"/>
        <v/>
      </c>
      <c r="FI50" s="203" t="str">
        <f t="shared" si="68"/>
        <v>OK</v>
      </c>
      <c r="FJ50" s="231" t="s">
        <v>57</v>
      </c>
      <c r="FK50" s="230"/>
      <c r="FL50" s="183" t="str">
        <f t="shared" si="212"/>
        <v/>
      </c>
      <c r="FM50" s="203" t="str">
        <f t="shared" si="70"/>
        <v>OK</v>
      </c>
      <c r="FN50" s="231" t="s">
        <v>57</v>
      </c>
      <c r="FO50" s="230"/>
      <c r="FP50" s="183" t="str">
        <f t="shared" si="213"/>
        <v/>
      </c>
      <c r="FQ50" s="203" t="str">
        <f t="shared" si="72"/>
        <v>OK</v>
      </c>
      <c r="FR50" s="231" t="s">
        <v>57</v>
      </c>
      <c r="FS50" s="230"/>
      <c r="FT50" s="183" t="str">
        <f t="shared" si="214"/>
        <v/>
      </c>
      <c r="FU50" s="203" t="str">
        <f t="shared" si="74"/>
        <v>OK</v>
      </c>
      <c r="FV50" s="231" t="s">
        <v>57</v>
      </c>
      <c r="FW50" s="230"/>
      <c r="FX50" s="183" t="str">
        <f t="shared" si="215"/>
        <v/>
      </c>
      <c r="FY50" s="203" t="str">
        <f t="shared" si="76"/>
        <v>OK</v>
      </c>
      <c r="FZ50" s="231" t="s">
        <v>57</v>
      </c>
      <c r="GA50" s="230"/>
      <c r="GB50" s="183" t="str">
        <f t="shared" si="216"/>
        <v/>
      </c>
      <c r="GC50" s="203" t="str">
        <f t="shared" si="78"/>
        <v>OK</v>
      </c>
      <c r="GD50" s="231" t="s">
        <v>57</v>
      </c>
      <c r="GE50" s="230"/>
      <c r="GF50" s="183" t="str">
        <f t="shared" si="217"/>
        <v/>
      </c>
      <c r="GG50" s="203" t="str">
        <f t="shared" si="80"/>
        <v>OK</v>
      </c>
      <c r="GH50" s="231" t="s">
        <v>57</v>
      </c>
      <c r="GI50" s="230"/>
      <c r="GJ50" s="183" t="str">
        <f t="shared" si="218"/>
        <v/>
      </c>
      <c r="GK50" s="203" t="str">
        <f t="shared" si="82"/>
        <v>OK</v>
      </c>
      <c r="GL50" s="231" t="s">
        <v>57</v>
      </c>
      <c r="GM50" s="230"/>
      <c r="GN50" s="183" t="str">
        <f t="shared" si="219"/>
        <v/>
      </c>
      <c r="GO50" s="203" t="str">
        <f t="shared" si="84"/>
        <v>OK</v>
      </c>
      <c r="GP50" s="231" t="s">
        <v>57</v>
      </c>
      <c r="GQ50" s="230"/>
      <c r="GR50" s="183" t="str">
        <f t="shared" si="220"/>
        <v/>
      </c>
      <c r="GS50" s="203" t="str">
        <f t="shared" si="86"/>
        <v>OK</v>
      </c>
      <c r="GT50" s="202"/>
      <c r="GU50" s="202"/>
      <c r="GV50" s="201"/>
      <c r="GW50" s="201"/>
      <c r="GX50" s="201"/>
    </row>
    <row r="51" spans="1:206">
      <c r="A51" s="200" t="s">
        <v>59</v>
      </c>
      <c r="B51" s="225">
        <f t="shared" si="130"/>
        <v>44</v>
      </c>
      <c r="C51" s="229"/>
      <c r="D51" s="229"/>
      <c r="E51" s="228"/>
      <c r="F51" s="228"/>
      <c r="G51" s="222" t="s">
        <v>369</v>
      </c>
      <c r="H51" s="220"/>
      <c r="I51" s="209"/>
      <c r="J51" s="217" t="s">
        <v>326</v>
      </c>
      <c r="K51" s="219"/>
      <c r="L51" s="219"/>
      <c r="M51" s="218" t="s">
        <v>368</v>
      </c>
      <c r="N51" s="217"/>
      <c r="O51" s="216"/>
      <c r="P51" s="212"/>
      <c r="Q51" s="212"/>
      <c r="R51" s="215"/>
      <c r="S51" s="214"/>
      <c r="T51" s="212"/>
      <c r="U51" s="213"/>
      <c r="V51" s="212"/>
      <c r="W51" s="211" t="str">
        <f t="shared" si="131"/>
        <v>4</v>
      </c>
      <c r="X51" s="210" t="s">
        <v>367</v>
      </c>
      <c r="Y51" s="210">
        <v>1</v>
      </c>
      <c r="Z51" s="210">
        <v>30</v>
      </c>
      <c r="AA51" s="209" t="s">
        <v>54</v>
      </c>
      <c r="AB51" s="209" t="s">
        <v>306</v>
      </c>
      <c r="AC51" s="207"/>
      <c r="AD51" s="226"/>
      <c r="AE51" s="230"/>
      <c r="AF51" s="183" t="str">
        <f t="shared" si="178"/>
        <v/>
      </c>
      <c r="AG51" s="203" t="str">
        <f t="shared" si="175"/>
        <v>OK</v>
      </c>
      <c r="AH51" s="226"/>
      <c r="AI51" s="230"/>
      <c r="AJ51" s="183" t="str">
        <f t="shared" si="179"/>
        <v/>
      </c>
      <c r="AK51" s="203" t="str">
        <f t="shared" si="176"/>
        <v>OK</v>
      </c>
      <c r="AL51" s="226"/>
      <c r="AM51" s="230"/>
      <c r="AN51" s="183" t="str">
        <f t="shared" si="180"/>
        <v/>
      </c>
      <c r="AO51" s="203" t="str">
        <f t="shared" si="177"/>
        <v>OK</v>
      </c>
      <c r="AP51" s="226"/>
      <c r="AQ51" s="230"/>
      <c r="AR51" s="183" t="str">
        <f t="shared" si="181"/>
        <v/>
      </c>
      <c r="AS51" s="203" t="str">
        <f t="shared" si="8"/>
        <v>OK</v>
      </c>
      <c r="AT51" s="226"/>
      <c r="AU51" s="230"/>
      <c r="AV51" s="183" t="str">
        <f t="shared" si="182"/>
        <v/>
      </c>
      <c r="AW51" s="203" t="str">
        <f t="shared" si="10"/>
        <v>OK</v>
      </c>
      <c r="AX51" s="226"/>
      <c r="AY51" s="230"/>
      <c r="AZ51" s="183" t="str">
        <f t="shared" si="183"/>
        <v/>
      </c>
      <c r="BA51" s="203" t="str">
        <f t="shared" si="12"/>
        <v>OK</v>
      </c>
      <c r="BB51" s="226"/>
      <c r="BC51" s="230"/>
      <c r="BD51" s="183" t="str">
        <f t="shared" si="184"/>
        <v/>
      </c>
      <c r="BE51" s="203" t="str">
        <f t="shared" si="14"/>
        <v>OK</v>
      </c>
      <c r="BF51" s="226"/>
      <c r="BG51" s="230"/>
      <c r="BH51" s="183" t="str">
        <f t="shared" si="185"/>
        <v/>
      </c>
      <c r="BI51" s="203" t="str">
        <f t="shared" si="16"/>
        <v>OK</v>
      </c>
      <c r="BJ51" s="226"/>
      <c r="BK51" s="230"/>
      <c r="BL51" s="183" t="str">
        <f t="shared" si="186"/>
        <v/>
      </c>
      <c r="BM51" s="203" t="str">
        <f t="shared" si="18"/>
        <v>OK</v>
      </c>
      <c r="BN51" s="226"/>
      <c r="BO51" s="230"/>
      <c r="BP51" s="183" t="str">
        <f t="shared" si="187"/>
        <v/>
      </c>
      <c r="BQ51" s="203" t="str">
        <f t="shared" si="20"/>
        <v>OK</v>
      </c>
      <c r="BR51" s="226"/>
      <c r="BS51" s="230"/>
      <c r="BT51" s="183" t="str">
        <f t="shared" si="188"/>
        <v/>
      </c>
      <c r="BU51" s="203" t="str">
        <f t="shared" si="22"/>
        <v>OK</v>
      </c>
      <c r="BV51" s="226"/>
      <c r="BW51" s="230"/>
      <c r="BX51" s="183" t="str">
        <f t="shared" si="189"/>
        <v/>
      </c>
      <c r="BY51" s="203" t="str">
        <f t="shared" si="24"/>
        <v>OK</v>
      </c>
      <c r="BZ51" s="226"/>
      <c r="CA51" s="230"/>
      <c r="CB51" s="183" t="str">
        <f t="shared" si="190"/>
        <v/>
      </c>
      <c r="CC51" s="203" t="str">
        <f t="shared" si="26"/>
        <v>OK</v>
      </c>
      <c r="CD51" s="226"/>
      <c r="CE51" s="230"/>
      <c r="CF51" s="183" t="str">
        <f t="shared" si="191"/>
        <v/>
      </c>
      <c r="CG51" s="203" t="str">
        <f t="shared" si="28"/>
        <v>OK</v>
      </c>
      <c r="CH51" s="226"/>
      <c r="CI51" s="230"/>
      <c r="CJ51" s="183" t="str">
        <f t="shared" si="192"/>
        <v/>
      </c>
      <c r="CK51" s="203" t="str">
        <f t="shared" si="30"/>
        <v>OK</v>
      </c>
      <c r="CL51" s="226"/>
      <c r="CM51" s="230"/>
      <c r="CN51" s="183" t="str">
        <f t="shared" si="193"/>
        <v/>
      </c>
      <c r="CO51" s="203" t="str">
        <f t="shared" si="32"/>
        <v>OK</v>
      </c>
      <c r="CP51" s="226"/>
      <c r="CQ51" s="230"/>
      <c r="CR51" s="183" t="str">
        <f t="shared" si="194"/>
        <v/>
      </c>
      <c r="CS51" s="203" t="str">
        <f t="shared" si="34"/>
        <v>OK</v>
      </c>
      <c r="CT51" s="226"/>
      <c r="CU51" s="230"/>
      <c r="CV51" s="183" t="str">
        <f t="shared" si="195"/>
        <v/>
      </c>
      <c r="CW51" s="203" t="str">
        <f t="shared" si="36"/>
        <v>OK</v>
      </c>
      <c r="CX51" s="226"/>
      <c r="CY51" s="230"/>
      <c r="CZ51" s="183" t="str">
        <f t="shared" si="196"/>
        <v/>
      </c>
      <c r="DA51" s="203" t="str">
        <f t="shared" si="38"/>
        <v>OK</v>
      </c>
      <c r="DB51" s="226"/>
      <c r="DC51" s="230"/>
      <c r="DD51" s="183" t="str">
        <f t="shared" si="197"/>
        <v/>
      </c>
      <c r="DE51" s="203" t="str">
        <f t="shared" si="40"/>
        <v>OK</v>
      </c>
      <c r="DF51" s="226"/>
      <c r="DG51" s="230"/>
      <c r="DH51" s="183" t="str">
        <f t="shared" si="198"/>
        <v/>
      </c>
      <c r="DI51" s="203" t="str">
        <f t="shared" si="42"/>
        <v>OK</v>
      </c>
      <c r="DJ51" s="226"/>
      <c r="DK51" s="230"/>
      <c r="DL51" s="183" t="str">
        <f t="shared" si="199"/>
        <v/>
      </c>
      <c r="DM51" s="203" t="str">
        <f t="shared" si="44"/>
        <v>OK</v>
      </c>
      <c r="DN51" s="226"/>
      <c r="DO51" s="230"/>
      <c r="DP51" s="183" t="str">
        <f t="shared" si="200"/>
        <v/>
      </c>
      <c r="DQ51" s="203" t="str">
        <f t="shared" si="46"/>
        <v>OK</v>
      </c>
      <c r="DR51" s="226"/>
      <c r="DS51" s="230"/>
      <c r="DT51" s="183" t="str">
        <f t="shared" si="201"/>
        <v/>
      </c>
      <c r="DU51" s="203" t="str">
        <f t="shared" si="48"/>
        <v>OK</v>
      </c>
      <c r="DV51" s="226"/>
      <c r="DW51" s="230"/>
      <c r="DX51" s="183" t="str">
        <f t="shared" si="202"/>
        <v/>
      </c>
      <c r="DY51" s="203" t="str">
        <f t="shared" si="50"/>
        <v>OK</v>
      </c>
      <c r="DZ51" s="226"/>
      <c r="EA51" s="230"/>
      <c r="EB51" s="183" t="str">
        <f t="shared" si="203"/>
        <v/>
      </c>
      <c r="EC51" s="203" t="str">
        <f t="shared" si="52"/>
        <v>OK</v>
      </c>
      <c r="ED51" s="226"/>
      <c r="EE51" s="230"/>
      <c r="EF51" s="183" t="str">
        <f t="shared" si="204"/>
        <v/>
      </c>
      <c r="EG51" s="203" t="str">
        <f t="shared" si="54"/>
        <v>OK</v>
      </c>
      <c r="EH51" s="226"/>
      <c r="EI51" s="230"/>
      <c r="EJ51" s="183" t="str">
        <f t="shared" si="205"/>
        <v/>
      </c>
      <c r="EK51" s="203" t="str">
        <f t="shared" si="56"/>
        <v>OK</v>
      </c>
      <c r="EL51" s="226"/>
      <c r="EM51" s="230"/>
      <c r="EN51" s="183" t="str">
        <f t="shared" si="206"/>
        <v/>
      </c>
      <c r="EO51" s="203" t="str">
        <f t="shared" si="58"/>
        <v>OK</v>
      </c>
      <c r="EP51" s="226"/>
      <c r="EQ51" s="230"/>
      <c r="ER51" s="183" t="str">
        <f t="shared" si="207"/>
        <v/>
      </c>
      <c r="ES51" s="203" t="str">
        <f t="shared" si="60"/>
        <v>OK</v>
      </c>
      <c r="ET51" s="226"/>
      <c r="EU51" s="230"/>
      <c r="EV51" s="183" t="str">
        <f t="shared" si="208"/>
        <v/>
      </c>
      <c r="EW51" s="203" t="str">
        <f t="shared" si="62"/>
        <v>OK</v>
      </c>
      <c r="EX51" s="226"/>
      <c r="EY51" s="230"/>
      <c r="EZ51" s="183" t="str">
        <f t="shared" si="209"/>
        <v/>
      </c>
      <c r="FA51" s="203" t="str">
        <f t="shared" si="64"/>
        <v>OK</v>
      </c>
      <c r="FB51" s="226"/>
      <c r="FC51" s="230"/>
      <c r="FD51" s="183" t="str">
        <f t="shared" si="210"/>
        <v/>
      </c>
      <c r="FE51" s="203" t="str">
        <f t="shared" si="66"/>
        <v>OK</v>
      </c>
      <c r="FF51" s="226"/>
      <c r="FG51" s="230"/>
      <c r="FH51" s="183" t="str">
        <f t="shared" si="211"/>
        <v/>
      </c>
      <c r="FI51" s="203" t="str">
        <f t="shared" si="68"/>
        <v>OK</v>
      </c>
      <c r="FJ51" s="226"/>
      <c r="FK51" s="230"/>
      <c r="FL51" s="183" t="str">
        <f t="shared" si="212"/>
        <v/>
      </c>
      <c r="FM51" s="203" t="str">
        <f t="shared" si="70"/>
        <v>OK</v>
      </c>
      <c r="FN51" s="226"/>
      <c r="FO51" s="230"/>
      <c r="FP51" s="183" t="str">
        <f t="shared" si="213"/>
        <v/>
      </c>
      <c r="FQ51" s="203" t="str">
        <f t="shared" si="72"/>
        <v>OK</v>
      </c>
      <c r="FR51" s="226"/>
      <c r="FS51" s="230"/>
      <c r="FT51" s="183" t="str">
        <f t="shared" si="214"/>
        <v/>
      </c>
      <c r="FU51" s="203" t="str">
        <f t="shared" si="74"/>
        <v>OK</v>
      </c>
      <c r="FV51" s="226"/>
      <c r="FW51" s="230"/>
      <c r="FX51" s="183" t="str">
        <f t="shared" si="215"/>
        <v/>
      </c>
      <c r="FY51" s="203" t="str">
        <f t="shared" si="76"/>
        <v>OK</v>
      </c>
      <c r="FZ51" s="226"/>
      <c r="GA51" s="230"/>
      <c r="GB51" s="183" t="str">
        <f t="shared" si="216"/>
        <v/>
      </c>
      <c r="GC51" s="203" t="str">
        <f t="shared" si="78"/>
        <v>OK</v>
      </c>
      <c r="GD51" s="226"/>
      <c r="GE51" s="230"/>
      <c r="GF51" s="183" t="str">
        <f t="shared" si="217"/>
        <v/>
      </c>
      <c r="GG51" s="203" t="str">
        <f t="shared" si="80"/>
        <v>OK</v>
      </c>
      <c r="GH51" s="226"/>
      <c r="GI51" s="230"/>
      <c r="GJ51" s="183" t="str">
        <f t="shared" si="218"/>
        <v/>
      </c>
      <c r="GK51" s="203" t="str">
        <f t="shared" si="82"/>
        <v>OK</v>
      </c>
      <c r="GL51" s="226"/>
      <c r="GM51" s="230"/>
      <c r="GN51" s="183" t="str">
        <f t="shared" si="219"/>
        <v/>
      </c>
      <c r="GO51" s="203" t="str">
        <f t="shared" si="84"/>
        <v>OK</v>
      </c>
      <c r="GP51" s="226" t="s">
        <v>726</v>
      </c>
      <c r="GQ51" s="230"/>
      <c r="GR51" s="183" t="str">
        <f t="shared" si="220"/>
        <v/>
      </c>
      <c r="GS51" s="203" t="str">
        <f t="shared" si="86"/>
        <v>OK</v>
      </c>
      <c r="GT51" s="202"/>
      <c r="GU51" s="202"/>
      <c r="GV51" s="201"/>
      <c r="GW51" s="201"/>
      <c r="GX51" s="201"/>
    </row>
    <row r="52" spans="1:206">
      <c r="A52" s="200" t="s">
        <v>59</v>
      </c>
      <c r="B52" s="225">
        <f t="shared" si="130"/>
        <v>45</v>
      </c>
      <c r="C52" s="229"/>
      <c r="D52" s="229"/>
      <c r="E52" s="228"/>
      <c r="F52" s="228"/>
      <c r="G52" s="222" t="s">
        <v>365</v>
      </c>
      <c r="H52" s="220"/>
      <c r="I52" s="209"/>
      <c r="J52" s="217" t="s">
        <v>326</v>
      </c>
      <c r="K52" s="219"/>
      <c r="L52" s="219"/>
      <c r="M52" s="218"/>
      <c r="N52" s="217"/>
      <c r="O52" s="216"/>
      <c r="P52" s="212"/>
      <c r="Q52" s="212"/>
      <c r="R52" s="215"/>
      <c r="S52" s="214"/>
      <c r="T52" s="212"/>
      <c r="U52" s="213"/>
      <c r="V52" s="212"/>
      <c r="W52" s="211" t="str">
        <f t="shared" si="131"/>
        <v>4</v>
      </c>
      <c r="X52" s="210" t="s">
        <v>366</v>
      </c>
      <c r="Y52" s="210">
        <v>1</v>
      </c>
      <c r="Z52" s="210">
        <v>180</v>
      </c>
      <c r="AA52" s="209" t="s">
        <v>55</v>
      </c>
      <c r="AB52" s="209" t="s">
        <v>306</v>
      </c>
      <c r="AC52" s="207"/>
      <c r="AD52" s="377" t="s">
        <v>365</v>
      </c>
      <c r="AE52" s="230"/>
      <c r="AF52" s="183" t="str">
        <f t="shared" si="178"/>
        <v/>
      </c>
      <c r="AG52" s="203" t="str">
        <f t="shared" si="175"/>
        <v>OK</v>
      </c>
      <c r="AH52" s="377" t="s">
        <v>365</v>
      </c>
      <c r="AI52" s="230"/>
      <c r="AJ52" s="183" t="str">
        <f t="shared" si="179"/>
        <v/>
      </c>
      <c r="AK52" s="203" t="str">
        <f t="shared" si="176"/>
        <v>OK</v>
      </c>
      <c r="AL52" s="377" t="s">
        <v>365</v>
      </c>
      <c r="AM52" s="230"/>
      <c r="AN52" s="183" t="str">
        <f t="shared" si="180"/>
        <v/>
      </c>
      <c r="AO52" s="203" t="str">
        <f t="shared" si="177"/>
        <v>OK</v>
      </c>
      <c r="AP52" s="377" t="s">
        <v>365</v>
      </c>
      <c r="AQ52" s="230"/>
      <c r="AR52" s="183" t="str">
        <f t="shared" si="181"/>
        <v/>
      </c>
      <c r="AS52" s="203" t="str">
        <f t="shared" si="8"/>
        <v>OK</v>
      </c>
      <c r="AT52" s="377" t="s">
        <v>365</v>
      </c>
      <c r="AU52" s="230"/>
      <c r="AV52" s="183" t="str">
        <f t="shared" si="182"/>
        <v/>
      </c>
      <c r="AW52" s="203" t="str">
        <f t="shared" si="10"/>
        <v>OK</v>
      </c>
      <c r="AX52" s="377" t="s">
        <v>365</v>
      </c>
      <c r="AY52" s="230"/>
      <c r="AZ52" s="183" t="str">
        <f t="shared" si="183"/>
        <v/>
      </c>
      <c r="BA52" s="203" t="str">
        <f t="shared" si="12"/>
        <v>OK</v>
      </c>
      <c r="BB52" s="377" t="s">
        <v>365</v>
      </c>
      <c r="BC52" s="230"/>
      <c r="BD52" s="183" t="str">
        <f t="shared" si="184"/>
        <v/>
      </c>
      <c r="BE52" s="203" t="str">
        <f t="shared" si="14"/>
        <v>OK</v>
      </c>
      <c r="BF52" s="377" t="s">
        <v>365</v>
      </c>
      <c r="BG52" s="230"/>
      <c r="BH52" s="183" t="str">
        <f t="shared" si="185"/>
        <v/>
      </c>
      <c r="BI52" s="203" t="str">
        <f t="shared" si="16"/>
        <v>OK</v>
      </c>
      <c r="BJ52" s="377" t="s">
        <v>365</v>
      </c>
      <c r="BK52" s="230"/>
      <c r="BL52" s="183" t="str">
        <f t="shared" si="186"/>
        <v/>
      </c>
      <c r="BM52" s="203" t="str">
        <f t="shared" si="18"/>
        <v>OK</v>
      </c>
      <c r="BN52" s="377" t="s">
        <v>365</v>
      </c>
      <c r="BO52" s="230"/>
      <c r="BP52" s="183" t="str">
        <f t="shared" si="187"/>
        <v/>
      </c>
      <c r="BQ52" s="203" t="str">
        <f t="shared" si="20"/>
        <v>OK</v>
      </c>
      <c r="BR52" s="377" t="s">
        <v>365</v>
      </c>
      <c r="BS52" s="230"/>
      <c r="BT52" s="183" t="str">
        <f t="shared" si="188"/>
        <v/>
      </c>
      <c r="BU52" s="203" t="str">
        <f t="shared" si="22"/>
        <v>OK</v>
      </c>
      <c r="BV52" s="377" t="s">
        <v>365</v>
      </c>
      <c r="BW52" s="230"/>
      <c r="BX52" s="183" t="str">
        <f t="shared" si="189"/>
        <v/>
      </c>
      <c r="BY52" s="203" t="str">
        <f t="shared" si="24"/>
        <v>OK</v>
      </c>
      <c r="BZ52" s="377" t="s">
        <v>365</v>
      </c>
      <c r="CA52" s="230"/>
      <c r="CB52" s="183" t="str">
        <f t="shared" si="190"/>
        <v/>
      </c>
      <c r="CC52" s="203" t="str">
        <f t="shared" si="26"/>
        <v>OK</v>
      </c>
      <c r="CD52" s="377" t="s">
        <v>365</v>
      </c>
      <c r="CE52" s="230"/>
      <c r="CF52" s="183" t="str">
        <f t="shared" si="191"/>
        <v/>
      </c>
      <c r="CG52" s="203" t="str">
        <f t="shared" si="28"/>
        <v>OK</v>
      </c>
      <c r="CH52" s="377" t="s">
        <v>365</v>
      </c>
      <c r="CI52" s="230"/>
      <c r="CJ52" s="183" t="str">
        <f t="shared" si="192"/>
        <v/>
      </c>
      <c r="CK52" s="203" t="str">
        <f t="shared" si="30"/>
        <v>OK</v>
      </c>
      <c r="CL52" s="377" t="s">
        <v>365</v>
      </c>
      <c r="CM52" s="230"/>
      <c r="CN52" s="183" t="str">
        <f t="shared" si="193"/>
        <v/>
      </c>
      <c r="CO52" s="203" t="str">
        <f t="shared" si="32"/>
        <v>OK</v>
      </c>
      <c r="CP52" s="377" t="s">
        <v>365</v>
      </c>
      <c r="CQ52" s="230"/>
      <c r="CR52" s="183" t="str">
        <f t="shared" si="194"/>
        <v/>
      </c>
      <c r="CS52" s="203" t="str">
        <f t="shared" si="34"/>
        <v>OK</v>
      </c>
      <c r="CT52" s="377" t="s">
        <v>365</v>
      </c>
      <c r="CU52" s="230"/>
      <c r="CV52" s="183" t="str">
        <f t="shared" si="195"/>
        <v/>
      </c>
      <c r="CW52" s="203" t="str">
        <f t="shared" si="36"/>
        <v>OK</v>
      </c>
      <c r="CX52" s="377" t="s">
        <v>365</v>
      </c>
      <c r="CY52" s="230"/>
      <c r="CZ52" s="183" t="str">
        <f t="shared" si="196"/>
        <v/>
      </c>
      <c r="DA52" s="203" t="str">
        <f t="shared" si="38"/>
        <v>OK</v>
      </c>
      <c r="DB52" s="377" t="s">
        <v>365</v>
      </c>
      <c r="DC52" s="230"/>
      <c r="DD52" s="183" t="str">
        <f t="shared" si="197"/>
        <v/>
      </c>
      <c r="DE52" s="203" t="str">
        <f t="shared" si="40"/>
        <v>OK</v>
      </c>
      <c r="DF52" s="377" t="s">
        <v>365</v>
      </c>
      <c r="DG52" s="230"/>
      <c r="DH52" s="183" t="str">
        <f t="shared" si="198"/>
        <v/>
      </c>
      <c r="DI52" s="203" t="str">
        <f t="shared" si="42"/>
        <v>OK</v>
      </c>
      <c r="DJ52" s="377" t="s">
        <v>365</v>
      </c>
      <c r="DK52" s="230"/>
      <c r="DL52" s="183" t="str">
        <f t="shared" si="199"/>
        <v/>
      </c>
      <c r="DM52" s="203" t="str">
        <f t="shared" si="44"/>
        <v>OK</v>
      </c>
      <c r="DN52" s="377" t="s">
        <v>365</v>
      </c>
      <c r="DO52" s="230"/>
      <c r="DP52" s="183" t="str">
        <f t="shared" si="200"/>
        <v/>
      </c>
      <c r="DQ52" s="203" t="str">
        <f t="shared" si="46"/>
        <v>OK</v>
      </c>
      <c r="DR52" s="377" t="s">
        <v>365</v>
      </c>
      <c r="DS52" s="230"/>
      <c r="DT52" s="183" t="str">
        <f t="shared" si="201"/>
        <v/>
      </c>
      <c r="DU52" s="203" t="str">
        <f t="shared" si="48"/>
        <v>OK</v>
      </c>
      <c r="DV52" s="377" t="s">
        <v>365</v>
      </c>
      <c r="DW52" s="230"/>
      <c r="DX52" s="183" t="str">
        <f t="shared" si="202"/>
        <v/>
      </c>
      <c r="DY52" s="203" t="str">
        <f t="shared" si="50"/>
        <v>OK</v>
      </c>
      <c r="DZ52" s="377" t="s">
        <v>365</v>
      </c>
      <c r="EA52" s="230"/>
      <c r="EB52" s="183" t="str">
        <f t="shared" si="203"/>
        <v/>
      </c>
      <c r="EC52" s="203" t="str">
        <f t="shared" si="52"/>
        <v>OK</v>
      </c>
      <c r="ED52" s="377" t="s">
        <v>365</v>
      </c>
      <c r="EE52" s="230"/>
      <c r="EF52" s="183" t="str">
        <f t="shared" si="204"/>
        <v/>
      </c>
      <c r="EG52" s="203" t="str">
        <f t="shared" si="54"/>
        <v>OK</v>
      </c>
      <c r="EH52" s="377" t="s">
        <v>365</v>
      </c>
      <c r="EI52" s="230"/>
      <c r="EJ52" s="183" t="str">
        <f t="shared" si="205"/>
        <v/>
      </c>
      <c r="EK52" s="203" t="str">
        <f t="shared" si="56"/>
        <v>OK</v>
      </c>
      <c r="EL52" s="377" t="s">
        <v>365</v>
      </c>
      <c r="EM52" s="230"/>
      <c r="EN52" s="183" t="str">
        <f t="shared" si="206"/>
        <v/>
      </c>
      <c r="EO52" s="203" t="str">
        <f t="shared" si="58"/>
        <v>OK</v>
      </c>
      <c r="EP52" s="377" t="s">
        <v>365</v>
      </c>
      <c r="EQ52" s="230"/>
      <c r="ER52" s="183" t="str">
        <f t="shared" si="207"/>
        <v/>
      </c>
      <c r="ES52" s="203" t="str">
        <f t="shared" si="60"/>
        <v>OK</v>
      </c>
      <c r="ET52" s="377" t="s">
        <v>365</v>
      </c>
      <c r="EU52" s="230"/>
      <c r="EV52" s="183" t="str">
        <f t="shared" si="208"/>
        <v/>
      </c>
      <c r="EW52" s="203" t="str">
        <f t="shared" si="62"/>
        <v>OK</v>
      </c>
      <c r="EX52" s="377" t="s">
        <v>365</v>
      </c>
      <c r="EY52" s="230"/>
      <c r="EZ52" s="183" t="str">
        <f t="shared" si="209"/>
        <v/>
      </c>
      <c r="FA52" s="203" t="str">
        <f t="shared" si="64"/>
        <v>OK</v>
      </c>
      <c r="FB52" s="377" t="s">
        <v>365</v>
      </c>
      <c r="FC52" s="230"/>
      <c r="FD52" s="183" t="str">
        <f t="shared" si="210"/>
        <v/>
      </c>
      <c r="FE52" s="203" t="str">
        <f t="shared" si="66"/>
        <v>OK</v>
      </c>
      <c r="FF52" s="377" t="s">
        <v>365</v>
      </c>
      <c r="FG52" s="230"/>
      <c r="FH52" s="183" t="str">
        <f t="shared" si="211"/>
        <v/>
      </c>
      <c r="FI52" s="203" t="str">
        <f t="shared" si="68"/>
        <v>OK</v>
      </c>
      <c r="FJ52" s="377" t="s">
        <v>365</v>
      </c>
      <c r="FK52" s="230"/>
      <c r="FL52" s="183" t="str">
        <f t="shared" si="212"/>
        <v/>
      </c>
      <c r="FM52" s="203" t="str">
        <f t="shared" si="70"/>
        <v>OK</v>
      </c>
      <c r="FN52" s="377" t="s">
        <v>365</v>
      </c>
      <c r="FO52" s="230"/>
      <c r="FP52" s="183" t="str">
        <f t="shared" si="213"/>
        <v/>
      </c>
      <c r="FQ52" s="203" t="str">
        <f t="shared" si="72"/>
        <v>OK</v>
      </c>
      <c r="FR52" s="377" t="s">
        <v>365</v>
      </c>
      <c r="FS52" s="230"/>
      <c r="FT52" s="183" t="str">
        <f t="shared" si="214"/>
        <v/>
      </c>
      <c r="FU52" s="203" t="str">
        <f t="shared" si="74"/>
        <v>OK</v>
      </c>
      <c r="FV52" s="377" t="s">
        <v>365</v>
      </c>
      <c r="FW52" s="230"/>
      <c r="FX52" s="183" t="str">
        <f t="shared" si="215"/>
        <v/>
      </c>
      <c r="FY52" s="203" t="str">
        <f t="shared" si="76"/>
        <v>OK</v>
      </c>
      <c r="FZ52" s="377" t="s">
        <v>365</v>
      </c>
      <c r="GA52" s="230"/>
      <c r="GB52" s="183" t="str">
        <f t="shared" si="216"/>
        <v/>
      </c>
      <c r="GC52" s="203" t="str">
        <f t="shared" si="78"/>
        <v>OK</v>
      </c>
      <c r="GD52" s="377" t="s">
        <v>365</v>
      </c>
      <c r="GE52" s="230"/>
      <c r="GF52" s="183" t="str">
        <f t="shared" si="217"/>
        <v/>
      </c>
      <c r="GG52" s="203" t="str">
        <f t="shared" si="80"/>
        <v>OK</v>
      </c>
      <c r="GH52" s="377" t="s">
        <v>365</v>
      </c>
      <c r="GI52" s="230"/>
      <c r="GJ52" s="183" t="str">
        <f t="shared" si="218"/>
        <v/>
      </c>
      <c r="GK52" s="203" t="str">
        <f t="shared" si="82"/>
        <v>OK</v>
      </c>
      <c r="GL52" s="377" t="s">
        <v>365</v>
      </c>
      <c r="GM52" s="230"/>
      <c r="GN52" s="183" t="str">
        <f t="shared" si="219"/>
        <v/>
      </c>
      <c r="GO52" s="203" t="str">
        <f t="shared" si="84"/>
        <v>OK</v>
      </c>
      <c r="GP52" s="378" t="s">
        <v>365</v>
      </c>
      <c r="GQ52" s="230"/>
      <c r="GR52" s="183" t="str">
        <f t="shared" si="220"/>
        <v/>
      </c>
      <c r="GS52" s="203" t="str">
        <f t="shared" si="86"/>
        <v>OK</v>
      </c>
      <c r="GT52" s="202"/>
      <c r="GU52" s="202"/>
      <c r="GV52" s="201"/>
      <c r="GW52" s="201"/>
      <c r="GX52" s="201"/>
    </row>
    <row r="53" spans="1:206">
      <c r="A53" s="200" t="s">
        <v>59</v>
      </c>
      <c r="B53" s="225">
        <f t="shared" si="130"/>
        <v>46</v>
      </c>
      <c r="C53" s="229"/>
      <c r="D53" s="229"/>
      <c r="E53" s="228"/>
      <c r="F53" s="228"/>
      <c r="G53" s="222" t="s">
        <v>363</v>
      </c>
      <c r="H53" s="220"/>
      <c r="I53" s="209"/>
      <c r="J53" s="217" t="s">
        <v>326</v>
      </c>
      <c r="K53" s="219"/>
      <c r="L53" s="219"/>
      <c r="M53" s="218"/>
      <c r="N53" s="217"/>
      <c r="O53" s="216"/>
      <c r="P53" s="212"/>
      <c r="Q53" s="212"/>
      <c r="R53" s="215"/>
      <c r="S53" s="214"/>
      <c r="T53" s="212"/>
      <c r="U53" s="213"/>
      <c r="V53" s="212"/>
      <c r="W53" s="211" t="str">
        <f t="shared" si="131"/>
        <v>4</v>
      </c>
      <c r="X53" s="210" t="s">
        <v>364</v>
      </c>
      <c r="Y53" s="210">
        <v>1</v>
      </c>
      <c r="Z53" s="210">
        <v>180</v>
      </c>
      <c r="AA53" s="209" t="s">
        <v>55</v>
      </c>
      <c r="AB53" s="209" t="s">
        <v>306</v>
      </c>
      <c r="AC53" s="207"/>
      <c r="AD53" s="377" t="s">
        <v>363</v>
      </c>
      <c r="AE53" s="230"/>
      <c r="AF53" s="183" t="str">
        <f t="shared" si="178"/>
        <v/>
      </c>
      <c r="AG53" s="203" t="str">
        <f t="shared" si="175"/>
        <v>OK</v>
      </c>
      <c r="AH53" s="377" t="s">
        <v>363</v>
      </c>
      <c r="AI53" s="230"/>
      <c r="AJ53" s="183" t="str">
        <f t="shared" si="179"/>
        <v/>
      </c>
      <c r="AK53" s="203" t="str">
        <f t="shared" si="176"/>
        <v>OK</v>
      </c>
      <c r="AL53" s="377" t="s">
        <v>363</v>
      </c>
      <c r="AM53" s="230"/>
      <c r="AN53" s="183" t="str">
        <f t="shared" si="180"/>
        <v/>
      </c>
      <c r="AO53" s="203" t="str">
        <f t="shared" si="177"/>
        <v>OK</v>
      </c>
      <c r="AP53" s="377" t="s">
        <v>363</v>
      </c>
      <c r="AQ53" s="230"/>
      <c r="AR53" s="183" t="str">
        <f t="shared" si="181"/>
        <v/>
      </c>
      <c r="AS53" s="203" t="str">
        <f t="shared" si="8"/>
        <v>OK</v>
      </c>
      <c r="AT53" s="377" t="s">
        <v>363</v>
      </c>
      <c r="AU53" s="230"/>
      <c r="AV53" s="183" t="str">
        <f t="shared" si="182"/>
        <v/>
      </c>
      <c r="AW53" s="203" t="str">
        <f t="shared" si="10"/>
        <v>OK</v>
      </c>
      <c r="AX53" s="377" t="s">
        <v>363</v>
      </c>
      <c r="AY53" s="230"/>
      <c r="AZ53" s="183" t="str">
        <f t="shared" si="183"/>
        <v/>
      </c>
      <c r="BA53" s="203" t="str">
        <f t="shared" si="12"/>
        <v>OK</v>
      </c>
      <c r="BB53" s="377" t="s">
        <v>363</v>
      </c>
      <c r="BC53" s="230"/>
      <c r="BD53" s="183" t="str">
        <f t="shared" si="184"/>
        <v/>
      </c>
      <c r="BE53" s="203" t="str">
        <f t="shared" si="14"/>
        <v>OK</v>
      </c>
      <c r="BF53" s="377" t="s">
        <v>363</v>
      </c>
      <c r="BG53" s="230"/>
      <c r="BH53" s="183" t="str">
        <f t="shared" si="185"/>
        <v/>
      </c>
      <c r="BI53" s="203" t="str">
        <f t="shared" si="16"/>
        <v>OK</v>
      </c>
      <c r="BJ53" s="377" t="s">
        <v>363</v>
      </c>
      <c r="BK53" s="230"/>
      <c r="BL53" s="183" t="str">
        <f t="shared" si="186"/>
        <v/>
      </c>
      <c r="BM53" s="203" t="str">
        <f t="shared" si="18"/>
        <v>OK</v>
      </c>
      <c r="BN53" s="377" t="s">
        <v>363</v>
      </c>
      <c r="BO53" s="230"/>
      <c r="BP53" s="183" t="str">
        <f t="shared" si="187"/>
        <v/>
      </c>
      <c r="BQ53" s="203" t="str">
        <f t="shared" si="20"/>
        <v>OK</v>
      </c>
      <c r="BR53" s="377" t="s">
        <v>363</v>
      </c>
      <c r="BS53" s="230"/>
      <c r="BT53" s="183" t="str">
        <f t="shared" si="188"/>
        <v/>
      </c>
      <c r="BU53" s="203" t="str">
        <f t="shared" si="22"/>
        <v>OK</v>
      </c>
      <c r="BV53" s="377" t="s">
        <v>363</v>
      </c>
      <c r="BW53" s="230"/>
      <c r="BX53" s="183" t="str">
        <f t="shared" si="189"/>
        <v/>
      </c>
      <c r="BY53" s="203" t="str">
        <f t="shared" si="24"/>
        <v>OK</v>
      </c>
      <c r="BZ53" s="377" t="s">
        <v>363</v>
      </c>
      <c r="CA53" s="230"/>
      <c r="CB53" s="183" t="str">
        <f t="shared" si="190"/>
        <v/>
      </c>
      <c r="CC53" s="203" t="str">
        <f t="shared" si="26"/>
        <v>OK</v>
      </c>
      <c r="CD53" s="377" t="s">
        <v>363</v>
      </c>
      <c r="CE53" s="230"/>
      <c r="CF53" s="183" t="str">
        <f t="shared" si="191"/>
        <v/>
      </c>
      <c r="CG53" s="203" t="str">
        <f t="shared" si="28"/>
        <v>OK</v>
      </c>
      <c r="CH53" s="377" t="s">
        <v>363</v>
      </c>
      <c r="CI53" s="230"/>
      <c r="CJ53" s="183" t="str">
        <f t="shared" si="192"/>
        <v/>
      </c>
      <c r="CK53" s="203" t="str">
        <f t="shared" si="30"/>
        <v>OK</v>
      </c>
      <c r="CL53" s="377" t="s">
        <v>363</v>
      </c>
      <c r="CM53" s="230"/>
      <c r="CN53" s="183" t="str">
        <f t="shared" si="193"/>
        <v/>
      </c>
      <c r="CO53" s="203" t="str">
        <f t="shared" si="32"/>
        <v>OK</v>
      </c>
      <c r="CP53" s="377" t="s">
        <v>363</v>
      </c>
      <c r="CQ53" s="230"/>
      <c r="CR53" s="183" t="str">
        <f t="shared" si="194"/>
        <v/>
      </c>
      <c r="CS53" s="203" t="str">
        <f t="shared" si="34"/>
        <v>OK</v>
      </c>
      <c r="CT53" s="377" t="s">
        <v>363</v>
      </c>
      <c r="CU53" s="230"/>
      <c r="CV53" s="183" t="str">
        <f t="shared" si="195"/>
        <v/>
      </c>
      <c r="CW53" s="203" t="str">
        <f t="shared" si="36"/>
        <v>OK</v>
      </c>
      <c r="CX53" s="377" t="s">
        <v>363</v>
      </c>
      <c r="CY53" s="230"/>
      <c r="CZ53" s="183" t="str">
        <f t="shared" si="196"/>
        <v/>
      </c>
      <c r="DA53" s="203" t="str">
        <f t="shared" si="38"/>
        <v>OK</v>
      </c>
      <c r="DB53" s="377" t="s">
        <v>363</v>
      </c>
      <c r="DC53" s="230"/>
      <c r="DD53" s="183" t="str">
        <f t="shared" si="197"/>
        <v/>
      </c>
      <c r="DE53" s="203" t="str">
        <f t="shared" si="40"/>
        <v>OK</v>
      </c>
      <c r="DF53" s="377" t="s">
        <v>363</v>
      </c>
      <c r="DG53" s="230"/>
      <c r="DH53" s="183" t="str">
        <f t="shared" si="198"/>
        <v/>
      </c>
      <c r="DI53" s="203" t="str">
        <f t="shared" si="42"/>
        <v>OK</v>
      </c>
      <c r="DJ53" s="377" t="s">
        <v>363</v>
      </c>
      <c r="DK53" s="230"/>
      <c r="DL53" s="183" t="str">
        <f t="shared" si="199"/>
        <v/>
      </c>
      <c r="DM53" s="203" t="str">
        <f t="shared" si="44"/>
        <v>OK</v>
      </c>
      <c r="DN53" s="377" t="s">
        <v>363</v>
      </c>
      <c r="DO53" s="230"/>
      <c r="DP53" s="183" t="str">
        <f t="shared" si="200"/>
        <v/>
      </c>
      <c r="DQ53" s="203" t="str">
        <f t="shared" si="46"/>
        <v>OK</v>
      </c>
      <c r="DR53" s="377" t="s">
        <v>363</v>
      </c>
      <c r="DS53" s="230"/>
      <c r="DT53" s="183" t="str">
        <f t="shared" si="201"/>
        <v/>
      </c>
      <c r="DU53" s="203" t="str">
        <f t="shared" si="48"/>
        <v>OK</v>
      </c>
      <c r="DV53" s="377" t="s">
        <v>363</v>
      </c>
      <c r="DW53" s="230"/>
      <c r="DX53" s="183" t="str">
        <f t="shared" si="202"/>
        <v/>
      </c>
      <c r="DY53" s="203" t="str">
        <f t="shared" si="50"/>
        <v>OK</v>
      </c>
      <c r="DZ53" s="377" t="s">
        <v>363</v>
      </c>
      <c r="EA53" s="230"/>
      <c r="EB53" s="183" t="str">
        <f t="shared" si="203"/>
        <v/>
      </c>
      <c r="EC53" s="203" t="str">
        <f t="shared" si="52"/>
        <v>OK</v>
      </c>
      <c r="ED53" s="377" t="s">
        <v>363</v>
      </c>
      <c r="EE53" s="230"/>
      <c r="EF53" s="183" t="str">
        <f t="shared" si="204"/>
        <v/>
      </c>
      <c r="EG53" s="203" t="str">
        <f t="shared" si="54"/>
        <v>OK</v>
      </c>
      <c r="EH53" s="377" t="s">
        <v>363</v>
      </c>
      <c r="EI53" s="230"/>
      <c r="EJ53" s="183" t="str">
        <f t="shared" si="205"/>
        <v/>
      </c>
      <c r="EK53" s="203" t="str">
        <f t="shared" si="56"/>
        <v>OK</v>
      </c>
      <c r="EL53" s="377" t="s">
        <v>363</v>
      </c>
      <c r="EM53" s="230"/>
      <c r="EN53" s="183" t="str">
        <f t="shared" si="206"/>
        <v/>
      </c>
      <c r="EO53" s="203" t="str">
        <f t="shared" si="58"/>
        <v>OK</v>
      </c>
      <c r="EP53" s="377" t="s">
        <v>363</v>
      </c>
      <c r="EQ53" s="230"/>
      <c r="ER53" s="183" t="str">
        <f t="shared" si="207"/>
        <v/>
      </c>
      <c r="ES53" s="203" t="str">
        <f t="shared" si="60"/>
        <v>OK</v>
      </c>
      <c r="ET53" s="377" t="s">
        <v>363</v>
      </c>
      <c r="EU53" s="230"/>
      <c r="EV53" s="183" t="str">
        <f t="shared" si="208"/>
        <v/>
      </c>
      <c r="EW53" s="203" t="str">
        <f t="shared" si="62"/>
        <v>OK</v>
      </c>
      <c r="EX53" s="377" t="s">
        <v>363</v>
      </c>
      <c r="EY53" s="230"/>
      <c r="EZ53" s="183" t="str">
        <f t="shared" si="209"/>
        <v/>
      </c>
      <c r="FA53" s="203" t="str">
        <f t="shared" si="64"/>
        <v>OK</v>
      </c>
      <c r="FB53" s="377" t="s">
        <v>363</v>
      </c>
      <c r="FC53" s="230"/>
      <c r="FD53" s="183" t="str">
        <f t="shared" si="210"/>
        <v/>
      </c>
      <c r="FE53" s="203" t="str">
        <f t="shared" si="66"/>
        <v>OK</v>
      </c>
      <c r="FF53" s="377" t="s">
        <v>363</v>
      </c>
      <c r="FG53" s="230"/>
      <c r="FH53" s="183" t="str">
        <f t="shared" si="211"/>
        <v/>
      </c>
      <c r="FI53" s="203" t="str">
        <f t="shared" si="68"/>
        <v>OK</v>
      </c>
      <c r="FJ53" s="377" t="s">
        <v>363</v>
      </c>
      <c r="FK53" s="230"/>
      <c r="FL53" s="183" t="str">
        <f t="shared" si="212"/>
        <v/>
      </c>
      <c r="FM53" s="203" t="str">
        <f t="shared" si="70"/>
        <v>OK</v>
      </c>
      <c r="FN53" s="377" t="s">
        <v>363</v>
      </c>
      <c r="FO53" s="230"/>
      <c r="FP53" s="183" t="str">
        <f t="shared" si="213"/>
        <v/>
      </c>
      <c r="FQ53" s="203" t="str">
        <f t="shared" si="72"/>
        <v>OK</v>
      </c>
      <c r="FR53" s="377" t="s">
        <v>363</v>
      </c>
      <c r="FS53" s="230"/>
      <c r="FT53" s="183" t="str">
        <f t="shared" si="214"/>
        <v/>
      </c>
      <c r="FU53" s="203" t="str">
        <f t="shared" si="74"/>
        <v>OK</v>
      </c>
      <c r="FV53" s="377" t="s">
        <v>363</v>
      </c>
      <c r="FW53" s="230"/>
      <c r="FX53" s="183" t="str">
        <f t="shared" si="215"/>
        <v/>
      </c>
      <c r="FY53" s="203" t="str">
        <f t="shared" si="76"/>
        <v>OK</v>
      </c>
      <c r="FZ53" s="377" t="s">
        <v>363</v>
      </c>
      <c r="GA53" s="230"/>
      <c r="GB53" s="183" t="str">
        <f t="shared" si="216"/>
        <v/>
      </c>
      <c r="GC53" s="203" t="str">
        <f t="shared" si="78"/>
        <v>OK</v>
      </c>
      <c r="GD53" s="377" t="s">
        <v>363</v>
      </c>
      <c r="GE53" s="230"/>
      <c r="GF53" s="183" t="str">
        <f t="shared" si="217"/>
        <v/>
      </c>
      <c r="GG53" s="203" t="str">
        <f t="shared" si="80"/>
        <v>OK</v>
      </c>
      <c r="GH53" s="377" t="s">
        <v>363</v>
      </c>
      <c r="GI53" s="230"/>
      <c r="GJ53" s="183" t="str">
        <f t="shared" si="218"/>
        <v/>
      </c>
      <c r="GK53" s="203" t="str">
        <f t="shared" si="82"/>
        <v>OK</v>
      </c>
      <c r="GL53" s="377" t="s">
        <v>363</v>
      </c>
      <c r="GM53" s="230"/>
      <c r="GN53" s="183" t="str">
        <f t="shared" si="219"/>
        <v/>
      </c>
      <c r="GO53" s="203" t="str">
        <f t="shared" si="84"/>
        <v>OK</v>
      </c>
      <c r="GP53" s="378" t="s">
        <v>363</v>
      </c>
      <c r="GQ53" s="230"/>
      <c r="GR53" s="183" t="str">
        <f t="shared" si="220"/>
        <v/>
      </c>
      <c r="GS53" s="203" t="str">
        <f t="shared" si="86"/>
        <v>OK</v>
      </c>
      <c r="GT53" s="202"/>
      <c r="GU53" s="202"/>
      <c r="GV53" s="201"/>
      <c r="GW53" s="201"/>
      <c r="GX53" s="201"/>
    </row>
    <row r="54" spans="1:206">
      <c r="A54" s="200" t="s">
        <v>59</v>
      </c>
      <c r="B54" s="225">
        <f t="shared" si="130"/>
        <v>47</v>
      </c>
      <c r="C54" s="229"/>
      <c r="D54" s="229"/>
      <c r="E54" s="228"/>
      <c r="F54" s="228"/>
      <c r="G54" s="222" t="s">
        <v>361</v>
      </c>
      <c r="H54" s="220"/>
      <c r="I54" s="209"/>
      <c r="J54" s="217" t="s">
        <v>326</v>
      </c>
      <c r="K54" s="219"/>
      <c r="L54" s="219"/>
      <c r="M54" s="218"/>
      <c r="N54" s="217"/>
      <c r="O54" s="216"/>
      <c r="P54" s="212"/>
      <c r="Q54" s="212"/>
      <c r="R54" s="215"/>
      <c r="S54" s="214"/>
      <c r="T54" s="212"/>
      <c r="U54" s="213"/>
      <c r="V54" s="212"/>
      <c r="W54" s="211" t="str">
        <f t="shared" si="131"/>
        <v>4</v>
      </c>
      <c r="X54" s="210" t="s">
        <v>362</v>
      </c>
      <c r="Y54" s="210">
        <v>1</v>
      </c>
      <c r="Z54" s="210">
        <v>180</v>
      </c>
      <c r="AA54" s="209" t="s">
        <v>55</v>
      </c>
      <c r="AB54" s="209" t="s">
        <v>306</v>
      </c>
      <c r="AC54" s="207"/>
      <c r="AD54" s="377" t="s">
        <v>361</v>
      </c>
      <c r="AE54" s="230"/>
      <c r="AF54" s="183" t="str">
        <f t="shared" si="178"/>
        <v/>
      </c>
      <c r="AG54" s="203" t="str">
        <f t="shared" si="175"/>
        <v>OK</v>
      </c>
      <c r="AH54" s="377" t="s">
        <v>361</v>
      </c>
      <c r="AI54" s="230"/>
      <c r="AJ54" s="183" t="str">
        <f t="shared" si="179"/>
        <v/>
      </c>
      <c r="AK54" s="203" t="str">
        <f t="shared" si="176"/>
        <v>OK</v>
      </c>
      <c r="AL54" s="377" t="s">
        <v>361</v>
      </c>
      <c r="AM54" s="230"/>
      <c r="AN54" s="183" t="str">
        <f t="shared" si="180"/>
        <v/>
      </c>
      <c r="AO54" s="203" t="str">
        <f t="shared" si="177"/>
        <v>OK</v>
      </c>
      <c r="AP54" s="377" t="s">
        <v>361</v>
      </c>
      <c r="AQ54" s="230"/>
      <c r="AR54" s="183" t="str">
        <f t="shared" si="181"/>
        <v/>
      </c>
      <c r="AS54" s="203" t="str">
        <f t="shared" si="8"/>
        <v>OK</v>
      </c>
      <c r="AT54" s="377" t="s">
        <v>361</v>
      </c>
      <c r="AU54" s="230"/>
      <c r="AV54" s="183" t="str">
        <f t="shared" si="182"/>
        <v/>
      </c>
      <c r="AW54" s="203" t="str">
        <f t="shared" si="10"/>
        <v>OK</v>
      </c>
      <c r="AX54" s="377" t="s">
        <v>361</v>
      </c>
      <c r="AY54" s="230"/>
      <c r="AZ54" s="183" t="str">
        <f t="shared" si="183"/>
        <v/>
      </c>
      <c r="BA54" s="203" t="str">
        <f t="shared" si="12"/>
        <v>OK</v>
      </c>
      <c r="BB54" s="377" t="s">
        <v>361</v>
      </c>
      <c r="BC54" s="230"/>
      <c r="BD54" s="183" t="str">
        <f t="shared" si="184"/>
        <v/>
      </c>
      <c r="BE54" s="203" t="str">
        <f t="shared" si="14"/>
        <v>OK</v>
      </c>
      <c r="BF54" s="377" t="s">
        <v>361</v>
      </c>
      <c r="BG54" s="230"/>
      <c r="BH54" s="183" t="str">
        <f t="shared" si="185"/>
        <v/>
      </c>
      <c r="BI54" s="203" t="str">
        <f t="shared" si="16"/>
        <v>OK</v>
      </c>
      <c r="BJ54" s="377" t="s">
        <v>361</v>
      </c>
      <c r="BK54" s="230"/>
      <c r="BL54" s="183" t="str">
        <f t="shared" si="186"/>
        <v/>
      </c>
      <c r="BM54" s="203" t="str">
        <f t="shared" si="18"/>
        <v>OK</v>
      </c>
      <c r="BN54" s="377" t="s">
        <v>361</v>
      </c>
      <c r="BO54" s="230"/>
      <c r="BP54" s="183" t="str">
        <f t="shared" si="187"/>
        <v/>
      </c>
      <c r="BQ54" s="203" t="str">
        <f t="shared" si="20"/>
        <v>OK</v>
      </c>
      <c r="BR54" s="377" t="s">
        <v>361</v>
      </c>
      <c r="BS54" s="230"/>
      <c r="BT54" s="183" t="str">
        <f t="shared" si="188"/>
        <v/>
      </c>
      <c r="BU54" s="203" t="str">
        <f t="shared" si="22"/>
        <v>OK</v>
      </c>
      <c r="BV54" s="377" t="s">
        <v>361</v>
      </c>
      <c r="BW54" s="230"/>
      <c r="BX54" s="183" t="str">
        <f t="shared" si="189"/>
        <v/>
      </c>
      <c r="BY54" s="203" t="str">
        <f t="shared" si="24"/>
        <v>OK</v>
      </c>
      <c r="BZ54" s="377" t="s">
        <v>361</v>
      </c>
      <c r="CA54" s="230"/>
      <c r="CB54" s="183" t="str">
        <f t="shared" si="190"/>
        <v/>
      </c>
      <c r="CC54" s="203" t="str">
        <f t="shared" si="26"/>
        <v>OK</v>
      </c>
      <c r="CD54" s="377" t="s">
        <v>361</v>
      </c>
      <c r="CE54" s="230"/>
      <c r="CF54" s="183" t="str">
        <f t="shared" si="191"/>
        <v/>
      </c>
      <c r="CG54" s="203" t="str">
        <f t="shared" si="28"/>
        <v>OK</v>
      </c>
      <c r="CH54" s="377" t="s">
        <v>361</v>
      </c>
      <c r="CI54" s="230"/>
      <c r="CJ54" s="183" t="str">
        <f t="shared" si="192"/>
        <v/>
      </c>
      <c r="CK54" s="203" t="str">
        <f t="shared" si="30"/>
        <v>OK</v>
      </c>
      <c r="CL54" s="377" t="s">
        <v>361</v>
      </c>
      <c r="CM54" s="230"/>
      <c r="CN54" s="183" t="str">
        <f t="shared" si="193"/>
        <v/>
      </c>
      <c r="CO54" s="203" t="str">
        <f t="shared" si="32"/>
        <v>OK</v>
      </c>
      <c r="CP54" s="377" t="s">
        <v>361</v>
      </c>
      <c r="CQ54" s="230"/>
      <c r="CR54" s="183" t="str">
        <f t="shared" si="194"/>
        <v/>
      </c>
      <c r="CS54" s="203" t="str">
        <f t="shared" si="34"/>
        <v>OK</v>
      </c>
      <c r="CT54" s="377" t="s">
        <v>361</v>
      </c>
      <c r="CU54" s="230"/>
      <c r="CV54" s="183" t="str">
        <f t="shared" si="195"/>
        <v/>
      </c>
      <c r="CW54" s="203" t="str">
        <f t="shared" si="36"/>
        <v>OK</v>
      </c>
      <c r="CX54" s="377" t="s">
        <v>361</v>
      </c>
      <c r="CY54" s="230"/>
      <c r="CZ54" s="183" t="str">
        <f t="shared" si="196"/>
        <v/>
      </c>
      <c r="DA54" s="203" t="str">
        <f t="shared" si="38"/>
        <v>OK</v>
      </c>
      <c r="DB54" s="377" t="s">
        <v>361</v>
      </c>
      <c r="DC54" s="230"/>
      <c r="DD54" s="183" t="str">
        <f t="shared" si="197"/>
        <v/>
      </c>
      <c r="DE54" s="203" t="str">
        <f t="shared" si="40"/>
        <v>OK</v>
      </c>
      <c r="DF54" s="377" t="s">
        <v>361</v>
      </c>
      <c r="DG54" s="230"/>
      <c r="DH54" s="183" t="str">
        <f t="shared" si="198"/>
        <v/>
      </c>
      <c r="DI54" s="203" t="str">
        <f t="shared" si="42"/>
        <v>OK</v>
      </c>
      <c r="DJ54" s="377" t="s">
        <v>361</v>
      </c>
      <c r="DK54" s="230"/>
      <c r="DL54" s="183" t="str">
        <f t="shared" si="199"/>
        <v/>
      </c>
      <c r="DM54" s="203" t="str">
        <f t="shared" si="44"/>
        <v>OK</v>
      </c>
      <c r="DN54" s="377" t="s">
        <v>361</v>
      </c>
      <c r="DO54" s="230"/>
      <c r="DP54" s="183" t="str">
        <f t="shared" si="200"/>
        <v/>
      </c>
      <c r="DQ54" s="203" t="str">
        <f t="shared" si="46"/>
        <v>OK</v>
      </c>
      <c r="DR54" s="377" t="s">
        <v>361</v>
      </c>
      <c r="DS54" s="230"/>
      <c r="DT54" s="183" t="str">
        <f t="shared" si="201"/>
        <v/>
      </c>
      <c r="DU54" s="203" t="str">
        <f t="shared" si="48"/>
        <v>OK</v>
      </c>
      <c r="DV54" s="377" t="s">
        <v>361</v>
      </c>
      <c r="DW54" s="230"/>
      <c r="DX54" s="183" t="str">
        <f t="shared" si="202"/>
        <v/>
      </c>
      <c r="DY54" s="203" t="str">
        <f t="shared" si="50"/>
        <v>OK</v>
      </c>
      <c r="DZ54" s="377" t="s">
        <v>361</v>
      </c>
      <c r="EA54" s="230"/>
      <c r="EB54" s="183" t="str">
        <f t="shared" si="203"/>
        <v/>
      </c>
      <c r="EC54" s="203" t="str">
        <f t="shared" si="52"/>
        <v>OK</v>
      </c>
      <c r="ED54" s="377" t="s">
        <v>361</v>
      </c>
      <c r="EE54" s="230"/>
      <c r="EF54" s="183" t="str">
        <f t="shared" si="204"/>
        <v/>
      </c>
      <c r="EG54" s="203" t="str">
        <f t="shared" si="54"/>
        <v>OK</v>
      </c>
      <c r="EH54" s="377" t="s">
        <v>361</v>
      </c>
      <c r="EI54" s="230"/>
      <c r="EJ54" s="183" t="str">
        <f t="shared" si="205"/>
        <v/>
      </c>
      <c r="EK54" s="203" t="str">
        <f t="shared" si="56"/>
        <v>OK</v>
      </c>
      <c r="EL54" s="377" t="s">
        <v>361</v>
      </c>
      <c r="EM54" s="230"/>
      <c r="EN54" s="183" t="str">
        <f t="shared" si="206"/>
        <v/>
      </c>
      <c r="EO54" s="203" t="str">
        <f t="shared" si="58"/>
        <v>OK</v>
      </c>
      <c r="EP54" s="377" t="s">
        <v>361</v>
      </c>
      <c r="EQ54" s="230"/>
      <c r="ER54" s="183" t="str">
        <f t="shared" si="207"/>
        <v/>
      </c>
      <c r="ES54" s="203" t="str">
        <f t="shared" si="60"/>
        <v>OK</v>
      </c>
      <c r="ET54" s="377" t="s">
        <v>361</v>
      </c>
      <c r="EU54" s="230"/>
      <c r="EV54" s="183" t="str">
        <f t="shared" si="208"/>
        <v/>
      </c>
      <c r="EW54" s="203" t="str">
        <f t="shared" si="62"/>
        <v>OK</v>
      </c>
      <c r="EX54" s="377" t="s">
        <v>361</v>
      </c>
      <c r="EY54" s="230"/>
      <c r="EZ54" s="183" t="str">
        <f t="shared" si="209"/>
        <v/>
      </c>
      <c r="FA54" s="203" t="str">
        <f t="shared" si="64"/>
        <v>OK</v>
      </c>
      <c r="FB54" s="377" t="s">
        <v>361</v>
      </c>
      <c r="FC54" s="230"/>
      <c r="FD54" s="183" t="str">
        <f t="shared" si="210"/>
        <v/>
      </c>
      <c r="FE54" s="203" t="str">
        <f t="shared" si="66"/>
        <v>OK</v>
      </c>
      <c r="FF54" s="377" t="s">
        <v>361</v>
      </c>
      <c r="FG54" s="230"/>
      <c r="FH54" s="183" t="str">
        <f t="shared" si="211"/>
        <v/>
      </c>
      <c r="FI54" s="203" t="str">
        <f t="shared" si="68"/>
        <v>OK</v>
      </c>
      <c r="FJ54" s="377" t="s">
        <v>361</v>
      </c>
      <c r="FK54" s="230"/>
      <c r="FL54" s="183" t="str">
        <f t="shared" si="212"/>
        <v/>
      </c>
      <c r="FM54" s="203" t="str">
        <f t="shared" si="70"/>
        <v>OK</v>
      </c>
      <c r="FN54" s="377" t="s">
        <v>361</v>
      </c>
      <c r="FO54" s="230"/>
      <c r="FP54" s="183" t="str">
        <f t="shared" si="213"/>
        <v/>
      </c>
      <c r="FQ54" s="203" t="str">
        <f t="shared" si="72"/>
        <v>OK</v>
      </c>
      <c r="FR54" s="377" t="s">
        <v>361</v>
      </c>
      <c r="FS54" s="230"/>
      <c r="FT54" s="183" t="str">
        <f t="shared" si="214"/>
        <v/>
      </c>
      <c r="FU54" s="203" t="str">
        <f t="shared" si="74"/>
        <v>OK</v>
      </c>
      <c r="FV54" s="377" t="s">
        <v>361</v>
      </c>
      <c r="FW54" s="230"/>
      <c r="FX54" s="183" t="str">
        <f t="shared" si="215"/>
        <v/>
      </c>
      <c r="FY54" s="203" t="str">
        <f t="shared" si="76"/>
        <v>OK</v>
      </c>
      <c r="FZ54" s="377" t="s">
        <v>361</v>
      </c>
      <c r="GA54" s="230"/>
      <c r="GB54" s="183" t="str">
        <f t="shared" si="216"/>
        <v/>
      </c>
      <c r="GC54" s="203" t="str">
        <f t="shared" si="78"/>
        <v>OK</v>
      </c>
      <c r="GD54" s="377" t="s">
        <v>361</v>
      </c>
      <c r="GE54" s="230"/>
      <c r="GF54" s="183" t="str">
        <f t="shared" si="217"/>
        <v/>
      </c>
      <c r="GG54" s="203" t="str">
        <f t="shared" si="80"/>
        <v>OK</v>
      </c>
      <c r="GH54" s="377" t="s">
        <v>361</v>
      </c>
      <c r="GI54" s="230"/>
      <c r="GJ54" s="183" t="str">
        <f t="shared" si="218"/>
        <v/>
      </c>
      <c r="GK54" s="203" t="str">
        <f t="shared" si="82"/>
        <v>OK</v>
      </c>
      <c r="GL54" s="377" t="s">
        <v>361</v>
      </c>
      <c r="GM54" s="230"/>
      <c r="GN54" s="183" t="str">
        <f t="shared" si="219"/>
        <v/>
      </c>
      <c r="GO54" s="203" t="str">
        <f t="shared" si="84"/>
        <v>OK</v>
      </c>
      <c r="GP54" s="378" t="s">
        <v>361</v>
      </c>
      <c r="GQ54" s="230"/>
      <c r="GR54" s="183" t="str">
        <f t="shared" si="220"/>
        <v/>
      </c>
      <c r="GS54" s="203" t="str">
        <f t="shared" si="86"/>
        <v>OK</v>
      </c>
      <c r="GT54" s="202"/>
      <c r="GU54" s="202"/>
      <c r="GV54" s="201"/>
      <c r="GW54" s="201"/>
      <c r="GX54" s="201"/>
    </row>
    <row r="55" spans="1:206">
      <c r="A55" s="200" t="s">
        <v>59</v>
      </c>
      <c r="B55" s="225">
        <f t="shared" ref="B55:B81" si="221">ROW()-7</f>
        <v>48</v>
      </c>
      <c r="C55" s="229"/>
      <c r="D55" s="229"/>
      <c r="E55" s="228"/>
      <c r="F55" s="228"/>
      <c r="G55" s="222" t="s">
        <v>359</v>
      </c>
      <c r="H55" s="220"/>
      <c r="I55" s="209"/>
      <c r="J55" s="217" t="s">
        <v>326</v>
      </c>
      <c r="K55" s="219"/>
      <c r="L55" s="219"/>
      <c r="M55" s="218"/>
      <c r="N55" s="217"/>
      <c r="O55" s="216"/>
      <c r="P55" s="212"/>
      <c r="Q55" s="212"/>
      <c r="R55" s="215"/>
      <c r="S55" s="214"/>
      <c r="T55" s="212"/>
      <c r="U55" s="213"/>
      <c r="V55" s="212"/>
      <c r="W55" s="211" t="str">
        <f t="shared" si="131"/>
        <v>4</v>
      </c>
      <c r="X55" s="210" t="s">
        <v>360</v>
      </c>
      <c r="Y55" s="210">
        <v>1</v>
      </c>
      <c r="Z55" s="210">
        <v>180</v>
      </c>
      <c r="AA55" s="209" t="s">
        <v>55</v>
      </c>
      <c r="AB55" s="209" t="s">
        <v>306</v>
      </c>
      <c r="AC55" s="207"/>
      <c r="AD55" s="377" t="s">
        <v>359</v>
      </c>
      <c r="AE55" s="230"/>
      <c r="AF55" s="183" t="str">
        <f t="shared" si="178"/>
        <v/>
      </c>
      <c r="AG55" s="203" t="str">
        <f t="shared" si="175"/>
        <v>OK</v>
      </c>
      <c r="AH55" s="377" t="s">
        <v>359</v>
      </c>
      <c r="AI55" s="230"/>
      <c r="AJ55" s="183" t="str">
        <f t="shared" si="179"/>
        <v/>
      </c>
      <c r="AK55" s="203" t="str">
        <f t="shared" si="176"/>
        <v>OK</v>
      </c>
      <c r="AL55" s="377" t="s">
        <v>359</v>
      </c>
      <c r="AM55" s="230"/>
      <c r="AN55" s="183" t="str">
        <f t="shared" si="180"/>
        <v/>
      </c>
      <c r="AO55" s="203" t="str">
        <f t="shared" si="177"/>
        <v>OK</v>
      </c>
      <c r="AP55" s="377" t="s">
        <v>359</v>
      </c>
      <c r="AQ55" s="230"/>
      <c r="AR55" s="183" t="str">
        <f t="shared" si="181"/>
        <v/>
      </c>
      <c r="AS55" s="203" t="str">
        <f t="shared" si="8"/>
        <v>OK</v>
      </c>
      <c r="AT55" s="377" t="s">
        <v>359</v>
      </c>
      <c r="AU55" s="230"/>
      <c r="AV55" s="183" t="str">
        <f t="shared" si="182"/>
        <v/>
      </c>
      <c r="AW55" s="203" t="str">
        <f t="shared" si="10"/>
        <v>OK</v>
      </c>
      <c r="AX55" s="377" t="s">
        <v>359</v>
      </c>
      <c r="AY55" s="230"/>
      <c r="AZ55" s="183" t="str">
        <f t="shared" si="183"/>
        <v/>
      </c>
      <c r="BA55" s="203" t="str">
        <f t="shared" si="12"/>
        <v>OK</v>
      </c>
      <c r="BB55" s="377" t="s">
        <v>359</v>
      </c>
      <c r="BC55" s="230"/>
      <c r="BD55" s="183" t="str">
        <f t="shared" si="184"/>
        <v/>
      </c>
      <c r="BE55" s="203" t="str">
        <f t="shared" si="14"/>
        <v>OK</v>
      </c>
      <c r="BF55" s="377" t="s">
        <v>359</v>
      </c>
      <c r="BG55" s="230"/>
      <c r="BH55" s="183" t="str">
        <f t="shared" si="185"/>
        <v/>
      </c>
      <c r="BI55" s="203" t="str">
        <f t="shared" si="16"/>
        <v>OK</v>
      </c>
      <c r="BJ55" s="377" t="s">
        <v>359</v>
      </c>
      <c r="BK55" s="230"/>
      <c r="BL55" s="183" t="str">
        <f t="shared" si="186"/>
        <v/>
      </c>
      <c r="BM55" s="203" t="str">
        <f t="shared" si="18"/>
        <v>OK</v>
      </c>
      <c r="BN55" s="377" t="s">
        <v>359</v>
      </c>
      <c r="BO55" s="230"/>
      <c r="BP55" s="183" t="str">
        <f t="shared" si="187"/>
        <v/>
      </c>
      <c r="BQ55" s="203" t="str">
        <f t="shared" si="20"/>
        <v>OK</v>
      </c>
      <c r="BR55" s="377" t="s">
        <v>359</v>
      </c>
      <c r="BS55" s="230"/>
      <c r="BT55" s="183" t="str">
        <f t="shared" si="188"/>
        <v/>
      </c>
      <c r="BU55" s="203" t="str">
        <f t="shared" si="22"/>
        <v>OK</v>
      </c>
      <c r="BV55" s="377" t="s">
        <v>359</v>
      </c>
      <c r="BW55" s="230"/>
      <c r="BX55" s="183" t="str">
        <f t="shared" si="189"/>
        <v/>
      </c>
      <c r="BY55" s="203" t="str">
        <f t="shared" si="24"/>
        <v>OK</v>
      </c>
      <c r="BZ55" s="377" t="s">
        <v>359</v>
      </c>
      <c r="CA55" s="230"/>
      <c r="CB55" s="183" t="str">
        <f t="shared" si="190"/>
        <v/>
      </c>
      <c r="CC55" s="203" t="str">
        <f t="shared" si="26"/>
        <v>OK</v>
      </c>
      <c r="CD55" s="377" t="s">
        <v>359</v>
      </c>
      <c r="CE55" s="230"/>
      <c r="CF55" s="183" t="str">
        <f t="shared" si="191"/>
        <v/>
      </c>
      <c r="CG55" s="203" t="str">
        <f t="shared" si="28"/>
        <v>OK</v>
      </c>
      <c r="CH55" s="377" t="s">
        <v>359</v>
      </c>
      <c r="CI55" s="230"/>
      <c r="CJ55" s="183" t="str">
        <f t="shared" si="192"/>
        <v/>
      </c>
      <c r="CK55" s="203" t="str">
        <f t="shared" si="30"/>
        <v>OK</v>
      </c>
      <c r="CL55" s="377" t="s">
        <v>359</v>
      </c>
      <c r="CM55" s="230"/>
      <c r="CN55" s="183" t="str">
        <f t="shared" si="193"/>
        <v/>
      </c>
      <c r="CO55" s="203" t="str">
        <f t="shared" si="32"/>
        <v>OK</v>
      </c>
      <c r="CP55" s="377" t="s">
        <v>359</v>
      </c>
      <c r="CQ55" s="230"/>
      <c r="CR55" s="183" t="str">
        <f t="shared" si="194"/>
        <v/>
      </c>
      <c r="CS55" s="203" t="str">
        <f t="shared" si="34"/>
        <v>OK</v>
      </c>
      <c r="CT55" s="377" t="s">
        <v>359</v>
      </c>
      <c r="CU55" s="230"/>
      <c r="CV55" s="183" t="str">
        <f t="shared" si="195"/>
        <v/>
      </c>
      <c r="CW55" s="203" t="str">
        <f t="shared" si="36"/>
        <v>OK</v>
      </c>
      <c r="CX55" s="377" t="s">
        <v>359</v>
      </c>
      <c r="CY55" s="230"/>
      <c r="CZ55" s="183" t="str">
        <f t="shared" si="196"/>
        <v/>
      </c>
      <c r="DA55" s="203" t="str">
        <f t="shared" si="38"/>
        <v>OK</v>
      </c>
      <c r="DB55" s="377" t="s">
        <v>359</v>
      </c>
      <c r="DC55" s="230"/>
      <c r="DD55" s="183" t="str">
        <f t="shared" si="197"/>
        <v/>
      </c>
      <c r="DE55" s="203" t="str">
        <f t="shared" si="40"/>
        <v>OK</v>
      </c>
      <c r="DF55" s="377" t="s">
        <v>359</v>
      </c>
      <c r="DG55" s="230"/>
      <c r="DH55" s="183" t="str">
        <f t="shared" si="198"/>
        <v/>
      </c>
      <c r="DI55" s="203" t="str">
        <f t="shared" si="42"/>
        <v>OK</v>
      </c>
      <c r="DJ55" s="377" t="s">
        <v>359</v>
      </c>
      <c r="DK55" s="230"/>
      <c r="DL55" s="183" t="str">
        <f t="shared" si="199"/>
        <v/>
      </c>
      <c r="DM55" s="203" t="str">
        <f t="shared" si="44"/>
        <v>OK</v>
      </c>
      <c r="DN55" s="377" t="s">
        <v>359</v>
      </c>
      <c r="DO55" s="230"/>
      <c r="DP55" s="183" t="str">
        <f t="shared" si="200"/>
        <v/>
      </c>
      <c r="DQ55" s="203" t="str">
        <f t="shared" si="46"/>
        <v>OK</v>
      </c>
      <c r="DR55" s="377" t="s">
        <v>359</v>
      </c>
      <c r="DS55" s="230"/>
      <c r="DT55" s="183" t="str">
        <f t="shared" si="201"/>
        <v/>
      </c>
      <c r="DU55" s="203" t="str">
        <f t="shared" si="48"/>
        <v>OK</v>
      </c>
      <c r="DV55" s="377" t="s">
        <v>359</v>
      </c>
      <c r="DW55" s="230"/>
      <c r="DX55" s="183" t="str">
        <f t="shared" si="202"/>
        <v/>
      </c>
      <c r="DY55" s="203" t="str">
        <f t="shared" si="50"/>
        <v>OK</v>
      </c>
      <c r="DZ55" s="377" t="s">
        <v>359</v>
      </c>
      <c r="EA55" s="230"/>
      <c r="EB55" s="183" t="str">
        <f t="shared" si="203"/>
        <v/>
      </c>
      <c r="EC55" s="203" t="str">
        <f t="shared" si="52"/>
        <v>OK</v>
      </c>
      <c r="ED55" s="377" t="s">
        <v>359</v>
      </c>
      <c r="EE55" s="230"/>
      <c r="EF55" s="183" t="str">
        <f t="shared" si="204"/>
        <v/>
      </c>
      <c r="EG55" s="203" t="str">
        <f t="shared" si="54"/>
        <v>OK</v>
      </c>
      <c r="EH55" s="377" t="s">
        <v>359</v>
      </c>
      <c r="EI55" s="230"/>
      <c r="EJ55" s="183" t="str">
        <f t="shared" si="205"/>
        <v/>
      </c>
      <c r="EK55" s="203" t="str">
        <f t="shared" si="56"/>
        <v>OK</v>
      </c>
      <c r="EL55" s="377" t="s">
        <v>359</v>
      </c>
      <c r="EM55" s="230"/>
      <c r="EN55" s="183" t="str">
        <f t="shared" si="206"/>
        <v/>
      </c>
      <c r="EO55" s="203" t="str">
        <f t="shared" si="58"/>
        <v>OK</v>
      </c>
      <c r="EP55" s="377" t="s">
        <v>359</v>
      </c>
      <c r="EQ55" s="230"/>
      <c r="ER55" s="183" t="str">
        <f t="shared" si="207"/>
        <v/>
      </c>
      <c r="ES55" s="203" t="str">
        <f t="shared" si="60"/>
        <v>OK</v>
      </c>
      <c r="ET55" s="377" t="s">
        <v>359</v>
      </c>
      <c r="EU55" s="230"/>
      <c r="EV55" s="183" t="str">
        <f t="shared" si="208"/>
        <v/>
      </c>
      <c r="EW55" s="203" t="str">
        <f t="shared" si="62"/>
        <v>OK</v>
      </c>
      <c r="EX55" s="377" t="s">
        <v>359</v>
      </c>
      <c r="EY55" s="230"/>
      <c r="EZ55" s="183" t="str">
        <f t="shared" si="209"/>
        <v/>
      </c>
      <c r="FA55" s="203" t="str">
        <f t="shared" si="64"/>
        <v>OK</v>
      </c>
      <c r="FB55" s="377" t="s">
        <v>359</v>
      </c>
      <c r="FC55" s="230"/>
      <c r="FD55" s="183" t="str">
        <f t="shared" si="210"/>
        <v/>
      </c>
      <c r="FE55" s="203" t="str">
        <f t="shared" si="66"/>
        <v>OK</v>
      </c>
      <c r="FF55" s="377" t="s">
        <v>359</v>
      </c>
      <c r="FG55" s="230"/>
      <c r="FH55" s="183" t="str">
        <f t="shared" si="211"/>
        <v/>
      </c>
      <c r="FI55" s="203" t="str">
        <f t="shared" si="68"/>
        <v>OK</v>
      </c>
      <c r="FJ55" s="377" t="s">
        <v>359</v>
      </c>
      <c r="FK55" s="230"/>
      <c r="FL55" s="183" t="str">
        <f t="shared" si="212"/>
        <v/>
      </c>
      <c r="FM55" s="203" t="str">
        <f t="shared" si="70"/>
        <v>OK</v>
      </c>
      <c r="FN55" s="377" t="s">
        <v>359</v>
      </c>
      <c r="FO55" s="230"/>
      <c r="FP55" s="183" t="str">
        <f t="shared" si="213"/>
        <v/>
      </c>
      <c r="FQ55" s="203" t="str">
        <f t="shared" si="72"/>
        <v>OK</v>
      </c>
      <c r="FR55" s="377" t="s">
        <v>359</v>
      </c>
      <c r="FS55" s="230"/>
      <c r="FT55" s="183" t="str">
        <f t="shared" si="214"/>
        <v/>
      </c>
      <c r="FU55" s="203" t="str">
        <f t="shared" si="74"/>
        <v>OK</v>
      </c>
      <c r="FV55" s="377" t="s">
        <v>359</v>
      </c>
      <c r="FW55" s="230"/>
      <c r="FX55" s="183" t="str">
        <f t="shared" si="215"/>
        <v/>
      </c>
      <c r="FY55" s="203" t="str">
        <f t="shared" si="76"/>
        <v>OK</v>
      </c>
      <c r="FZ55" s="377" t="s">
        <v>359</v>
      </c>
      <c r="GA55" s="230"/>
      <c r="GB55" s="183" t="str">
        <f t="shared" si="216"/>
        <v/>
      </c>
      <c r="GC55" s="203" t="str">
        <f t="shared" si="78"/>
        <v>OK</v>
      </c>
      <c r="GD55" s="377" t="s">
        <v>359</v>
      </c>
      <c r="GE55" s="230"/>
      <c r="GF55" s="183" t="str">
        <f t="shared" si="217"/>
        <v/>
      </c>
      <c r="GG55" s="203" t="str">
        <f t="shared" si="80"/>
        <v>OK</v>
      </c>
      <c r="GH55" s="377" t="s">
        <v>359</v>
      </c>
      <c r="GI55" s="230"/>
      <c r="GJ55" s="183" t="str">
        <f t="shared" si="218"/>
        <v/>
      </c>
      <c r="GK55" s="203" t="str">
        <f t="shared" si="82"/>
        <v>OK</v>
      </c>
      <c r="GL55" s="377" t="s">
        <v>359</v>
      </c>
      <c r="GM55" s="230"/>
      <c r="GN55" s="183" t="str">
        <f t="shared" si="219"/>
        <v/>
      </c>
      <c r="GO55" s="203" t="str">
        <f t="shared" si="84"/>
        <v>OK</v>
      </c>
      <c r="GP55" s="378" t="s">
        <v>359</v>
      </c>
      <c r="GQ55" s="230"/>
      <c r="GR55" s="183" t="str">
        <f t="shared" si="220"/>
        <v/>
      </c>
      <c r="GS55" s="203" t="str">
        <f t="shared" si="86"/>
        <v>OK</v>
      </c>
      <c r="GT55" s="202"/>
      <c r="GU55" s="202"/>
      <c r="GV55" s="201"/>
      <c r="GW55" s="201"/>
      <c r="GX55" s="201"/>
    </row>
    <row r="56" spans="1:206">
      <c r="A56" s="200" t="s">
        <v>336</v>
      </c>
      <c r="B56" s="225">
        <f t="shared" si="221"/>
        <v>49</v>
      </c>
      <c r="C56" s="229"/>
      <c r="D56" s="229"/>
      <c r="E56" s="228"/>
      <c r="F56" s="228"/>
      <c r="G56" s="222" t="s">
        <v>357</v>
      </c>
      <c r="H56" s="220"/>
      <c r="I56" s="209"/>
      <c r="J56" s="217" t="s">
        <v>326</v>
      </c>
      <c r="K56" s="219"/>
      <c r="L56" s="219"/>
      <c r="M56" s="218"/>
      <c r="N56" s="217"/>
      <c r="O56" s="216"/>
      <c r="P56" s="212"/>
      <c r="Q56" s="212"/>
      <c r="R56" s="215"/>
      <c r="S56" s="214"/>
      <c r="T56" s="212"/>
      <c r="U56" s="213"/>
      <c r="V56" s="212"/>
      <c r="W56" s="211" t="str">
        <f t="shared" ref="W56:W81" si="222">IF(C56&lt;&gt;"","0",IF(D56&lt;&gt;"","1",IF(E56&lt;&gt;"","2",IF(F56&lt;&gt;"","3",IF(G56&lt;&gt;"","4",IF(H56&lt;&gt;"","5"))))))</f>
        <v>4</v>
      </c>
      <c r="X56" s="210" t="s">
        <v>358</v>
      </c>
      <c r="Y56" s="210">
        <v>1</v>
      </c>
      <c r="Z56" s="210">
        <v>180</v>
      </c>
      <c r="AA56" s="209" t="s">
        <v>55</v>
      </c>
      <c r="AB56" s="209" t="s">
        <v>306</v>
      </c>
      <c r="AC56" s="207"/>
      <c r="AD56" s="377" t="s">
        <v>357</v>
      </c>
      <c r="AE56" s="230"/>
      <c r="AF56" s="183" t="str">
        <f t="shared" si="178"/>
        <v/>
      </c>
      <c r="AG56" s="203" t="str">
        <f t="shared" si="175"/>
        <v>OK</v>
      </c>
      <c r="AH56" s="377" t="s">
        <v>357</v>
      </c>
      <c r="AI56" s="230"/>
      <c r="AJ56" s="183" t="str">
        <f t="shared" si="179"/>
        <v/>
      </c>
      <c r="AK56" s="203" t="str">
        <f t="shared" si="176"/>
        <v>OK</v>
      </c>
      <c r="AL56" s="377" t="s">
        <v>357</v>
      </c>
      <c r="AM56" s="230"/>
      <c r="AN56" s="183" t="str">
        <f t="shared" si="180"/>
        <v/>
      </c>
      <c r="AO56" s="203" t="str">
        <f t="shared" si="177"/>
        <v>OK</v>
      </c>
      <c r="AP56" s="377" t="s">
        <v>357</v>
      </c>
      <c r="AQ56" s="230"/>
      <c r="AR56" s="183" t="str">
        <f t="shared" si="181"/>
        <v/>
      </c>
      <c r="AS56" s="203" t="str">
        <f t="shared" si="8"/>
        <v>OK</v>
      </c>
      <c r="AT56" s="377" t="s">
        <v>357</v>
      </c>
      <c r="AU56" s="230"/>
      <c r="AV56" s="183" t="str">
        <f t="shared" si="182"/>
        <v/>
      </c>
      <c r="AW56" s="203" t="str">
        <f t="shared" si="10"/>
        <v>OK</v>
      </c>
      <c r="AX56" s="377" t="s">
        <v>357</v>
      </c>
      <c r="AY56" s="230"/>
      <c r="AZ56" s="183" t="str">
        <f t="shared" si="183"/>
        <v/>
      </c>
      <c r="BA56" s="203" t="str">
        <f t="shared" si="12"/>
        <v>OK</v>
      </c>
      <c r="BB56" s="377" t="s">
        <v>357</v>
      </c>
      <c r="BC56" s="230"/>
      <c r="BD56" s="183" t="str">
        <f t="shared" si="184"/>
        <v/>
      </c>
      <c r="BE56" s="203" t="str">
        <f t="shared" si="14"/>
        <v>OK</v>
      </c>
      <c r="BF56" s="377" t="s">
        <v>357</v>
      </c>
      <c r="BG56" s="230"/>
      <c r="BH56" s="183" t="str">
        <f t="shared" si="185"/>
        <v/>
      </c>
      <c r="BI56" s="203" t="str">
        <f t="shared" si="16"/>
        <v>OK</v>
      </c>
      <c r="BJ56" s="377" t="s">
        <v>357</v>
      </c>
      <c r="BK56" s="230"/>
      <c r="BL56" s="183" t="str">
        <f t="shared" si="186"/>
        <v/>
      </c>
      <c r="BM56" s="203" t="str">
        <f t="shared" si="18"/>
        <v>OK</v>
      </c>
      <c r="BN56" s="377" t="s">
        <v>357</v>
      </c>
      <c r="BO56" s="230"/>
      <c r="BP56" s="183" t="str">
        <f t="shared" si="187"/>
        <v/>
      </c>
      <c r="BQ56" s="203" t="str">
        <f t="shared" si="20"/>
        <v>OK</v>
      </c>
      <c r="BR56" s="377" t="s">
        <v>357</v>
      </c>
      <c r="BS56" s="230"/>
      <c r="BT56" s="183" t="str">
        <f t="shared" si="188"/>
        <v/>
      </c>
      <c r="BU56" s="203" t="str">
        <f t="shared" si="22"/>
        <v>OK</v>
      </c>
      <c r="BV56" s="377" t="s">
        <v>357</v>
      </c>
      <c r="BW56" s="230"/>
      <c r="BX56" s="183" t="str">
        <f t="shared" si="189"/>
        <v/>
      </c>
      <c r="BY56" s="203" t="str">
        <f t="shared" si="24"/>
        <v>OK</v>
      </c>
      <c r="BZ56" s="377" t="s">
        <v>357</v>
      </c>
      <c r="CA56" s="230"/>
      <c r="CB56" s="183" t="str">
        <f t="shared" si="190"/>
        <v/>
      </c>
      <c r="CC56" s="203" t="str">
        <f t="shared" si="26"/>
        <v>OK</v>
      </c>
      <c r="CD56" s="377" t="s">
        <v>357</v>
      </c>
      <c r="CE56" s="230"/>
      <c r="CF56" s="183" t="str">
        <f t="shared" si="191"/>
        <v/>
      </c>
      <c r="CG56" s="203" t="str">
        <f t="shared" si="28"/>
        <v>OK</v>
      </c>
      <c r="CH56" s="377" t="s">
        <v>357</v>
      </c>
      <c r="CI56" s="230"/>
      <c r="CJ56" s="183" t="str">
        <f t="shared" si="192"/>
        <v/>
      </c>
      <c r="CK56" s="203" t="str">
        <f t="shared" si="30"/>
        <v>OK</v>
      </c>
      <c r="CL56" s="377" t="s">
        <v>357</v>
      </c>
      <c r="CM56" s="230"/>
      <c r="CN56" s="183" t="str">
        <f t="shared" si="193"/>
        <v/>
      </c>
      <c r="CO56" s="203" t="str">
        <f t="shared" si="32"/>
        <v>OK</v>
      </c>
      <c r="CP56" s="377" t="s">
        <v>357</v>
      </c>
      <c r="CQ56" s="230"/>
      <c r="CR56" s="183" t="str">
        <f t="shared" si="194"/>
        <v/>
      </c>
      <c r="CS56" s="203" t="str">
        <f t="shared" si="34"/>
        <v>OK</v>
      </c>
      <c r="CT56" s="377" t="s">
        <v>357</v>
      </c>
      <c r="CU56" s="230"/>
      <c r="CV56" s="183" t="str">
        <f t="shared" si="195"/>
        <v/>
      </c>
      <c r="CW56" s="203" t="str">
        <f t="shared" si="36"/>
        <v>OK</v>
      </c>
      <c r="CX56" s="377" t="s">
        <v>357</v>
      </c>
      <c r="CY56" s="230"/>
      <c r="CZ56" s="183" t="str">
        <f t="shared" si="196"/>
        <v/>
      </c>
      <c r="DA56" s="203" t="str">
        <f t="shared" si="38"/>
        <v>OK</v>
      </c>
      <c r="DB56" s="377" t="s">
        <v>357</v>
      </c>
      <c r="DC56" s="230"/>
      <c r="DD56" s="183" t="str">
        <f t="shared" si="197"/>
        <v/>
      </c>
      <c r="DE56" s="203" t="str">
        <f t="shared" si="40"/>
        <v>OK</v>
      </c>
      <c r="DF56" s="377" t="s">
        <v>357</v>
      </c>
      <c r="DG56" s="230"/>
      <c r="DH56" s="183" t="str">
        <f t="shared" si="198"/>
        <v/>
      </c>
      <c r="DI56" s="203" t="str">
        <f t="shared" si="42"/>
        <v>OK</v>
      </c>
      <c r="DJ56" s="377" t="s">
        <v>357</v>
      </c>
      <c r="DK56" s="230"/>
      <c r="DL56" s="183" t="str">
        <f t="shared" si="199"/>
        <v/>
      </c>
      <c r="DM56" s="203" t="str">
        <f t="shared" si="44"/>
        <v>OK</v>
      </c>
      <c r="DN56" s="377" t="s">
        <v>357</v>
      </c>
      <c r="DO56" s="230"/>
      <c r="DP56" s="183" t="str">
        <f t="shared" si="200"/>
        <v/>
      </c>
      <c r="DQ56" s="203" t="str">
        <f t="shared" si="46"/>
        <v>OK</v>
      </c>
      <c r="DR56" s="377" t="s">
        <v>357</v>
      </c>
      <c r="DS56" s="230"/>
      <c r="DT56" s="183" t="str">
        <f t="shared" si="201"/>
        <v/>
      </c>
      <c r="DU56" s="203" t="str">
        <f t="shared" si="48"/>
        <v>OK</v>
      </c>
      <c r="DV56" s="377" t="s">
        <v>357</v>
      </c>
      <c r="DW56" s="230"/>
      <c r="DX56" s="183" t="str">
        <f t="shared" si="202"/>
        <v/>
      </c>
      <c r="DY56" s="203" t="str">
        <f t="shared" si="50"/>
        <v>OK</v>
      </c>
      <c r="DZ56" s="377" t="s">
        <v>357</v>
      </c>
      <c r="EA56" s="230"/>
      <c r="EB56" s="183" t="str">
        <f t="shared" si="203"/>
        <v/>
      </c>
      <c r="EC56" s="203" t="str">
        <f t="shared" si="52"/>
        <v>OK</v>
      </c>
      <c r="ED56" s="377" t="s">
        <v>357</v>
      </c>
      <c r="EE56" s="230"/>
      <c r="EF56" s="183" t="str">
        <f t="shared" si="204"/>
        <v/>
      </c>
      <c r="EG56" s="203" t="str">
        <f t="shared" si="54"/>
        <v>OK</v>
      </c>
      <c r="EH56" s="377" t="s">
        <v>357</v>
      </c>
      <c r="EI56" s="230"/>
      <c r="EJ56" s="183" t="str">
        <f t="shared" si="205"/>
        <v/>
      </c>
      <c r="EK56" s="203" t="str">
        <f t="shared" si="56"/>
        <v>OK</v>
      </c>
      <c r="EL56" s="377" t="s">
        <v>357</v>
      </c>
      <c r="EM56" s="230"/>
      <c r="EN56" s="183" t="str">
        <f t="shared" si="206"/>
        <v/>
      </c>
      <c r="EO56" s="203" t="str">
        <f t="shared" si="58"/>
        <v>OK</v>
      </c>
      <c r="EP56" s="377" t="s">
        <v>357</v>
      </c>
      <c r="EQ56" s="230"/>
      <c r="ER56" s="183" t="str">
        <f t="shared" si="207"/>
        <v/>
      </c>
      <c r="ES56" s="203" t="str">
        <f t="shared" si="60"/>
        <v>OK</v>
      </c>
      <c r="ET56" s="377" t="s">
        <v>357</v>
      </c>
      <c r="EU56" s="230"/>
      <c r="EV56" s="183" t="str">
        <f t="shared" si="208"/>
        <v/>
      </c>
      <c r="EW56" s="203" t="str">
        <f t="shared" si="62"/>
        <v>OK</v>
      </c>
      <c r="EX56" s="377" t="s">
        <v>357</v>
      </c>
      <c r="EY56" s="230"/>
      <c r="EZ56" s="183" t="str">
        <f t="shared" si="209"/>
        <v/>
      </c>
      <c r="FA56" s="203" t="str">
        <f t="shared" si="64"/>
        <v>OK</v>
      </c>
      <c r="FB56" s="377" t="s">
        <v>357</v>
      </c>
      <c r="FC56" s="230"/>
      <c r="FD56" s="183" t="str">
        <f t="shared" si="210"/>
        <v/>
      </c>
      <c r="FE56" s="203" t="str">
        <f t="shared" si="66"/>
        <v>OK</v>
      </c>
      <c r="FF56" s="377" t="s">
        <v>357</v>
      </c>
      <c r="FG56" s="230"/>
      <c r="FH56" s="183" t="str">
        <f t="shared" si="211"/>
        <v/>
      </c>
      <c r="FI56" s="203" t="str">
        <f t="shared" si="68"/>
        <v>OK</v>
      </c>
      <c r="FJ56" s="377" t="s">
        <v>357</v>
      </c>
      <c r="FK56" s="230"/>
      <c r="FL56" s="183" t="str">
        <f t="shared" si="212"/>
        <v/>
      </c>
      <c r="FM56" s="203" t="str">
        <f t="shared" si="70"/>
        <v>OK</v>
      </c>
      <c r="FN56" s="377" t="s">
        <v>357</v>
      </c>
      <c r="FO56" s="230"/>
      <c r="FP56" s="183" t="str">
        <f t="shared" si="213"/>
        <v/>
      </c>
      <c r="FQ56" s="203" t="str">
        <f t="shared" si="72"/>
        <v>OK</v>
      </c>
      <c r="FR56" s="377" t="s">
        <v>357</v>
      </c>
      <c r="FS56" s="230"/>
      <c r="FT56" s="183" t="str">
        <f t="shared" si="214"/>
        <v/>
      </c>
      <c r="FU56" s="203" t="str">
        <f t="shared" si="74"/>
        <v>OK</v>
      </c>
      <c r="FV56" s="377" t="s">
        <v>357</v>
      </c>
      <c r="FW56" s="230"/>
      <c r="FX56" s="183" t="str">
        <f t="shared" si="215"/>
        <v/>
      </c>
      <c r="FY56" s="203" t="str">
        <f t="shared" si="76"/>
        <v>OK</v>
      </c>
      <c r="FZ56" s="377" t="s">
        <v>357</v>
      </c>
      <c r="GA56" s="230"/>
      <c r="GB56" s="183" t="str">
        <f t="shared" si="216"/>
        <v/>
      </c>
      <c r="GC56" s="203" t="str">
        <f t="shared" si="78"/>
        <v>OK</v>
      </c>
      <c r="GD56" s="377" t="s">
        <v>357</v>
      </c>
      <c r="GE56" s="230"/>
      <c r="GF56" s="183" t="str">
        <f t="shared" si="217"/>
        <v/>
      </c>
      <c r="GG56" s="203" t="str">
        <f t="shared" si="80"/>
        <v>OK</v>
      </c>
      <c r="GH56" s="377" t="s">
        <v>357</v>
      </c>
      <c r="GI56" s="230"/>
      <c r="GJ56" s="183" t="str">
        <f t="shared" si="218"/>
        <v/>
      </c>
      <c r="GK56" s="203" t="str">
        <f t="shared" si="82"/>
        <v>OK</v>
      </c>
      <c r="GL56" s="377" t="s">
        <v>357</v>
      </c>
      <c r="GM56" s="230"/>
      <c r="GN56" s="183" t="str">
        <f t="shared" si="219"/>
        <v/>
      </c>
      <c r="GO56" s="203" t="str">
        <f t="shared" si="84"/>
        <v>OK</v>
      </c>
      <c r="GP56" s="378" t="s">
        <v>357</v>
      </c>
      <c r="GQ56" s="230"/>
      <c r="GR56" s="183" t="str">
        <f t="shared" si="220"/>
        <v/>
      </c>
      <c r="GS56" s="203" t="str">
        <f t="shared" si="86"/>
        <v>OK</v>
      </c>
      <c r="GT56" s="202"/>
      <c r="GU56" s="202"/>
      <c r="GV56" s="201"/>
      <c r="GW56" s="201"/>
      <c r="GX56" s="201"/>
    </row>
    <row r="57" spans="1:206">
      <c r="A57" s="200" t="s">
        <v>336</v>
      </c>
      <c r="B57" s="225">
        <f t="shared" si="221"/>
        <v>50</v>
      </c>
      <c r="C57" s="229"/>
      <c r="D57" s="229"/>
      <c r="E57" s="228"/>
      <c r="F57" s="228"/>
      <c r="G57" s="222" t="s">
        <v>355</v>
      </c>
      <c r="H57" s="220"/>
      <c r="I57" s="209"/>
      <c r="J57" s="217" t="s">
        <v>326</v>
      </c>
      <c r="K57" s="219"/>
      <c r="L57" s="219"/>
      <c r="M57" s="218"/>
      <c r="N57" s="217"/>
      <c r="O57" s="216"/>
      <c r="P57" s="212"/>
      <c r="Q57" s="212"/>
      <c r="R57" s="215"/>
      <c r="S57" s="214"/>
      <c r="T57" s="212"/>
      <c r="U57" s="213"/>
      <c r="V57" s="212"/>
      <c r="W57" s="211" t="str">
        <f t="shared" si="222"/>
        <v>4</v>
      </c>
      <c r="X57" s="210" t="s">
        <v>356</v>
      </c>
      <c r="Y57" s="210">
        <v>1</v>
      </c>
      <c r="Z57" s="210">
        <v>180</v>
      </c>
      <c r="AA57" s="209" t="s">
        <v>55</v>
      </c>
      <c r="AB57" s="209" t="s">
        <v>306</v>
      </c>
      <c r="AC57" s="207"/>
      <c r="AD57" s="377" t="s">
        <v>355</v>
      </c>
      <c r="AE57" s="230"/>
      <c r="AF57" s="183" t="str">
        <f t="shared" si="178"/>
        <v/>
      </c>
      <c r="AG57" s="203" t="str">
        <f t="shared" si="175"/>
        <v>OK</v>
      </c>
      <c r="AH57" s="377" t="s">
        <v>355</v>
      </c>
      <c r="AI57" s="230"/>
      <c r="AJ57" s="183" t="str">
        <f t="shared" si="179"/>
        <v/>
      </c>
      <c r="AK57" s="203" t="str">
        <f t="shared" si="176"/>
        <v>OK</v>
      </c>
      <c r="AL57" s="377" t="s">
        <v>355</v>
      </c>
      <c r="AM57" s="230"/>
      <c r="AN57" s="183" t="str">
        <f t="shared" si="180"/>
        <v/>
      </c>
      <c r="AO57" s="203" t="str">
        <f t="shared" si="177"/>
        <v>OK</v>
      </c>
      <c r="AP57" s="377" t="s">
        <v>355</v>
      </c>
      <c r="AQ57" s="230"/>
      <c r="AR57" s="183" t="str">
        <f t="shared" si="181"/>
        <v/>
      </c>
      <c r="AS57" s="203" t="str">
        <f t="shared" si="8"/>
        <v>OK</v>
      </c>
      <c r="AT57" s="377" t="s">
        <v>355</v>
      </c>
      <c r="AU57" s="230"/>
      <c r="AV57" s="183" t="str">
        <f t="shared" si="182"/>
        <v/>
      </c>
      <c r="AW57" s="203" t="str">
        <f t="shared" si="10"/>
        <v>OK</v>
      </c>
      <c r="AX57" s="377" t="s">
        <v>355</v>
      </c>
      <c r="AY57" s="230"/>
      <c r="AZ57" s="183" t="str">
        <f t="shared" si="183"/>
        <v/>
      </c>
      <c r="BA57" s="203" t="str">
        <f t="shared" si="12"/>
        <v>OK</v>
      </c>
      <c r="BB57" s="377" t="s">
        <v>355</v>
      </c>
      <c r="BC57" s="230"/>
      <c r="BD57" s="183" t="str">
        <f t="shared" si="184"/>
        <v/>
      </c>
      <c r="BE57" s="203" t="str">
        <f t="shared" si="14"/>
        <v>OK</v>
      </c>
      <c r="BF57" s="377" t="s">
        <v>355</v>
      </c>
      <c r="BG57" s="230"/>
      <c r="BH57" s="183" t="str">
        <f t="shared" si="185"/>
        <v/>
      </c>
      <c r="BI57" s="203" t="str">
        <f t="shared" si="16"/>
        <v>OK</v>
      </c>
      <c r="BJ57" s="377" t="s">
        <v>355</v>
      </c>
      <c r="BK57" s="230"/>
      <c r="BL57" s="183" t="str">
        <f t="shared" si="186"/>
        <v/>
      </c>
      <c r="BM57" s="203" t="str">
        <f t="shared" si="18"/>
        <v>OK</v>
      </c>
      <c r="BN57" s="377" t="s">
        <v>355</v>
      </c>
      <c r="BO57" s="230"/>
      <c r="BP57" s="183" t="str">
        <f t="shared" si="187"/>
        <v/>
      </c>
      <c r="BQ57" s="203" t="str">
        <f t="shared" si="20"/>
        <v>OK</v>
      </c>
      <c r="BR57" s="377" t="s">
        <v>355</v>
      </c>
      <c r="BS57" s="230"/>
      <c r="BT57" s="183" t="str">
        <f t="shared" si="188"/>
        <v/>
      </c>
      <c r="BU57" s="203" t="str">
        <f t="shared" si="22"/>
        <v>OK</v>
      </c>
      <c r="BV57" s="377" t="s">
        <v>355</v>
      </c>
      <c r="BW57" s="230"/>
      <c r="BX57" s="183" t="str">
        <f t="shared" si="189"/>
        <v/>
      </c>
      <c r="BY57" s="203" t="str">
        <f t="shared" si="24"/>
        <v>OK</v>
      </c>
      <c r="BZ57" s="377" t="s">
        <v>355</v>
      </c>
      <c r="CA57" s="230"/>
      <c r="CB57" s="183" t="str">
        <f t="shared" si="190"/>
        <v/>
      </c>
      <c r="CC57" s="203" t="str">
        <f t="shared" si="26"/>
        <v>OK</v>
      </c>
      <c r="CD57" s="377" t="s">
        <v>355</v>
      </c>
      <c r="CE57" s="230"/>
      <c r="CF57" s="183" t="str">
        <f t="shared" si="191"/>
        <v/>
      </c>
      <c r="CG57" s="203" t="str">
        <f t="shared" si="28"/>
        <v>OK</v>
      </c>
      <c r="CH57" s="377" t="s">
        <v>355</v>
      </c>
      <c r="CI57" s="230"/>
      <c r="CJ57" s="183" t="str">
        <f t="shared" si="192"/>
        <v/>
      </c>
      <c r="CK57" s="203" t="str">
        <f t="shared" si="30"/>
        <v>OK</v>
      </c>
      <c r="CL57" s="377" t="s">
        <v>355</v>
      </c>
      <c r="CM57" s="230"/>
      <c r="CN57" s="183" t="str">
        <f t="shared" si="193"/>
        <v/>
      </c>
      <c r="CO57" s="203" t="str">
        <f t="shared" si="32"/>
        <v>OK</v>
      </c>
      <c r="CP57" s="377" t="s">
        <v>355</v>
      </c>
      <c r="CQ57" s="230"/>
      <c r="CR57" s="183" t="str">
        <f t="shared" si="194"/>
        <v/>
      </c>
      <c r="CS57" s="203" t="str">
        <f t="shared" si="34"/>
        <v>OK</v>
      </c>
      <c r="CT57" s="377" t="s">
        <v>355</v>
      </c>
      <c r="CU57" s="230"/>
      <c r="CV57" s="183" t="str">
        <f t="shared" si="195"/>
        <v/>
      </c>
      <c r="CW57" s="203" t="str">
        <f t="shared" si="36"/>
        <v>OK</v>
      </c>
      <c r="CX57" s="377" t="s">
        <v>355</v>
      </c>
      <c r="CY57" s="230"/>
      <c r="CZ57" s="183" t="str">
        <f t="shared" si="196"/>
        <v/>
      </c>
      <c r="DA57" s="203" t="str">
        <f t="shared" si="38"/>
        <v>OK</v>
      </c>
      <c r="DB57" s="377" t="s">
        <v>355</v>
      </c>
      <c r="DC57" s="230"/>
      <c r="DD57" s="183" t="str">
        <f t="shared" si="197"/>
        <v/>
      </c>
      <c r="DE57" s="203" t="str">
        <f t="shared" si="40"/>
        <v>OK</v>
      </c>
      <c r="DF57" s="377" t="s">
        <v>355</v>
      </c>
      <c r="DG57" s="230"/>
      <c r="DH57" s="183" t="str">
        <f t="shared" si="198"/>
        <v/>
      </c>
      <c r="DI57" s="203" t="str">
        <f t="shared" si="42"/>
        <v>OK</v>
      </c>
      <c r="DJ57" s="377" t="s">
        <v>355</v>
      </c>
      <c r="DK57" s="230"/>
      <c r="DL57" s="183" t="str">
        <f t="shared" si="199"/>
        <v/>
      </c>
      <c r="DM57" s="203" t="str">
        <f t="shared" si="44"/>
        <v>OK</v>
      </c>
      <c r="DN57" s="377" t="s">
        <v>355</v>
      </c>
      <c r="DO57" s="230"/>
      <c r="DP57" s="183" t="str">
        <f t="shared" si="200"/>
        <v/>
      </c>
      <c r="DQ57" s="203" t="str">
        <f t="shared" si="46"/>
        <v>OK</v>
      </c>
      <c r="DR57" s="377" t="s">
        <v>355</v>
      </c>
      <c r="DS57" s="230"/>
      <c r="DT57" s="183" t="str">
        <f t="shared" si="201"/>
        <v/>
      </c>
      <c r="DU57" s="203" t="str">
        <f t="shared" si="48"/>
        <v>OK</v>
      </c>
      <c r="DV57" s="377" t="s">
        <v>355</v>
      </c>
      <c r="DW57" s="230"/>
      <c r="DX57" s="183" t="str">
        <f t="shared" si="202"/>
        <v/>
      </c>
      <c r="DY57" s="203" t="str">
        <f t="shared" si="50"/>
        <v>OK</v>
      </c>
      <c r="DZ57" s="377" t="s">
        <v>355</v>
      </c>
      <c r="EA57" s="230"/>
      <c r="EB57" s="183" t="str">
        <f t="shared" si="203"/>
        <v/>
      </c>
      <c r="EC57" s="203" t="str">
        <f t="shared" si="52"/>
        <v>OK</v>
      </c>
      <c r="ED57" s="377" t="s">
        <v>355</v>
      </c>
      <c r="EE57" s="230"/>
      <c r="EF57" s="183" t="str">
        <f t="shared" si="204"/>
        <v/>
      </c>
      <c r="EG57" s="203" t="str">
        <f t="shared" si="54"/>
        <v>OK</v>
      </c>
      <c r="EH57" s="377" t="s">
        <v>355</v>
      </c>
      <c r="EI57" s="230"/>
      <c r="EJ57" s="183" t="str">
        <f t="shared" si="205"/>
        <v/>
      </c>
      <c r="EK57" s="203" t="str">
        <f t="shared" si="56"/>
        <v>OK</v>
      </c>
      <c r="EL57" s="377" t="s">
        <v>355</v>
      </c>
      <c r="EM57" s="230"/>
      <c r="EN57" s="183" t="str">
        <f t="shared" si="206"/>
        <v/>
      </c>
      <c r="EO57" s="203" t="str">
        <f t="shared" si="58"/>
        <v>OK</v>
      </c>
      <c r="EP57" s="377" t="s">
        <v>355</v>
      </c>
      <c r="EQ57" s="230"/>
      <c r="ER57" s="183" t="str">
        <f t="shared" si="207"/>
        <v/>
      </c>
      <c r="ES57" s="203" t="str">
        <f t="shared" si="60"/>
        <v>OK</v>
      </c>
      <c r="ET57" s="377" t="s">
        <v>355</v>
      </c>
      <c r="EU57" s="230"/>
      <c r="EV57" s="183" t="str">
        <f t="shared" si="208"/>
        <v/>
      </c>
      <c r="EW57" s="203" t="str">
        <f t="shared" si="62"/>
        <v>OK</v>
      </c>
      <c r="EX57" s="377" t="s">
        <v>355</v>
      </c>
      <c r="EY57" s="230"/>
      <c r="EZ57" s="183" t="str">
        <f t="shared" si="209"/>
        <v/>
      </c>
      <c r="FA57" s="203" t="str">
        <f t="shared" si="64"/>
        <v>OK</v>
      </c>
      <c r="FB57" s="377" t="s">
        <v>355</v>
      </c>
      <c r="FC57" s="230"/>
      <c r="FD57" s="183" t="str">
        <f t="shared" si="210"/>
        <v/>
      </c>
      <c r="FE57" s="203" t="str">
        <f t="shared" si="66"/>
        <v>OK</v>
      </c>
      <c r="FF57" s="377" t="s">
        <v>355</v>
      </c>
      <c r="FG57" s="230"/>
      <c r="FH57" s="183" t="str">
        <f t="shared" si="211"/>
        <v/>
      </c>
      <c r="FI57" s="203" t="str">
        <f t="shared" si="68"/>
        <v>OK</v>
      </c>
      <c r="FJ57" s="377" t="s">
        <v>355</v>
      </c>
      <c r="FK57" s="230"/>
      <c r="FL57" s="183" t="str">
        <f t="shared" si="212"/>
        <v/>
      </c>
      <c r="FM57" s="203" t="str">
        <f t="shared" si="70"/>
        <v>OK</v>
      </c>
      <c r="FN57" s="377" t="s">
        <v>355</v>
      </c>
      <c r="FO57" s="230"/>
      <c r="FP57" s="183" t="str">
        <f t="shared" si="213"/>
        <v/>
      </c>
      <c r="FQ57" s="203" t="str">
        <f t="shared" si="72"/>
        <v>OK</v>
      </c>
      <c r="FR57" s="377" t="s">
        <v>355</v>
      </c>
      <c r="FS57" s="230"/>
      <c r="FT57" s="183" t="str">
        <f t="shared" si="214"/>
        <v/>
      </c>
      <c r="FU57" s="203" t="str">
        <f t="shared" si="74"/>
        <v>OK</v>
      </c>
      <c r="FV57" s="377" t="s">
        <v>355</v>
      </c>
      <c r="FW57" s="230"/>
      <c r="FX57" s="183" t="str">
        <f t="shared" si="215"/>
        <v/>
      </c>
      <c r="FY57" s="203" t="str">
        <f t="shared" si="76"/>
        <v>OK</v>
      </c>
      <c r="FZ57" s="377" t="s">
        <v>355</v>
      </c>
      <c r="GA57" s="230"/>
      <c r="GB57" s="183" t="str">
        <f t="shared" si="216"/>
        <v/>
      </c>
      <c r="GC57" s="203" t="str">
        <f t="shared" si="78"/>
        <v>OK</v>
      </c>
      <c r="GD57" s="377" t="s">
        <v>355</v>
      </c>
      <c r="GE57" s="230"/>
      <c r="GF57" s="183" t="str">
        <f t="shared" si="217"/>
        <v/>
      </c>
      <c r="GG57" s="203" t="str">
        <f t="shared" si="80"/>
        <v>OK</v>
      </c>
      <c r="GH57" s="377" t="s">
        <v>355</v>
      </c>
      <c r="GI57" s="230"/>
      <c r="GJ57" s="183" t="str">
        <f t="shared" si="218"/>
        <v/>
      </c>
      <c r="GK57" s="203" t="str">
        <f t="shared" si="82"/>
        <v>OK</v>
      </c>
      <c r="GL57" s="377" t="s">
        <v>355</v>
      </c>
      <c r="GM57" s="230"/>
      <c r="GN57" s="183" t="str">
        <f t="shared" si="219"/>
        <v/>
      </c>
      <c r="GO57" s="203" t="str">
        <f t="shared" si="84"/>
        <v>OK</v>
      </c>
      <c r="GP57" s="378" t="s">
        <v>355</v>
      </c>
      <c r="GQ57" s="230"/>
      <c r="GR57" s="183" t="str">
        <f t="shared" si="220"/>
        <v/>
      </c>
      <c r="GS57" s="203" t="str">
        <f t="shared" si="86"/>
        <v>OK</v>
      </c>
      <c r="GT57" s="202"/>
      <c r="GU57" s="202"/>
      <c r="GV57" s="201"/>
      <c r="GW57" s="201"/>
      <c r="GX57" s="201"/>
    </row>
    <row r="58" spans="1:206">
      <c r="A58" s="200" t="s">
        <v>336</v>
      </c>
      <c r="B58" s="225">
        <f t="shared" si="221"/>
        <v>51</v>
      </c>
      <c r="C58" s="229"/>
      <c r="D58" s="229"/>
      <c r="E58" s="228"/>
      <c r="F58" s="228"/>
      <c r="G58" s="222" t="s">
        <v>353</v>
      </c>
      <c r="H58" s="220"/>
      <c r="I58" s="209"/>
      <c r="J58" s="217" t="s">
        <v>326</v>
      </c>
      <c r="K58" s="219"/>
      <c r="L58" s="219"/>
      <c r="M58" s="218"/>
      <c r="N58" s="217"/>
      <c r="O58" s="216"/>
      <c r="P58" s="212"/>
      <c r="Q58" s="212"/>
      <c r="R58" s="215"/>
      <c r="S58" s="214"/>
      <c r="T58" s="212"/>
      <c r="U58" s="213"/>
      <c r="V58" s="212"/>
      <c r="W58" s="211" t="str">
        <f t="shared" si="222"/>
        <v>4</v>
      </c>
      <c r="X58" s="210" t="s">
        <v>354</v>
      </c>
      <c r="Y58" s="210">
        <v>1</v>
      </c>
      <c r="Z58" s="210">
        <v>180</v>
      </c>
      <c r="AA58" s="209" t="s">
        <v>55</v>
      </c>
      <c r="AB58" s="209" t="s">
        <v>306</v>
      </c>
      <c r="AC58" s="207"/>
      <c r="AD58" s="378"/>
      <c r="AE58" s="230"/>
      <c r="AF58" s="183" t="str">
        <f t="shared" si="178"/>
        <v/>
      </c>
      <c r="AG58" s="203" t="str">
        <f t="shared" si="175"/>
        <v>OK</v>
      </c>
      <c r="AH58" s="379" t="s">
        <v>584</v>
      </c>
      <c r="AI58" s="230"/>
      <c r="AJ58" s="183" t="str">
        <f t="shared" si="179"/>
        <v/>
      </c>
      <c r="AK58" s="203" t="str">
        <f t="shared" si="176"/>
        <v>OK</v>
      </c>
      <c r="AL58" s="379" t="s">
        <v>576</v>
      </c>
      <c r="AM58" s="230"/>
      <c r="AN58" s="183" t="str">
        <f t="shared" si="180"/>
        <v/>
      </c>
      <c r="AO58" s="203" t="str">
        <f t="shared" si="177"/>
        <v>OK</v>
      </c>
      <c r="AP58" s="377" t="s">
        <v>353</v>
      </c>
      <c r="AQ58" s="230"/>
      <c r="AR58" s="183" t="str">
        <f>IF($AB58="I","",IF($AA58="","",IF(AP58="","",AP58)))</f>
        <v/>
      </c>
      <c r="AS58" s="203" t="str">
        <f>IF(OR(AQ$8="判定対象外",AR58="-"),"-",IF(AQ58=AR58,"OK","NG"))</f>
        <v>OK</v>
      </c>
      <c r="AT58" s="377" t="s">
        <v>353</v>
      </c>
      <c r="AU58" s="230"/>
      <c r="AV58" s="183" t="str">
        <f>IF($AB58="I","",IF($AA58="","",IF(AT58="","",AT58)))</f>
        <v/>
      </c>
      <c r="AW58" s="203" t="str">
        <f>IF(OR(AU$8="判定対象外",AV58="-"),"-",IF(AU58=AV58,"OK","NG"))</f>
        <v>OK</v>
      </c>
      <c r="AX58" s="377" t="s">
        <v>353</v>
      </c>
      <c r="AY58" s="230"/>
      <c r="AZ58" s="183" t="str">
        <f t="shared" si="183"/>
        <v/>
      </c>
      <c r="BA58" s="203" t="str">
        <f t="shared" si="12"/>
        <v>OK</v>
      </c>
      <c r="BB58" s="377" t="s">
        <v>353</v>
      </c>
      <c r="BC58" s="230"/>
      <c r="BD58" s="183" t="str">
        <f t="shared" si="184"/>
        <v/>
      </c>
      <c r="BE58" s="203" t="str">
        <f t="shared" si="14"/>
        <v>OK</v>
      </c>
      <c r="BF58" s="377" t="s">
        <v>353</v>
      </c>
      <c r="BG58" s="230"/>
      <c r="BH58" s="183" t="str">
        <f t="shared" si="185"/>
        <v/>
      </c>
      <c r="BI58" s="203" t="str">
        <f t="shared" si="16"/>
        <v>OK</v>
      </c>
      <c r="BJ58" s="377" t="s">
        <v>353</v>
      </c>
      <c r="BK58" s="230"/>
      <c r="BL58" s="183" t="str">
        <f t="shared" si="186"/>
        <v/>
      </c>
      <c r="BM58" s="203" t="str">
        <f t="shared" si="18"/>
        <v>OK</v>
      </c>
      <c r="BN58" s="377" t="s">
        <v>353</v>
      </c>
      <c r="BO58" s="230"/>
      <c r="BP58" s="183" t="str">
        <f t="shared" si="187"/>
        <v/>
      </c>
      <c r="BQ58" s="203" t="str">
        <f t="shared" si="20"/>
        <v>OK</v>
      </c>
      <c r="BR58" s="377" t="s">
        <v>353</v>
      </c>
      <c r="BS58" s="230"/>
      <c r="BT58" s="183" t="str">
        <f t="shared" si="188"/>
        <v/>
      </c>
      <c r="BU58" s="203" t="str">
        <f t="shared" si="22"/>
        <v>OK</v>
      </c>
      <c r="BV58" s="377" t="s">
        <v>353</v>
      </c>
      <c r="BW58" s="230"/>
      <c r="BX58" s="183" t="str">
        <f t="shared" si="189"/>
        <v/>
      </c>
      <c r="BY58" s="203" t="str">
        <f t="shared" si="24"/>
        <v>OK</v>
      </c>
      <c r="BZ58" s="377" t="s">
        <v>353</v>
      </c>
      <c r="CA58" s="230"/>
      <c r="CB58" s="183" t="str">
        <f t="shared" si="190"/>
        <v/>
      </c>
      <c r="CC58" s="203" t="str">
        <f t="shared" si="26"/>
        <v>OK</v>
      </c>
      <c r="CD58" s="377" t="s">
        <v>353</v>
      </c>
      <c r="CE58" s="230"/>
      <c r="CF58" s="183" t="str">
        <f t="shared" si="191"/>
        <v/>
      </c>
      <c r="CG58" s="203" t="str">
        <f t="shared" si="28"/>
        <v>OK</v>
      </c>
      <c r="CH58" s="377" t="s">
        <v>353</v>
      </c>
      <c r="CI58" s="230"/>
      <c r="CJ58" s="183" t="str">
        <f t="shared" si="192"/>
        <v/>
      </c>
      <c r="CK58" s="203" t="str">
        <f t="shared" si="30"/>
        <v>OK</v>
      </c>
      <c r="CL58" s="377" t="s">
        <v>353</v>
      </c>
      <c r="CM58" s="230"/>
      <c r="CN58" s="183" t="str">
        <f t="shared" si="193"/>
        <v/>
      </c>
      <c r="CO58" s="203" t="str">
        <f t="shared" si="32"/>
        <v>OK</v>
      </c>
      <c r="CP58" s="377" t="s">
        <v>353</v>
      </c>
      <c r="CQ58" s="230"/>
      <c r="CR58" s="183" t="str">
        <f t="shared" si="194"/>
        <v/>
      </c>
      <c r="CS58" s="203" t="str">
        <f t="shared" si="34"/>
        <v>OK</v>
      </c>
      <c r="CT58" s="377" t="s">
        <v>353</v>
      </c>
      <c r="CU58" s="230"/>
      <c r="CV58" s="183" t="str">
        <f t="shared" si="195"/>
        <v/>
      </c>
      <c r="CW58" s="203" t="str">
        <f t="shared" si="36"/>
        <v>OK</v>
      </c>
      <c r="CX58" s="377" t="s">
        <v>353</v>
      </c>
      <c r="CY58" s="230"/>
      <c r="CZ58" s="183" t="str">
        <f t="shared" si="196"/>
        <v/>
      </c>
      <c r="DA58" s="203" t="str">
        <f t="shared" si="38"/>
        <v>OK</v>
      </c>
      <c r="DB58" s="377" t="s">
        <v>353</v>
      </c>
      <c r="DC58" s="230"/>
      <c r="DD58" s="183" t="str">
        <f t="shared" si="197"/>
        <v/>
      </c>
      <c r="DE58" s="203" t="str">
        <f t="shared" si="40"/>
        <v>OK</v>
      </c>
      <c r="DF58" s="377" t="s">
        <v>353</v>
      </c>
      <c r="DG58" s="230"/>
      <c r="DH58" s="183" t="str">
        <f t="shared" si="198"/>
        <v/>
      </c>
      <c r="DI58" s="203" t="str">
        <f t="shared" si="42"/>
        <v>OK</v>
      </c>
      <c r="DJ58" s="377" t="s">
        <v>353</v>
      </c>
      <c r="DK58" s="230"/>
      <c r="DL58" s="183" t="str">
        <f t="shared" si="199"/>
        <v/>
      </c>
      <c r="DM58" s="203" t="str">
        <f t="shared" si="44"/>
        <v>OK</v>
      </c>
      <c r="DN58" s="377" t="s">
        <v>353</v>
      </c>
      <c r="DO58" s="230"/>
      <c r="DP58" s="183" t="str">
        <f t="shared" si="200"/>
        <v/>
      </c>
      <c r="DQ58" s="203" t="str">
        <f t="shared" si="46"/>
        <v>OK</v>
      </c>
      <c r="DR58" s="377" t="s">
        <v>353</v>
      </c>
      <c r="DS58" s="230"/>
      <c r="DT58" s="183" t="str">
        <f t="shared" si="201"/>
        <v/>
      </c>
      <c r="DU58" s="203" t="str">
        <f t="shared" si="48"/>
        <v>OK</v>
      </c>
      <c r="DV58" s="377" t="s">
        <v>353</v>
      </c>
      <c r="DW58" s="230"/>
      <c r="DX58" s="183" t="str">
        <f t="shared" si="202"/>
        <v/>
      </c>
      <c r="DY58" s="203" t="str">
        <f t="shared" si="50"/>
        <v>OK</v>
      </c>
      <c r="DZ58" s="377" t="s">
        <v>353</v>
      </c>
      <c r="EA58" s="230"/>
      <c r="EB58" s="183" t="str">
        <f t="shared" si="203"/>
        <v/>
      </c>
      <c r="EC58" s="203" t="str">
        <f t="shared" si="52"/>
        <v>OK</v>
      </c>
      <c r="ED58" s="377" t="s">
        <v>353</v>
      </c>
      <c r="EE58" s="230"/>
      <c r="EF58" s="183" t="str">
        <f t="shared" si="204"/>
        <v/>
      </c>
      <c r="EG58" s="203" t="str">
        <f t="shared" si="54"/>
        <v>OK</v>
      </c>
      <c r="EH58" s="377" t="s">
        <v>353</v>
      </c>
      <c r="EI58" s="230"/>
      <c r="EJ58" s="183" t="str">
        <f t="shared" si="205"/>
        <v/>
      </c>
      <c r="EK58" s="203" t="str">
        <f t="shared" si="56"/>
        <v>OK</v>
      </c>
      <c r="EL58" s="377" t="s">
        <v>353</v>
      </c>
      <c r="EM58" s="230"/>
      <c r="EN58" s="183" t="str">
        <f t="shared" si="206"/>
        <v/>
      </c>
      <c r="EO58" s="203" t="str">
        <f t="shared" si="58"/>
        <v>OK</v>
      </c>
      <c r="EP58" s="377" t="s">
        <v>353</v>
      </c>
      <c r="EQ58" s="230"/>
      <c r="ER58" s="183" t="str">
        <f t="shared" si="207"/>
        <v/>
      </c>
      <c r="ES58" s="203" t="str">
        <f t="shared" si="60"/>
        <v>OK</v>
      </c>
      <c r="ET58" s="377" t="s">
        <v>353</v>
      </c>
      <c r="EU58" s="230"/>
      <c r="EV58" s="183" t="str">
        <f t="shared" si="208"/>
        <v/>
      </c>
      <c r="EW58" s="203" t="str">
        <f t="shared" si="62"/>
        <v>OK</v>
      </c>
      <c r="EX58" s="377" t="s">
        <v>353</v>
      </c>
      <c r="EY58" s="230"/>
      <c r="EZ58" s="183" t="str">
        <f t="shared" si="209"/>
        <v/>
      </c>
      <c r="FA58" s="203" t="str">
        <f t="shared" si="64"/>
        <v>OK</v>
      </c>
      <c r="FB58" s="377" t="s">
        <v>353</v>
      </c>
      <c r="FC58" s="230"/>
      <c r="FD58" s="183" t="str">
        <f t="shared" si="210"/>
        <v/>
      </c>
      <c r="FE58" s="203" t="str">
        <f t="shared" si="66"/>
        <v>OK</v>
      </c>
      <c r="FF58" s="377" t="s">
        <v>353</v>
      </c>
      <c r="FG58" s="230"/>
      <c r="FH58" s="183" t="str">
        <f t="shared" si="211"/>
        <v/>
      </c>
      <c r="FI58" s="203" t="str">
        <f t="shared" si="68"/>
        <v>OK</v>
      </c>
      <c r="FJ58" s="377" t="s">
        <v>353</v>
      </c>
      <c r="FK58" s="230"/>
      <c r="FL58" s="183" t="str">
        <f t="shared" si="212"/>
        <v/>
      </c>
      <c r="FM58" s="203" t="str">
        <f t="shared" si="70"/>
        <v>OK</v>
      </c>
      <c r="FN58" s="377" t="s">
        <v>353</v>
      </c>
      <c r="FO58" s="230"/>
      <c r="FP58" s="183" t="str">
        <f t="shared" si="213"/>
        <v/>
      </c>
      <c r="FQ58" s="203" t="str">
        <f t="shared" si="72"/>
        <v>OK</v>
      </c>
      <c r="FR58" s="377" t="s">
        <v>353</v>
      </c>
      <c r="FS58" s="230"/>
      <c r="FT58" s="183" t="str">
        <f t="shared" si="214"/>
        <v/>
      </c>
      <c r="FU58" s="203" t="str">
        <f t="shared" si="74"/>
        <v>OK</v>
      </c>
      <c r="FV58" s="377" t="s">
        <v>353</v>
      </c>
      <c r="FW58" s="230"/>
      <c r="FX58" s="183" t="str">
        <f t="shared" si="215"/>
        <v/>
      </c>
      <c r="FY58" s="203" t="str">
        <f t="shared" si="76"/>
        <v>OK</v>
      </c>
      <c r="FZ58" s="377" t="s">
        <v>353</v>
      </c>
      <c r="GA58" s="230"/>
      <c r="GB58" s="183" t="str">
        <f t="shared" si="216"/>
        <v/>
      </c>
      <c r="GC58" s="203" t="str">
        <f t="shared" si="78"/>
        <v>OK</v>
      </c>
      <c r="GD58" s="377" t="s">
        <v>353</v>
      </c>
      <c r="GE58" s="230"/>
      <c r="GF58" s="183" t="str">
        <f t="shared" si="217"/>
        <v/>
      </c>
      <c r="GG58" s="203" t="str">
        <f t="shared" si="80"/>
        <v>OK</v>
      </c>
      <c r="GH58" s="377" t="s">
        <v>353</v>
      </c>
      <c r="GI58" s="230"/>
      <c r="GJ58" s="183" t="str">
        <f t="shared" si="218"/>
        <v/>
      </c>
      <c r="GK58" s="203" t="str">
        <f t="shared" si="82"/>
        <v>OK</v>
      </c>
      <c r="GL58" s="377" t="s">
        <v>353</v>
      </c>
      <c r="GM58" s="230"/>
      <c r="GN58" s="183" t="str">
        <f t="shared" si="219"/>
        <v/>
      </c>
      <c r="GO58" s="203" t="str">
        <f t="shared" si="84"/>
        <v>OK</v>
      </c>
      <c r="GP58" s="378" t="s">
        <v>353</v>
      </c>
      <c r="GQ58" s="230"/>
      <c r="GR58" s="183" t="str">
        <f t="shared" si="220"/>
        <v/>
      </c>
      <c r="GS58" s="203" t="str">
        <f t="shared" si="86"/>
        <v>OK</v>
      </c>
      <c r="GT58" s="202"/>
      <c r="GU58" s="202"/>
      <c r="GV58" s="201"/>
      <c r="GW58" s="201"/>
      <c r="GX58" s="201"/>
    </row>
    <row r="59" spans="1:206">
      <c r="A59" s="200" t="s">
        <v>336</v>
      </c>
      <c r="B59" s="225">
        <f t="shared" si="221"/>
        <v>52</v>
      </c>
      <c r="C59" s="229"/>
      <c r="D59" s="229"/>
      <c r="E59" s="228"/>
      <c r="F59" s="228"/>
      <c r="G59" s="222" t="s">
        <v>351</v>
      </c>
      <c r="H59" s="220"/>
      <c r="I59" s="209"/>
      <c r="J59" s="217" t="s">
        <v>326</v>
      </c>
      <c r="K59" s="219"/>
      <c r="L59" s="219"/>
      <c r="M59" s="218"/>
      <c r="N59" s="217"/>
      <c r="O59" s="216"/>
      <c r="P59" s="212"/>
      <c r="Q59" s="212"/>
      <c r="R59" s="215"/>
      <c r="S59" s="214"/>
      <c r="T59" s="212"/>
      <c r="U59" s="213"/>
      <c r="V59" s="212"/>
      <c r="W59" s="211" t="str">
        <f t="shared" si="222"/>
        <v>4</v>
      </c>
      <c r="X59" s="210" t="s">
        <v>352</v>
      </c>
      <c r="Y59" s="210">
        <v>1</v>
      </c>
      <c r="Z59" s="210">
        <v>180</v>
      </c>
      <c r="AA59" s="209" t="s">
        <v>55</v>
      </c>
      <c r="AB59" s="209" t="s">
        <v>306</v>
      </c>
      <c r="AC59" s="207"/>
      <c r="AD59" s="377" t="s">
        <v>351</v>
      </c>
      <c r="AE59" s="230"/>
      <c r="AF59" s="183" t="str">
        <f t="shared" si="178"/>
        <v/>
      </c>
      <c r="AG59" s="203" t="str">
        <f t="shared" si="175"/>
        <v>OK</v>
      </c>
      <c r="AH59" s="377" t="s">
        <v>351</v>
      </c>
      <c r="AI59" s="230"/>
      <c r="AJ59" s="183" t="str">
        <f t="shared" si="179"/>
        <v/>
      </c>
      <c r="AK59" s="203" t="str">
        <f t="shared" si="176"/>
        <v>OK</v>
      </c>
      <c r="AL59" s="377" t="s">
        <v>351</v>
      </c>
      <c r="AM59" s="230"/>
      <c r="AN59" s="183" t="str">
        <f t="shared" si="180"/>
        <v/>
      </c>
      <c r="AO59" s="203" t="str">
        <f t="shared" si="177"/>
        <v>OK</v>
      </c>
      <c r="AP59" s="378"/>
      <c r="AQ59" s="230"/>
      <c r="AR59" s="183" t="str">
        <f>IF($AB59="I","",IF($AA59="","",IF(AP59="","",AP59)))</f>
        <v/>
      </c>
      <c r="AS59" s="203" t="str">
        <f>IF(OR(AQ$8="判定対象外",AR59="-"),"-",IF(AQ59=AR59,"OK","NG"))</f>
        <v>OK</v>
      </c>
      <c r="AT59" s="379" t="s">
        <v>584</v>
      </c>
      <c r="AU59" s="230"/>
      <c r="AV59" s="183" t="str">
        <f>IF($AB59="I","",IF($AA59="","",IF(AT59="","",AT59)))</f>
        <v/>
      </c>
      <c r="AW59" s="203" t="str">
        <f>IF(OR(AU$8="判定対象外",AV59="-"),"-",IF(AU59=AV59,"OK","NG"))</f>
        <v>OK</v>
      </c>
      <c r="AX59" s="379" t="s">
        <v>576</v>
      </c>
      <c r="AY59" s="230"/>
      <c r="AZ59" s="183" t="str">
        <f t="shared" si="183"/>
        <v/>
      </c>
      <c r="BA59" s="203" t="str">
        <f t="shared" si="12"/>
        <v>OK</v>
      </c>
      <c r="BB59" s="377" t="s">
        <v>351</v>
      </c>
      <c r="BC59" s="230"/>
      <c r="BD59" s="183" t="str">
        <f>IF($AB59="I","",IF($AA59="","",IF(BB59="","",BB59)))</f>
        <v/>
      </c>
      <c r="BE59" s="203" t="str">
        <f>IF(OR(BC$8="判定対象外",BD59="-"),"-",IF(BC59=BD59,"OK","NG"))</f>
        <v>OK</v>
      </c>
      <c r="BF59" s="377" t="s">
        <v>351</v>
      </c>
      <c r="BG59" s="230"/>
      <c r="BH59" s="183" t="str">
        <f>IF($AB59="I","",IF($AA59="","",IF(BF59="","",BF59)))</f>
        <v/>
      </c>
      <c r="BI59" s="203" t="str">
        <f>IF(OR(BG$8="判定対象外",BH59="-"),"-",IF(BG59=BH59,"OK","NG"))</f>
        <v>OK</v>
      </c>
      <c r="BJ59" s="377" t="s">
        <v>351</v>
      </c>
      <c r="BK59" s="230"/>
      <c r="BL59" s="183" t="str">
        <f t="shared" si="186"/>
        <v/>
      </c>
      <c r="BM59" s="203" t="str">
        <f t="shared" si="18"/>
        <v>OK</v>
      </c>
      <c r="BN59" s="377" t="s">
        <v>351</v>
      </c>
      <c r="BO59" s="230"/>
      <c r="BP59" s="183" t="str">
        <f t="shared" si="187"/>
        <v/>
      </c>
      <c r="BQ59" s="203" t="str">
        <f t="shared" si="20"/>
        <v>OK</v>
      </c>
      <c r="BR59" s="377" t="s">
        <v>351</v>
      </c>
      <c r="BS59" s="230"/>
      <c r="BT59" s="183" t="str">
        <f t="shared" si="188"/>
        <v/>
      </c>
      <c r="BU59" s="203" t="str">
        <f t="shared" si="22"/>
        <v>OK</v>
      </c>
      <c r="BV59" s="377" t="s">
        <v>351</v>
      </c>
      <c r="BW59" s="230"/>
      <c r="BX59" s="183" t="str">
        <f t="shared" si="189"/>
        <v/>
      </c>
      <c r="BY59" s="203" t="str">
        <f t="shared" si="24"/>
        <v>OK</v>
      </c>
      <c r="BZ59" s="377" t="s">
        <v>351</v>
      </c>
      <c r="CA59" s="230"/>
      <c r="CB59" s="183" t="str">
        <f t="shared" si="190"/>
        <v/>
      </c>
      <c r="CC59" s="203" t="str">
        <f t="shared" si="26"/>
        <v>OK</v>
      </c>
      <c r="CD59" s="377" t="s">
        <v>351</v>
      </c>
      <c r="CE59" s="230"/>
      <c r="CF59" s="183" t="str">
        <f t="shared" si="191"/>
        <v/>
      </c>
      <c r="CG59" s="203" t="str">
        <f t="shared" si="28"/>
        <v>OK</v>
      </c>
      <c r="CH59" s="377" t="s">
        <v>351</v>
      </c>
      <c r="CI59" s="230"/>
      <c r="CJ59" s="183" t="str">
        <f t="shared" si="192"/>
        <v/>
      </c>
      <c r="CK59" s="203" t="str">
        <f t="shared" si="30"/>
        <v>OK</v>
      </c>
      <c r="CL59" s="377" t="s">
        <v>351</v>
      </c>
      <c r="CM59" s="230"/>
      <c r="CN59" s="183" t="str">
        <f t="shared" si="193"/>
        <v/>
      </c>
      <c r="CO59" s="203" t="str">
        <f t="shared" si="32"/>
        <v>OK</v>
      </c>
      <c r="CP59" s="377" t="s">
        <v>351</v>
      </c>
      <c r="CQ59" s="230"/>
      <c r="CR59" s="183" t="str">
        <f t="shared" si="194"/>
        <v/>
      </c>
      <c r="CS59" s="203" t="str">
        <f t="shared" si="34"/>
        <v>OK</v>
      </c>
      <c r="CT59" s="377" t="s">
        <v>351</v>
      </c>
      <c r="CU59" s="230"/>
      <c r="CV59" s="183" t="str">
        <f t="shared" si="195"/>
        <v/>
      </c>
      <c r="CW59" s="203" t="str">
        <f t="shared" si="36"/>
        <v>OK</v>
      </c>
      <c r="CX59" s="377" t="s">
        <v>351</v>
      </c>
      <c r="CY59" s="230"/>
      <c r="CZ59" s="183" t="str">
        <f t="shared" si="196"/>
        <v/>
      </c>
      <c r="DA59" s="203" t="str">
        <f t="shared" si="38"/>
        <v>OK</v>
      </c>
      <c r="DB59" s="377" t="s">
        <v>351</v>
      </c>
      <c r="DC59" s="230"/>
      <c r="DD59" s="183" t="str">
        <f t="shared" si="197"/>
        <v/>
      </c>
      <c r="DE59" s="203" t="str">
        <f t="shared" si="40"/>
        <v>OK</v>
      </c>
      <c r="DF59" s="377" t="s">
        <v>351</v>
      </c>
      <c r="DG59" s="230"/>
      <c r="DH59" s="183" t="str">
        <f t="shared" si="198"/>
        <v/>
      </c>
      <c r="DI59" s="203" t="str">
        <f t="shared" si="42"/>
        <v>OK</v>
      </c>
      <c r="DJ59" s="377" t="s">
        <v>351</v>
      </c>
      <c r="DK59" s="230"/>
      <c r="DL59" s="183" t="str">
        <f t="shared" si="199"/>
        <v/>
      </c>
      <c r="DM59" s="203" t="str">
        <f t="shared" si="44"/>
        <v>OK</v>
      </c>
      <c r="DN59" s="377" t="s">
        <v>351</v>
      </c>
      <c r="DO59" s="230"/>
      <c r="DP59" s="183" t="str">
        <f t="shared" si="200"/>
        <v/>
      </c>
      <c r="DQ59" s="203" t="str">
        <f t="shared" si="46"/>
        <v>OK</v>
      </c>
      <c r="DR59" s="377" t="s">
        <v>351</v>
      </c>
      <c r="DS59" s="230"/>
      <c r="DT59" s="183" t="str">
        <f t="shared" si="201"/>
        <v/>
      </c>
      <c r="DU59" s="203" t="str">
        <f t="shared" si="48"/>
        <v>OK</v>
      </c>
      <c r="DV59" s="377" t="s">
        <v>351</v>
      </c>
      <c r="DW59" s="230"/>
      <c r="DX59" s="183" t="str">
        <f t="shared" si="202"/>
        <v/>
      </c>
      <c r="DY59" s="203" t="str">
        <f t="shared" si="50"/>
        <v>OK</v>
      </c>
      <c r="DZ59" s="377" t="s">
        <v>351</v>
      </c>
      <c r="EA59" s="230"/>
      <c r="EB59" s="183" t="str">
        <f t="shared" si="203"/>
        <v/>
      </c>
      <c r="EC59" s="203" t="str">
        <f t="shared" si="52"/>
        <v>OK</v>
      </c>
      <c r="ED59" s="377" t="s">
        <v>351</v>
      </c>
      <c r="EE59" s="230"/>
      <c r="EF59" s="183" t="str">
        <f t="shared" si="204"/>
        <v/>
      </c>
      <c r="EG59" s="203" t="str">
        <f t="shared" si="54"/>
        <v>OK</v>
      </c>
      <c r="EH59" s="377" t="s">
        <v>351</v>
      </c>
      <c r="EI59" s="230"/>
      <c r="EJ59" s="183" t="str">
        <f t="shared" si="205"/>
        <v/>
      </c>
      <c r="EK59" s="203" t="str">
        <f t="shared" si="56"/>
        <v>OK</v>
      </c>
      <c r="EL59" s="377" t="s">
        <v>351</v>
      </c>
      <c r="EM59" s="230"/>
      <c r="EN59" s="183" t="str">
        <f t="shared" si="206"/>
        <v/>
      </c>
      <c r="EO59" s="203" t="str">
        <f t="shared" si="58"/>
        <v>OK</v>
      </c>
      <c r="EP59" s="377" t="s">
        <v>351</v>
      </c>
      <c r="EQ59" s="230"/>
      <c r="ER59" s="183" t="str">
        <f t="shared" si="207"/>
        <v/>
      </c>
      <c r="ES59" s="203" t="str">
        <f t="shared" si="60"/>
        <v>OK</v>
      </c>
      <c r="ET59" s="377" t="s">
        <v>351</v>
      </c>
      <c r="EU59" s="230"/>
      <c r="EV59" s="183" t="str">
        <f t="shared" si="208"/>
        <v/>
      </c>
      <c r="EW59" s="203" t="str">
        <f t="shared" si="62"/>
        <v>OK</v>
      </c>
      <c r="EX59" s="377" t="s">
        <v>351</v>
      </c>
      <c r="EY59" s="230"/>
      <c r="EZ59" s="183" t="str">
        <f t="shared" si="209"/>
        <v/>
      </c>
      <c r="FA59" s="203" t="str">
        <f t="shared" si="64"/>
        <v>OK</v>
      </c>
      <c r="FB59" s="377" t="s">
        <v>351</v>
      </c>
      <c r="FC59" s="230"/>
      <c r="FD59" s="183" t="str">
        <f t="shared" si="210"/>
        <v/>
      </c>
      <c r="FE59" s="203" t="str">
        <f t="shared" si="66"/>
        <v>OK</v>
      </c>
      <c r="FF59" s="377" t="s">
        <v>351</v>
      </c>
      <c r="FG59" s="230"/>
      <c r="FH59" s="183" t="str">
        <f t="shared" si="211"/>
        <v/>
      </c>
      <c r="FI59" s="203" t="str">
        <f t="shared" si="68"/>
        <v>OK</v>
      </c>
      <c r="FJ59" s="377" t="s">
        <v>351</v>
      </c>
      <c r="FK59" s="230"/>
      <c r="FL59" s="183" t="str">
        <f t="shared" si="212"/>
        <v/>
      </c>
      <c r="FM59" s="203" t="str">
        <f t="shared" si="70"/>
        <v>OK</v>
      </c>
      <c r="FN59" s="377" t="s">
        <v>351</v>
      </c>
      <c r="FO59" s="230"/>
      <c r="FP59" s="183" t="str">
        <f t="shared" si="213"/>
        <v/>
      </c>
      <c r="FQ59" s="203" t="str">
        <f t="shared" si="72"/>
        <v>OK</v>
      </c>
      <c r="FR59" s="377" t="s">
        <v>351</v>
      </c>
      <c r="FS59" s="230"/>
      <c r="FT59" s="183" t="str">
        <f t="shared" si="214"/>
        <v/>
      </c>
      <c r="FU59" s="203" t="str">
        <f t="shared" si="74"/>
        <v>OK</v>
      </c>
      <c r="FV59" s="377" t="s">
        <v>351</v>
      </c>
      <c r="FW59" s="230"/>
      <c r="FX59" s="183" t="str">
        <f t="shared" si="215"/>
        <v/>
      </c>
      <c r="FY59" s="203" t="str">
        <f t="shared" si="76"/>
        <v>OK</v>
      </c>
      <c r="FZ59" s="377" t="s">
        <v>351</v>
      </c>
      <c r="GA59" s="230"/>
      <c r="GB59" s="183" t="str">
        <f t="shared" si="216"/>
        <v/>
      </c>
      <c r="GC59" s="203" t="str">
        <f t="shared" si="78"/>
        <v>OK</v>
      </c>
      <c r="GD59" s="377" t="s">
        <v>351</v>
      </c>
      <c r="GE59" s="230"/>
      <c r="GF59" s="183" t="str">
        <f t="shared" si="217"/>
        <v/>
      </c>
      <c r="GG59" s="203" t="str">
        <f t="shared" si="80"/>
        <v>OK</v>
      </c>
      <c r="GH59" s="377" t="s">
        <v>351</v>
      </c>
      <c r="GI59" s="230"/>
      <c r="GJ59" s="183" t="str">
        <f t="shared" si="218"/>
        <v/>
      </c>
      <c r="GK59" s="203" t="str">
        <f t="shared" si="82"/>
        <v>OK</v>
      </c>
      <c r="GL59" s="377" t="s">
        <v>351</v>
      </c>
      <c r="GM59" s="230"/>
      <c r="GN59" s="183" t="str">
        <f t="shared" si="219"/>
        <v/>
      </c>
      <c r="GO59" s="203" t="str">
        <f t="shared" si="84"/>
        <v>OK</v>
      </c>
      <c r="GP59" s="378" t="s">
        <v>351</v>
      </c>
      <c r="GQ59" s="230"/>
      <c r="GR59" s="183" t="str">
        <f t="shared" si="220"/>
        <v/>
      </c>
      <c r="GS59" s="203" t="str">
        <f t="shared" si="86"/>
        <v>OK</v>
      </c>
      <c r="GT59" s="202"/>
      <c r="GU59" s="202"/>
      <c r="GV59" s="201"/>
      <c r="GW59" s="201"/>
      <c r="GX59" s="201"/>
    </row>
    <row r="60" spans="1:206">
      <c r="A60" s="200" t="s">
        <v>336</v>
      </c>
      <c r="B60" s="225">
        <f t="shared" si="221"/>
        <v>53</v>
      </c>
      <c r="C60" s="229"/>
      <c r="D60" s="229"/>
      <c r="E60" s="228"/>
      <c r="F60" s="228"/>
      <c r="G60" s="222" t="s">
        <v>349</v>
      </c>
      <c r="H60" s="220"/>
      <c r="I60" s="209"/>
      <c r="J60" s="217" t="s">
        <v>326</v>
      </c>
      <c r="K60" s="219"/>
      <c r="L60" s="219"/>
      <c r="M60" s="218"/>
      <c r="N60" s="217"/>
      <c r="O60" s="216"/>
      <c r="P60" s="212"/>
      <c r="Q60" s="212"/>
      <c r="R60" s="215"/>
      <c r="S60" s="214"/>
      <c r="T60" s="212"/>
      <c r="U60" s="213"/>
      <c r="V60" s="212"/>
      <c r="W60" s="211" t="str">
        <f t="shared" si="222"/>
        <v>4</v>
      </c>
      <c r="X60" s="210" t="s">
        <v>350</v>
      </c>
      <c r="Y60" s="210">
        <v>1</v>
      </c>
      <c r="Z60" s="210">
        <v>180</v>
      </c>
      <c r="AA60" s="209" t="s">
        <v>55</v>
      </c>
      <c r="AB60" s="209" t="s">
        <v>306</v>
      </c>
      <c r="AC60" s="207"/>
      <c r="AD60" s="377" t="s">
        <v>349</v>
      </c>
      <c r="AE60" s="230"/>
      <c r="AF60" s="183" t="str">
        <f t="shared" si="178"/>
        <v/>
      </c>
      <c r="AG60" s="203" t="str">
        <f t="shared" si="175"/>
        <v>OK</v>
      </c>
      <c r="AH60" s="377" t="s">
        <v>349</v>
      </c>
      <c r="AI60" s="230"/>
      <c r="AJ60" s="183" t="str">
        <f t="shared" si="179"/>
        <v/>
      </c>
      <c r="AK60" s="203" t="str">
        <f t="shared" si="176"/>
        <v>OK</v>
      </c>
      <c r="AL60" s="377" t="s">
        <v>349</v>
      </c>
      <c r="AM60" s="230"/>
      <c r="AN60" s="183" t="str">
        <f t="shared" si="180"/>
        <v/>
      </c>
      <c r="AO60" s="203" t="str">
        <f t="shared" si="177"/>
        <v>OK</v>
      </c>
      <c r="AP60" s="377" t="s">
        <v>349</v>
      </c>
      <c r="AQ60" s="230"/>
      <c r="AR60" s="183" t="str">
        <f t="shared" si="181"/>
        <v/>
      </c>
      <c r="AS60" s="203" t="str">
        <f t="shared" si="8"/>
        <v>OK</v>
      </c>
      <c r="AT60" s="377" t="s">
        <v>349</v>
      </c>
      <c r="AU60" s="230"/>
      <c r="AV60" s="183" t="str">
        <f t="shared" si="182"/>
        <v/>
      </c>
      <c r="AW60" s="203" t="str">
        <f t="shared" si="10"/>
        <v>OK</v>
      </c>
      <c r="AX60" s="377" t="s">
        <v>349</v>
      </c>
      <c r="AY60" s="230"/>
      <c r="AZ60" s="183" t="str">
        <f t="shared" si="183"/>
        <v/>
      </c>
      <c r="BA60" s="203" t="str">
        <f t="shared" si="12"/>
        <v>OK</v>
      </c>
      <c r="BB60" s="378"/>
      <c r="BC60" s="230"/>
      <c r="BD60" s="183" t="str">
        <f>IF($AB60="I","",IF($AA60="","",IF(BB60="","",BB60)))</f>
        <v/>
      </c>
      <c r="BE60" s="203" t="str">
        <f>IF(OR(BC$8="判定対象外",BD60="-"),"-",IF(BC60=BD60,"OK","NG"))</f>
        <v>OK</v>
      </c>
      <c r="BF60" s="379" t="s">
        <v>584</v>
      </c>
      <c r="BG60" s="230"/>
      <c r="BH60" s="183" t="str">
        <f>IF($AB60="I","",IF($AA60="","",IF(BF60="","",BF60)))</f>
        <v/>
      </c>
      <c r="BI60" s="203" t="str">
        <f>IF(OR(BG$8="判定対象外",BH60="-"),"-",IF(BG60=BH60,"OK","NG"))</f>
        <v>OK</v>
      </c>
      <c r="BJ60" s="379" t="s">
        <v>576</v>
      </c>
      <c r="BK60" s="230"/>
      <c r="BL60" s="183" t="str">
        <f t="shared" si="186"/>
        <v/>
      </c>
      <c r="BM60" s="203" t="str">
        <f t="shared" si="18"/>
        <v>OK</v>
      </c>
      <c r="BN60" s="377" t="s">
        <v>349</v>
      </c>
      <c r="BO60" s="230"/>
      <c r="BP60" s="183" t="str">
        <f>IF($AB60="I","",IF($AA60="","",IF(BN60="","",BN60)))</f>
        <v/>
      </c>
      <c r="BQ60" s="203" t="str">
        <f>IF(OR(BO$9="判定対象外",BP60="-"),"-",IF(BO60=BP60,"OK","NG"))</f>
        <v>OK</v>
      </c>
      <c r="BR60" s="377" t="s">
        <v>349</v>
      </c>
      <c r="BS60" s="230"/>
      <c r="BT60" s="183" t="str">
        <f>IF($AB60="I","",IF($AA60="","",IF(BR60="","",BR60)))</f>
        <v/>
      </c>
      <c r="BU60" s="203" t="str">
        <f>IF(OR(BS$9="判定対象外",BT60="-"),"-",IF(BS60=BT60,"OK","NG"))</f>
        <v>OK</v>
      </c>
      <c r="BV60" s="377" t="s">
        <v>349</v>
      </c>
      <c r="BW60" s="230"/>
      <c r="BX60" s="183" t="str">
        <f t="shared" si="189"/>
        <v/>
      </c>
      <c r="BY60" s="203" t="str">
        <f t="shared" si="24"/>
        <v>OK</v>
      </c>
      <c r="BZ60" s="377" t="s">
        <v>349</v>
      </c>
      <c r="CA60" s="230"/>
      <c r="CB60" s="183" t="str">
        <f t="shared" si="190"/>
        <v/>
      </c>
      <c r="CC60" s="203" t="str">
        <f>IF(OR(CA$9="判定対象外",CB60="-"),"-",IF(CA60=CB60,"OK","NG"))</f>
        <v>OK</v>
      </c>
      <c r="CD60" s="377" t="s">
        <v>349</v>
      </c>
      <c r="CE60" s="230"/>
      <c r="CF60" s="183" t="str">
        <f t="shared" si="191"/>
        <v/>
      </c>
      <c r="CG60" s="203" t="str">
        <f>IF(OR(CE$9="判定対象外",CF60="-"),"-",IF(CE60=CF60,"OK","NG"))</f>
        <v>OK</v>
      </c>
      <c r="CH60" s="377" t="s">
        <v>349</v>
      </c>
      <c r="CI60" s="230"/>
      <c r="CJ60" s="183" t="str">
        <f t="shared" si="192"/>
        <v/>
      </c>
      <c r="CK60" s="203" t="str">
        <f t="shared" si="30"/>
        <v>OK</v>
      </c>
      <c r="CL60" s="377" t="s">
        <v>349</v>
      </c>
      <c r="CM60" s="230"/>
      <c r="CN60" s="183" t="str">
        <f t="shared" si="193"/>
        <v/>
      </c>
      <c r="CO60" s="203" t="str">
        <f>IF(OR(CM$9="判定対象外",CN60="-"),"-",IF(CM60=CN60,"OK","NG"))</f>
        <v>OK</v>
      </c>
      <c r="CP60" s="377" t="s">
        <v>349</v>
      </c>
      <c r="CQ60" s="230"/>
      <c r="CR60" s="183" t="str">
        <f t="shared" si="194"/>
        <v/>
      </c>
      <c r="CS60" s="203" t="str">
        <f>IF(OR(CQ$9="判定対象外",CR60="-"),"-",IF(CQ60=CR60,"OK","NG"))</f>
        <v>OK</v>
      </c>
      <c r="CT60" s="377" t="s">
        <v>349</v>
      </c>
      <c r="CU60" s="230"/>
      <c r="CV60" s="183" t="str">
        <f t="shared" si="195"/>
        <v/>
      </c>
      <c r="CW60" s="203" t="str">
        <f t="shared" si="36"/>
        <v>OK</v>
      </c>
      <c r="CX60" s="377" t="s">
        <v>349</v>
      </c>
      <c r="CY60" s="230"/>
      <c r="CZ60" s="183" t="str">
        <f t="shared" si="196"/>
        <v/>
      </c>
      <c r="DA60" s="203" t="str">
        <f>IF(OR(CY$9="判定対象外",CZ60="-"),"-",IF(CY60=CZ60,"OK","NG"))</f>
        <v>OK</v>
      </c>
      <c r="DB60" s="377" t="s">
        <v>349</v>
      </c>
      <c r="DC60" s="230"/>
      <c r="DD60" s="183" t="str">
        <f t="shared" si="197"/>
        <v/>
      </c>
      <c r="DE60" s="203" t="str">
        <f>IF(OR(DC$9="判定対象外",DD60="-"),"-",IF(DC60=DD60,"OK","NG"))</f>
        <v>OK</v>
      </c>
      <c r="DF60" s="377" t="s">
        <v>349</v>
      </c>
      <c r="DG60" s="230"/>
      <c r="DH60" s="183" t="str">
        <f t="shared" si="198"/>
        <v/>
      </c>
      <c r="DI60" s="203" t="str">
        <f t="shared" si="42"/>
        <v>OK</v>
      </c>
      <c r="DJ60" s="377" t="s">
        <v>349</v>
      </c>
      <c r="DK60" s="230"/>
      <c r="DL60" s="183" t="str">
        <f t="shared" si="199"/>
        <v/>
      </c>
      <c r="DM60" s="203" t="str">
        <f>IF(OR(DK$9="判定対象外",DL60="-"),"-",IF(DK60=DL60,"OK","NG"))</f>
        <v>OK</v>
      </c>
      <c r="DN60" s="377" t="s">
        <v>349</v>
      </c>
      <c r="DO60" s="230"/>
      <c r="DP60" s="183" t="str">
        <f t="shared" si="200"/>
        <v/>
      </c>
      <c r="DQ60" s="203" t="str">
        <f>IF(OR(DO$9="判定対象外",DP60="-"),"-",IF(DO60=DP60,"OK","NG"))</f>
        <v>OK</v>
      </c>
      <c r="DR60" s="377" t="s">
        <v>349</v>
      </c>
      <c r="DS60" s="230"/>
      <c r="DT60" s="183" t="str">
        <f t="shared" si="201"/>
        <v/>
      </c>
      <c r="DU60" s="203" t="str">
        <f t="shared" si="48"/>
        <v>OK</v>
      </c>
      <c r="DV60" s="377" t="s">
        <v>349</v>
      </c>
      <c r="DW60" s="230"/>
      <c r="DX60" s="183" t="str">
        <f t="shared" si="202"/>
        <v/>
      </c>
      <c r="DY60" s="203" t="str">
        <f>IF(OR(DW$9="判定対象外",DX60="-"),"-",IF(DW60=DX60,"OK","NG"))</f>
        <v>OK</v>
      </c>
      <c r="DZ60" s="377" t="s">
        <v>349</v>
      </c>
      <c r="EA60" s="230"/>
      <c r="EB60" s="183" t="str">
        <f t="shared" si="203"/>
        <v/>
      </c>
      <c r="EC60" s="203" t="str">
        <f>IF(OR(EA$9="判定対象外",EB60="-"),"-",IF(EA60=EB60,"OK","NG"))</f>
        <v>OK</v>
      </c>
      <c r="ED60" s="377" t="s">
        <v>349</v>
      </c>
      <c r="EE60" s="230"/>
      <c r="EF60" s="183" t="str">
        <f t="shared" si="204"/>
        <v/>
      </c>
      <c r="EG60" s="203" t="str">
        <f t="shared" si="54"/>
        <v>OK</v>
      </c>
      <c r="EH60" s="377" t="s">
        <v>349</v>
      </c>
      <c r="EI60" s="230"/>
      <c r="EJ60" s="183" t="str">
        <f t="shared" si="205"/>
        <v/>
      </c>
      <c r="EK60" s="203" t="str">
        <f>IF(OR(EI$9="判定対象外",EJ60="-"),"-",IF(EI60=EJ60,"OK","NG"))</f>
        <v>OK</v>
      </c>
      <c r="EL60" s="377" t="s">
        <v>349</v>
      </c>
      <c r="EM60" s="230"/>
      <c r="EN60" s="183" t="str">
        <f t="shared" si="206"/>
        <v/>
      </c>
      <c r="EO60" s="203" t="str">
        <f>IF(OR(EM$9="判定対象外",EN60="-"),"-",IF(EM60=EN60,"OK","NG"))</f>
        <v>OK</v>
      </c>
      <c r="EP60" s="377" t="s">
        <v>349</v>
      </c>
      <c r="EQ60" s="230"/>
      <c r="ER60" s="183" t="str">
        <f t="shared" si="207"/>
        <v/>
      </c>
      <c r="ES60" s="203" t="str">
        <f t="shared" si="60"/>
        <v>OK</v>
      </c>
      <c r="ET60" s="377" t="s">
        <v>349</v>
      </c>
      <c r="EU60" s="230"/>
      <c r="EV60" s="183" t="str">
        <f t="shared" si="208"/>
        <v/>
      </c>
      <c r="EW60" s="203" t="str">
        <f>IF(OR(EU$9="判定対象外",EV60="-"),"-",IF(EU60=EV60,"OK","NG"))</f>
        <v>OK</v>
      </c>
      <c r="EX60" s="377" t="s">
        <v>349</v>
      </c>
      <c r="EY60" s="230"/>
      <c r="EZ60" s="183" t="str">
        <f t="shared" si="209"/>
        <v/>
      </c>
      <c r="FA60" s="203" t="str">
        <f>IF(OR(EY$9="判定対象外",EZ60="-"),"-",IF(EY60=EZ60,"OK","NG"))</f>
        <v>OK</v>
      </c>
      <c r="FB60" s="377" t="s">
        <v>349</v>
      </c>
      <c r="FC60" s="230"/>
      <c r="FD60" s="183" t="str">
        <f t="shared" si="210"/>
        <v/>
      </c>
      <c r="FE60" s="203" t="str">
        <f t="shared" si="66"/>
        <v>OK</v>
      </c>
      <c r="FF60" s="377" t="s">
        <v>349</v>
      </c>
      <c r="FG60" s="230"/>
      <c r="FH60" s="183" t="str">
        <f t="shared" si="211"/>
        <v/>
      </c>
      <c r="FI60" s="203" t="str">
        <f>IF(OR(FG$9="判定対象外",FH60="-"),"-",IF(FG60=FH60,"OK","NG"))</f>
        <v>OK</v>
      </c>
      <c r="FJ60" s="377" t="s">
        <v>349</v>
      </c>
      <c r="FK60" s="230"/>
      <c r="FL60" s="183" t="str">
        <f t="shared" si="212"/>
        <v/>
      </c>
      <c r="FM60" s="203" t="str">
        <f>IF(OR(FK$9="判定対象外",FL60="-"),"-",IF(FK60=FL60,"OK","NG"))</f>
        <v>OK</v>
      </c>
      <c r="FN60" s="377" t="s">
        <v>349</v>
      </c>
      <c r="FO60" s="230"/>
      <c r="FP60" s="183" t="str">
        <f t="shared" si="213"/>
        <v/>
      </c>
      <c r="FQ60" s="203" t="str">
        <f t="shared" si="72"/>
        <v>OK</v>
      </c>
      <c r="FR60" s="377" t="s">
        <v>349</v>
      </c>
      <c r="FS60" s="230"/>
      <c r="FT60" s="183" t="str">
        <f t="shared" si="214"/>
        <v/>
      </c>
      <c r="FU60" s="203" t="str">
        <f>IF(OR(FS$9="判定対象外",FT60="-"),"-",IF(FS60=FT60,"OK","NG"))</f>
        <v>OK</v>
      </c>
      <c r="FV60" s="377" t="s">
        <v>349</v>
      </c>
      <c r="FW60" s="230"/>
      <c r="FX60" s="183" t="str">
        <f t="shared" si="215"/>
        <v/>
      </c>
      <c r="FY60" s="203" t="str">
        <f>IF(OR(FW$9="判定対象外",FX60="-"),"-",IF(FW60=FX60,"OK","NG"))</f>
        <v>OK</v>
      </c>
      <c r="FZ60" s="377" t="s">
        <v>349</v>
      </c>
      <c r="GA60" s="230"/>
      <c r="GB60" s="183" t="str">
        <f t="shared" si="216"/>
        <v/>
      </c>
      <c r="GC60" s="203" t="str">
        <f t="shared" si="78"/>
        <v>OK</v>
      </c>
      <c r="GD60" s="377" t="s">
        <v>349</v>
      </c>
      <c r="GE60" s="230"/>
      <c r="GF60" s="183" t="str">
        <f t="shared" si="217"/>
        <v/>
      </c>
      <c r="GG60" s="203" t="str">
        <f>IF(OR(GE$9="判定対象外",GF60="-"),"-",IF(GE60=GF60,"OK","NG"))</f>
        <v>OK</v>
      </c>
      <c r="GH60" s="377" t="s">
        <v>349</v>
      </c>
      <c r="GI60" s="230"/>
      <c r="GJ60" s="183" t="str">
        <f t="shared" si="218"/>
        <v/>
      </c>
      <c r="GK60" s="203" t="str">
        <f>IF(OR(GI$9="判定対象外",GJ60="-"),"-",IF(GI60=GJ60,"OK","NG"))</f>
        <v>OK</v>
      </c>
      <c r="GL60" s="377" t="s">
        <v>349</v>
      </c>
      <c r="GM60" s="230"/>
      <c r="GN60" s="183" t="str">
        <f t="shared" si="219"/>
        <v/>
      </c>
      <c r="GO60" s="203" t="str">
        <f t="shared" si="84"/>
        <v>OK</v>
      </c>
      <c r="GP60" s="378" t="s">
        <v>349</v>
      </c>
      <c r="GQ60" s="230"/>
      <c r="GR60" s="183" t="str">
        <f t="shared" si="220"/>
        <v/>
      </c>
      <c r="GS60" s="203" t="str">
        <f>IF(OR(GQ$9="判定対象外",GR60="-"),"-",IF(GQ60=GR60,"OK","NG"))</f>
        <v>OK</v>
      </c>
      <c r="GT60" s="202"/>
      <c r="GU60" s="202"/>
      <c r="GV60" s="201"/>
      <c r="GW60" s="201"/>
      <c r="GX60" s="201"/>
    </row>
    <row r="61" spans="1:206">
      <c r="A61" s="200" t="s">
        <v>336</v>
      </c>
      <c r="B61" s="225">
        <f t="shared" si="221"/>
        <v>54</v>
      </c>
      <c r="C61" s="229"/>
      <c r="D61" s="229"/>
      <c r="E61" s="228"/>
      <c r="F61" s="228"/>
      <c r="G61" s="222" t="s">
        <v>347</v>
      </c>
      <c r="H61" s="220"/>
      <c r="I61" s="209"/>
      <c r="J61" s="217" t="s">
        <v>326</v>
      </c>
      <c r="K61" s="219"/>
      <c r="L61" s="219"/>
      <c r="M61" s="218"/>
      <c r="N61" s="217"/>
      <c r="O61" s="216"/>
      <c r="P61" s="212"/>
      <c r="Q61" s="212"/>
      <c r="R61" s="215"/>
      <c r="S61" s="214"/>
      <c r="T61" s="212"/>
      <c r="U61" s="213"/>
      <c r="V61" s="212"/>
      <c r="W61" s="211" t="str">
        <f t="shared" si="222"/>
        <v>4</v>
      </c>
      <c r="X61" s="210" t="s">
        <v>348</v>
      </c>
      <c r="Y61" s="210">
        <v>1</v>
      </c>
      <c r="Z61" s="210">
        <v>180</v>
      </c>
      <c r="AA61" s="209" t="s">
        <v>55</v>
      </c>
      <c r="AB61" s="209" t="s">
        <v>306</v>
      </c>
      <c r="AC61" s="207"/>
      <c r="AD61" s="377" t="s">
        <v>347</v>
      </c>
      <c r="AE61" s="230"/>
      <c r="AF61" s="183" t="str">
        <f t="shared" si="178"/>
        <v/>
      </c>
      <c r="AG61" s="203" t="str">
        <f t="shared" si="175"/>
        <v>OK</v>
      </c>
      <c r="AH61" s="377" t="s">
        <v>347</v>
      </c>
      <c r="AI61" s="230"/>
      <c r="AJ61" s="183" t="str">
        <f t="shared" si="179"/>
        <v/>
      </c>
      <c r="AK61" s="203" t="str">
        <f t="shared" si="176"/>
        <v>OK</v>
      </c>
      <c r="AL61" s="377" t="s">
        <v>347</v>
      </c>
      <c r="AM61" s="230"/>
      <c r="AN61" s="183" t="str">
        <f t="shared" si="180"/>
        <v/>
      </c>
      <c r="AO61" s="203" t="str">
        <f t="shared" si="177"/>
        <v>OK</v>
      </c>
      <c r="AP61" s="377" t="s">
        <v>347</v>
      </c>
      <c r="AQ61" s="230"/>
      <c r="AR61" s="183" t="str">
        <f t="shared" si="181"/>
        <v/>
      </c>
      <c r="AS61" s="203" t="str">
        <f t="shared" si="8"/>
        <v>OK</v>
      </c>
      <c r="AT61" s="377" t="s">
        <v>347</v>
      </c>
      <c r="AU61" s="230"/>
      <c r="AV61" s="183" t="str">
        <f t="shared" si="182"/>
        <v/>
      </c>
      <c r="AW61" s="203" t="str">
        <f t="shared" si="10"/>
        <v>OK</v>
      </c>
      <c r="AX61" s="377" t="s">
        <v>347</v>
      </c>
      <c r="AY61" s="230"/>
      <c r="AZ61" s="183" t="str">
        <f t="shared" si="183"/>
        <v/>
      </c>
      <c r="BA61" s="203" t="str">
        <f t="shared" si="12"/>
        <v>OK</v>
      </c>
      <c r="BB61" s="377" t="s">
        <v>347</v>
      </c>
      <c r="BC61" s="230"/>
      <c r="BD61" s="183" t="str">
        <f t="shared" si="184"/>
        <v/>
      </c>
      <c r="BE61" s="203" t="str">
        <f t="shared" si="14"/>
        <v>OK</v>
      </c>
      <c r="BF61" s="377" t="s">
        <v>347</v>
      </c>
      <c r="BG61" s="230"/>
      <c r="BH61" s="183" t="str">
        <f t="shared" si="185"/>
        <v/>
      </c>
      <c r="BI61" s="203" t="str">
        <f t="shared" si="16"/>
        <v>OK</v>
      </c>
      <c r="BJ61" s="377" t="s">
        <v>347</v>
      </c>
      <c r="BK61" s="230"/>
      <c r="BL61" s="183" t="str">
        <f t="shared" si="186"/>
        <v/>
      </c>
      <c r="BM61" s="203" t="str">
        <f t="shared" si="18"/>
        <v>OK</v>
      </c>
      <c r="BN61" s="378"/>
      <c r="BO61" s="230"/>
      <c r="BP61" s="183" t="str">
        <f>IF($AB61="I","",IF($AA61="","",IF(BN61="","",BN61)))</f>
        <v/>
      </c>
      <c r="BQ61" s="203" t="str">
        <f>IF(OR(BO$8="判定対象外",BP61="-"),"-",IF(BO61=BP61,"OK","NG"))</f>
        <v>OK</v>
      </c>
      <c r="BR61" s="379" t="s">
        <v>584</v>
      </c>
      <c r="BS61" s="230"/>
      <c r="BT61" s="183" t="str">
        <f>IF($AB61="I","",IF($AA61="","",IF(BR61="","",BR61)))</f>
        <v/>
      </c>
      <c r="BU61" s="203" t="str">
        <f>IF(OR(BS$8="判定対象外",BT61="-"),"-",IF(BS61=BT61,"OK","NG"))</f>
        <v>OK</v>
      </c>
      <c r="BV61" s="379" t="s">
        <v>576</v>
      </c>
      <c r="BW61" s="230"/>
      <c r="BX61" s="183" t="str">
        <f t="shared" si="189"/>
        <v/>
      </c>
      <c r="BY61" s="203" t="str">
        <f t="shared" si="24"/>
        <v>OK</v>
      </c>
      <c r="BZ61" s="377" t="s">
        <v>347</v>
      </c>
      <c r="CA61" s="230"/>
      <c r="CB61" s="183" t="str">
        <f>IF($AB61="I","",IF($AA61="","",IF(BZ61="","",BZ61)))</f>
        <v/>
      </c>
      <c r="CC61" s="203" t="str">
        <f>IF(OR(CA$10="判定対象外",CB61="-"),"-",IF(CA61=CB61,"OK","NG"))</f>
        <v>OK</v>
      </c>
      <c r="CD61" s="377" t="s">
        <v>347</v>
      </c>
      <c r="CE61" s="230"/>
      <c r="CF61" s="183" t="str">
        <f>IF($AB61="I","",IF($AA61="","",IF(CD61="","",CD61)))</f>
        <v/>
      </c>
      <c r="CG61" s="203" t="str">
        <f>IF(OR(CE$10="判定対象外",CF61="-"),"-",IF(CE61=CF61,"OK","NG"))</f>
        <v>OK</v>
      </c>
      <c r="CH61" s="377" t="s">
        <v>347</v>
      </c>
      <c r="CI61" s="230"/>
      <c r="CJ61" s="183" t="str">
        <f t="shared" si="192"/>
        <v/>
      </c>
      <c r="CK61" s="203" t="str">
        <f t="shared" si="30"/>
        <v>OK</v>
      </c>
      <c r="CL61" s="377" t="s">
        <v>347</v>
      </c>
      <c r="CM61" s="230"/>
      <c r="CN61" s="183" t="str">
        <f t="shared" si="193"/>
        <v/>
      </c>
      <c r="CO61" s="203" t="str">
        <f>IF(OR(CM$10="判定対象外",CN61="-"),"-",IF(CM61=CN61,"OK","NG"))</f>
        <v>OK</v>
      </c>
      <c r="CP61" s="377" t="s">
        <v>347</v>
      </c>
      <c r="CQ61" s="230"/>
      <c r="CR61" s="183" t="str">
        <f t="shared" si="194"/>
        <v/>
      </c>
      <c r="CS61" s="203" t="str">
        <f>IF(OR(CQ$10="判定対象外",CR61="-"),"-",IF(CQ61=CR61,"OK","NG"))</f>
        <v>OK</v>
      </c>
      <c r="CT61" s="377" t="s">
        <v>347</v>
      </c>
      <c r="CU61" s="230"/>
      <c r="CV61" s="183" t="str">
        <f t="shared" si="195"/>
        <v/>
      </c>
      <c r="CW61" s="203" t="str">
        <f t="shared" si="36"/>
        <v>OK</v>
      </c>
      <c r="CX61" s="377" t="s">
        <v>347</v>
      </c>
      <c r="CY61" s="230"/>
      <c r="CZ61" s="183" t="str">
        <f t="shared" si="196"/>
        <v/>
      </c>
      <c r="DA61" s="203" t="str">
        <f>IF(OR(CY$10="判定対象外",CZ61="-"),"-",IF(CY61=CZ61,"OK","NG"))</f>
        <v>OK</v>
      </c>
      <c r="DB61" s="377" t="s">
        <v>347</v>
      </c>
      <c r="DC61" s="230"/>
      <c r="DD61" s="183" t="str">
        <f t="shared" si="197"/>
        <v/>
      </c>
      <c r="DE61" s="203" t="str">
        <f>IF(OR(DC$10="判定対象外",DD61="-"),"-",IF(DC61=DD61,"OK","NG"))</f>
        <v>OK</v>
      </c>
      <c r="DF61" s="377" t="s">
        <v>347</v>
      </c>
      <c r="DG61" s="230"/>
      <c r="DH61" s="183" t="str">
        <f t="shared" si="198"/>
        <v/>
      </c>
      <c r="DI61" s="203" t="str">
        <f t="shared" si="42"/>
        <v>OK</v>
      </c>
      <c r="DJ61" s="377" t="s">
        <v>347</v>
      </c>
      <c r="DK61" s="230"/>
      <c r="DL61" s="183" t="str">
        <f t="shared" si="199"/>
        <v/>
      </c>
      <c r="DM61" s="203" t="str">
        <f>IF(OR(DK$10="判定対象外",DL61="-"),"-",IF(DK61=DL61,"OK","NG"))</f>
        <v>OK</v>
      </c>
      <c r="DN61" s="377" t="s">
        <v>347</v>
      </c>
      <c r="DO61" s="230"/>
      <c r="DP61" s="183" t="str">
        <f t="shared" si="200"/>
        <v/>
      </c>
      <c r="DQ61" s="203" t="str">
        <f>IF(OR(DO$10="判定対象外",DP61="-"),"-",IF(DO61=DP61,"OK","NG"))</f>
        <v>OK</v>
      </c>
      <c r="DR61" s="377" t="s">
        <v>347</v>
      </c>
      <c r="DS61" s="230"/>
      <c r="DT61" s="183" t="str">
        <f t="shared" si="201"/>
        <v/>
      </c>
      <c r="DU61" s="203" t="str">
        <f t="shared" si="48"/>
        <v>OK</v>
      </c>
      <c r="DV61" s="377" t="s">
        <v>347</v>
      </c>
      <c r="DW61" s="230"/>
      <c r="DX61" s="183" t="str">
        <f t="shared" si="202"/>
        <v/>
      </c>
      <c r="DY61" s="203" t="str">
        <f>IF(OR(DW$10="判定対象外",DX61="-"),"-",IF(DW61=DX61,"OK","NG"))</f>
        <v>OK</v>
      </c>
      <c r="DZ61" s="377" t="s">
        <v>347</v>
      </c>
      <c r="EA61" s="230"/>
      <c r="EB61" s="183" t="str">
        <f t="shared" si="203"/>
        <v/>
      </c>
      <c r="EC61" s="203" t="str">
        <f>IF(OR(EA$10="判定対象外",EB61="-"),"-",IF(EA61=EB61,"OK","NG"))</f>
        <v>OK</v>
      </c>
      <c r="ED61" s="377" t="s">
        <v>347</v>
      </c>
      <c r="EE61" s="230"/>
      <c r="EF61" s="183" t="str">
        <f t="shared" si="204"/>
        <v/>
      </c>
      <c r="EG61" s="203" t="str">
        <f t="shared" si="54"/>
        <v>OK</v>
      </c>
      <c r="EH61" s="377" t="s">
        <v>347</v>
      </c>
      <c r="EI61" s="230"/>
      <c r="EJ61" s="183" t="str">
        <f t="shared" si="205"/>
        <v/>
      </c>
      <c r="EK61" s="203" t="str">
        <f>IF(OR(EI$10="判定対象外",EJ61="-"),"-",IF(EI61=EJ61,"OK","NG"))</f>
        <v>OK</v>
      </c>
      <c r="EL61" s="377" t="s">
        <v>347</v>
      </c>
      <c r="EM61" s="230"/>
      <c r="EN61" s="183" t="str">
        <f t="shared" si="206"/>
        <v/>
      </c>
      <c r="EO61" s="203" t="str">
        <f>IF(OR(EM$10="判定対象外",EN61="-"),"-",IF(EM61=EN61,"OK","NG"))</f>
        <v>OK</v>
      </c>
      <c r="EP61" s="377" t="s">
        <v>347</v>
      </c>
      <c r="EQ61" s="230"/>
      <c r="ER61" s="183" t="str">
        <f t="shared" si="207"/>
        <v/>
      </c>
      <c r="ES61" s="203" t="str">
        <f t="shared" si="60"/>
        <v>OK</v>
      </c>
      <c r="ET61" s="377" t="s">
        <v>347</v>
      </c>
      <c r="EU61" s="230"/>
      <c r="EV61" s="183" t="str">
        <f t="shared" si="208"/>
        <v/>
      </c>
      <c r="EW61" s="203" t="str">
        <f>IF(OR(EU$10="判定対象外",EV61="-"),"-",IF(EU61=EV61,"OK","NG"))</f>
        <v>OK</v>
      </c>
      <c r="EX61" s="377" t="s">
        <v>347</v>
      </c>
      <c r="EY61" s="230"/>
      <c r="EZ61" s="183" t="str">
        <f t="shared" si="209"/>
        <v/>
      </c>
      <c r="FA61" s="203" t="str">
        <f>IF(OR(EY$10="判定対象外",EZ61="-"),"-",IF(EY61=EZ61,"OK","NG"))</f>
        <v>OK</v>
      </c>
      <c r="FB61" s="377" t="s">
        <v>347</v>
      </c>
      <c r="FC61" s="230"/>
      <c r="FD61" s="183" t="str">
        <f t="shared" si="210"/>
        <v/>
      </c>
      <c r="FE61" s="203" t="str">
        <f t="shared" si="66"/>
        <v>OK</v>
      </c>
      <c r="FF61" s="377" t="s">
        <v>347</v>
      </c>
      <c r="FG61" s="230"/>
      <c r="FH61" s="183" t="str">
        <f t="shared" si="211"/>
        <v/>
      </c>
      <c r="FI61" s="203" t="str">
        <f>IF(OR(FG$10="判定対象外",FH61="-"),"-",IF(FG61=FH61,"OK","NG"))</f>
        <v>OK</v>
      </c>
      <c r="FJ61" s="377" t="s">
        <v>347</v>
      </c>
      <c r="FK61" s="230"/>
      <c r="FL61" s="183" t="str">
        <f t="shared" si="212"/>
        <v/>
      </c>
      <c r="FM61" s="203" t="str">
        <f>IF(OR(FK$10="判定対象外",FL61="-"),"-",IF(FK61=FL61,"OK","NG"))</f>
        <v>OK</v>
      </c>
      <c r="FN61" s="377" t="s">
        <v>347</v>
      </c>
      <c r="FO61" s="230"/>
      <c r="FP61" s="183" t="str">
        <f t="shared" si="213"/>
        <v/>
      </c>
      <c r="FQ61" s="203" t="str">
        <f t="shared" si="72"/>
        <v>OK</v>
      </c>
      <c r="FR61" s="377" t="s">
        <v>347</v>
      </c>
      <c r="FS61" s="230"/>
      <c r="FT61" s="183" t="str">
        <f t="shared" si="214"/>
        <v/>
      </c>
      <c r="FU61" s="203" t="str">
        <f>IF(OR(FS$10="判定対象外",FT61="-"),"-",IF(FS61=FT61,"OK","NG"))</f>
        <v>OK</v>
      </c>
      <c r="FV61" s="377" t="s">
        <v>347</v>
      </c>
      <c r="FW61" s="230"/>
      <c r="FX61" s="183" t="str">
        <f t="shared" si="215"/>
        <v/>
      </c>
      <c r="FY61" s="203" t="str">
        <f>IF(OR(FW$10="判定対象外",FX61="-"),"-",IF(FW61=FX61,"OK","NG"))</f>
        <v>OK</v>
      </c>
      <c r="FZ61" s="377" t="s">
        <v>347</v>
      </c>
      <c r="GA61" s="230"/>
      <c r="GB61" s="183" t="str">
        <f t="shared" si="216"/>
        <v/>
      </c>
      <c r="GC61" s="203" t="str">
        <f t="shared" si="78"/>
        <v>OK</v>
      </c>
      <c r="GD61" s="377" t="s">
        <v>347</v>
      </c>
      <c r="GE61" s="230"/>
      <c r="GF61" s="183" t="str">
        <f t="shared" si="217"/>
        <v/>
      </c>
      <c r="GG61" s="203" t="str">
        <f>IF(OR(GE$10="判定対象外",GF61="-"),"-",IF(GE61=GF61,"OK","NG"))</f>
        <v>OK</v>
      </c>
      <c r="GH61" s="377" t="s">
        <v>347</v>
      </c>
      <c r="GI61" s="230"/>
      <c r="GJ61" s="183" t="str">
        <f t="shared" si="218"/>
        <v/>
      </c>
      <c r="GK61" s="203" t="str">
        <f>IF(OR(GI$10="判定対象外",GJ61="-"),"-",IF(GI61=GJ61,"OK","NG"))</f>
        <v>OK</v>
      </c>
      <c r="GL61" s="377" t="s">
        <v>347</v>
      </c>
      <c r="GM61" s="230"/>
      <c r="GN61" s="183" t="str">
        <f t="shared" si="219"/>
        <v/>
      </c>
      <c r="GO61" s="203" t="str">
        <f t="shared" si="84"/>
        <v>OK</v>
      </c>
      <c r="GP61" s="378" t="s">
        <v>347</v>
      </c>
      <c r="GQ61" s="230"/>
      <c r="GR61" s="183" t="str">
        <f t="shared" si="220"/>
        <v/>
      </c>
      <c r="GS61" s="203" t="str">
        <f>IF(OR(GQ$10="判定対象外",GR61="-"),"-",IF(GQ61=GR61,"OK","NG"))</f>
        <v>OK</v>
      </c>
      <c r="GT61" s="202"/>
      <c r="GU61" s="202"/>
      <c r="GV61" s="201"/>
      <c r="GW61" s="201"/>
      <c r="GX61" s="201"/>
    </row>
    <row r="62" spans="1:206">
      <c r="A62" s="200" t="s">
        <v>336</v>
      </c>
      <c r="B62" s="225">
        <f t="shared" si="221"/>
        <v>55</v>
      </c>
      <c r="C62" s="229"/>
      <c r="D62" s="229"/>
      <c r="E62" s="228"/>
      <c r="F62" s="228"/>
      <c r="G62" s="222" t="s">
        <v>345</v>
      </c>
      <c r="H62" s="220"/>
      <c r="I62" s="209"/>
      <c r="J62" s="217" t="s">
        <v>326</v>
      </c>
      <c r="K62" s="219"/>
      <c r="L62" s="219"/>
      <c r="M62" s="218"/>
      <c r="N62" s="217"/>
      <c r="O62" s="216"/>
      <c r="P62" s="212"/>
      <c r="Q62" s="212"/>
      <c r="R62" s="215"/>
      <c r="S62" s="214"/>
      <c r="T62" s="212"/>
      <c r="U62" s="213"/>
      <c r="V62" s="212"/>
      <c r="W62" s="211" t="str">
        <f t="shared" si="222"/>
        <v>4</v>
      </c>
      <c r="X62" s="210" t="s">
        <v>346</v>
      </c>
      <c r="Y62" s="210">
        <v>1</v>
      </c>
      <c r="Z62" s="210">
        <v>180</v>
      </c>
      <c r="AA62" s="209" t="s">
        <v>55</v>
      </c>
      <c r="AB62" s="209" t="s">
        <v>306</v>
      </c>
      <c r="AC62" s="207"/>
      <c r="AD62" s="377" t="s">
        <v>345</v>
      </c>
      <c r="AE62" s="230"/>
      <c r="AF62" s="183" t="str">
        <f t="shared" si="178"/>
        <v/>
      </c>
      <c r="AG62" s="203" t="str">
        <f t="shared" si="175"/>
        <v>OK</v>
      </c>
      <c r="AH62" s="377" t="s">
        <v>345</v>
      </c>
      <c r="AI62" s="230"/>
      <c r="AJ62" s="183" t="str">
        <f t="shared" si="179"/>
        <v/>
      </c>
      <c r="AK62" s="203" t="str">
        <f t="shared" si="176"/>
        <v>OK</v>
      </c>
      <c r="AL62" s="377" t="s">
        <v>345</v>
      </c>
      <c r="AM62" s="230"/>
      <c r="AN62" s="183" t="str">
        <f t="shared" si="180"/>
        <v/>
      </c>
      <c r="AO62" s="203" t="str">
        <f t="shared" si="177"/>
        <v>OK</v>
      </c>
      <c r="AP62" s="377" t="s">
        <v>345</v>
      </c>
      <c r="AQ62" s="230"/>
      <c r="AR62" s="183" t="str">
        <f t="shared" si="181"/>
        <v/>
      </c>
      <c r="AS62" s="203" t="str">
        <f t="shared" si="8"/>
        <v>OK</v>
      </c>
      <c r="AT62" s="377" t="s">
        <v>345</v>
      </c>
      <c r="AU62" s="230"/>
      <c r="AV62" s="183" t="str">
        <f t="shared" si="182"/>
        <v/>
      </c>
      <c r="AW62" s="203" t="str">
        <f t="shared" si="10"/>
        <v>OK</v>
      </c>
      <c r="AX62" s="377" t="s">
        <v>345</v>
      </c>
      <c r="AY62" s="230"/>
      <c r="AZ62" s="183" t="str">
        <f t="shared" si="183"/>
        <v/>
      </c>
      <c r="BA62" s="203" t="str">
        <f t="shared" si="12"/>
        <v>OK</v>
      </c>
      <c r="BB62" s="377" t="s">
        <v>345</v>
      </c>
      <c r="BC62" s="230"/>
      <c r="BD62" s="183" t="str">
        <f t="shared" si="184"/>
        <v/>
      </c>
      <c r="BE62" s="203" t="str">
        <f t="shared" si="14"/>
        <v>OK</v>
      </c>
      <c r="BF62" s="377" t="s">
        <v>345</v>
      </c>
      <c r="BG62" s="230"/>
      <c r="BH62" s="183" t="str">
        <f t="shared" si="185"/>
        <v/>
      </c>
      <c r="BI62" s="203" t="str">
        <f t="shared" si="16"/>
        <v>OK</v>
      </c>
      <c r="BJ62" s="377" t="s">
        <v>345</v>
      </c>
      <c r="BK62" s="230"/>
      <c r="BL62" s="183" t="str">
        <f t="shared" si="186"/>
        <v/>
      </c>
      <c r="BM62" s="203" t="str">
        <f t="shared" si="18"/>
        <v>OK</v>
      </c>
      <c r="BN62" s="377" t="s">
        <v>345</v>
      </c>
      <c r="BO62" s="230"/>
      <c r="BP62" s="183" t="str">
        <f t="shared" si="187"/>
        <v/>
      </c>
      <c r="BQ62" s="203" t="str">
        <f t="shared" si="20"/>
        <v>OK</v>
      </c>
      <c r="BR62" s="377" t="s">
        <v>345</v>
      </c>
      <c r="BS62" s="230"/>
      <c r="BT62" s="183" t="str">
        <f t="shared" si="188"/>
        <v/>
      </c>
      <c r="BU62" s="203" t="str">
        <f t="shared" si="22"/>
        <v>OK</v>
      </c>
      <c r="BV62" s="377" t="s">
        <v>345</v>
      </c>
      <c r="BW62" s="230"/>
      <c r="BX62" s="183" t="str">
        <f t="shared" si="189"/>
        <v/>
      </c>
      <c r="BY62" s="203" t="str">
        <f t="shared" si="24"/>
        <v>OK</v>
      </c>
      <c r="BZ62" s="378"/>
      <c r="CA62" s="230"/>
      <c r="CB62" s="183" t="str">
        <f>IF($AB62="I","",IF($AA62="","",IF(BZ62="","",BZ62)))</f>
        <v/>
      </c>
      <c r="CC62" s="203" t="str">
        <f>IF(OR(CA$8="判定対象外",CB62="-"),"-",IF(CA62=CB62,"OK","NG"))</f>
        <v>OK</v>
      </c>
      <c r="CD62" s="379" t="s">
        <v>584</v>
      </c>
      <c r="CE62" s="230"/>
      <c r="CF62" s="183" t="str">
        <f>IF($AB62="I","",IF($AA62="","",IF(CD62="","",CD62)))</f>
        <v/>
      </c>
      <c r="CG62" s="203" t="str">
        <f>IF(OR(CE$8="判定対象外",CF62="-"),"-",IF(CE62=CF62,"OK","NG"))</f>
        <v>OK</v>
      </c>
      <c r="CH62" s="379" t="s">
        <v>576</v>
      </c>
      <c r="CI62" s="230"/>
      <c r="CJ62" s="183" t="str">
        <f t="shared" si="192"/>
        <v/>
      </c>
      <c r="CK62" s="203" t="str">
        <f t="shared" si="30"/>
        <v>OK</v>
      </c>
      <c r="CL62" s="377" t="s">
        <v>345</v>
      </c>
      <c r="CM62" s="230"/>
      <c r="CN62" s="183" t="str">
        <f>IF($AB62="I","",IF($AA62="","",IF(CL62="","",CL62)))</f>
        <v/>
      </c>
      <c r="CO62" s="203" t="str">
        <f>IF(OR(CM$11="判定対象外",CN62="-"),"-",IF(CM62=CN62,"OK","NG"))</f>
        <v>OK</v>
      </c>
      <c r="CP62" s="377" t="s">
        <v>345</v>
      </c>
      <c r="CQ62" s="230"/>
      <c r="CR62" s="183" t="str">
        <f>IF($AB62="I","",IF($AA62="","",IF(CP62="","",CP62)))</f>
        <v/>
      </c>
      <c r="CS62" s="203" t="str">
        <f>IF(OR(CQ$11="判定対象外",CR62="-"),"-",IF(CQ62=CR62,"OK","NG"))</f>
        <v>OK</v>
      </c>
      <c r="CT62" s="377" t="s">
        <v>345</v>
      </c>
      <c r="CU62" s="230"/>
      <c r="CV62" s="183" t="str">
        <f t="shared" si="195"/>
        <v/>
      </c>
      <c r="CW62" s="203" t="str">
        <f t="shared" si="36"/>
        <v>OK</v>
      </c>
      <c r="CX62" s="377" t="s">
        <v>345</v>
      </c>
      <c r="CY62" s="230"/>
      <c r="CZ62" s="183" t="str">
        <f t="shared" si="196"/>
        <v/>
      </c>
      <c r="DA62" s="203" t="str">
        <f>IF(OR(CY$11="判定対象外",CZ62="-"),"-",IF(CY62=CZ62,"OK","NG"))</f>
        <v>OK</v>
      </c>
      <c r="DB62" s="377" t="s">
        <v>345</v>
      </c>
      <c r="DC62" s="230"/>
      <c r="DD62" s="183" t="str">
        <f t="shared" si="197"/>
        <v/>
      </c>
      <c r="DE62" s="203" t="str">
        <f>IF(OR(DC$11="判定対象外",DD62="-"),"-",IF(DC62=DD62,"OK","NG"))</f>
        <v>OK</v>
      </c>
      <c r="DF62" s="377" t="s">
        <v>345</v>
      </c>
      <c r="DG62" s="230"/>
      <c r="DH62" s="183" t="str">
        <f t="shared" si="198"/>
        <v/>
      </c>
      <c r="DI62" s="203" t="str">
        <f t="shared" si="42"/>
        <v>OK</v>
      </c>
      <c r="DJ62" s="377" t="s">
        <v>345</v>
      </c>
      <c r="DK62" s="230"/>
      <c r="DL62" s="183" t="str">
        <f t="shared" si="199"/>
        <v/>
      </c>
      <c r="DM62" s="203" t="str">
        <f>IF(OR(DK$11="判定対象外",DL62="-"),"-",IF(DK62=DL62,"OK","NG"))</f>
        <v>OK</v>
      </c>
      <c r="DN62" s="377" t="s">
        <v>345</v>
      </c>
      <c r="DO62" s="230"/>
      <c r="DP62" s="183" t="str">
        <f t="shared" si="200"/>
        <v/>
      </c>
      <c r="DQ62" s="203" t="str">
        <f>IF(OR(DO$11="判定対象外",DP62="-"),"-",IF(DO62=DP62,"OK","NG"))</f>
        <v>OK</v>
      </c>
      <c r="DR62" s="377" t="s">
        <v>345</v>
      </c>
      <c r="DS62" s="230"/>
      <c r="DT62" s="183" t="str">
        <f t="shared" si="201"/>
        <v/>
      </c>
      <c r="DU62" s="203" t="str">
        <f t="shared" si="48"/>
        <v>OK</v>
      </c>
      <c r="DV62" s="377" t="s">
        <v>345</v>
      </c>
      <c r="DW62" s="230"/>
      <c r="DX62" s="183" t="str">
        <f t="shared" si="202"/>
        <v/>
      </c>
      <c r="DY62" s="203" t="str">
        <f>IF(OR(DW$11="判定対象外",DX62="-"),"-",IF(DW62=DX62,"OK","NG"))</f>
        <v>OK</v>
      </c>
      <c r="DZ62" s="377" t="s">
        <v>345</v>
      </c>
      <c r="EA62" s="230"/>
      <c r="EB62" s="183" t="str">
        <f t="shared" si="203"/>
        <v/>
      </c>
      <c r="EC62" s="203" t="str">
        <f>IF(OR(EA$11="判定対象外",EB62="-"),"-",IF(EA62=EB62,"OK","NG"))</f>
        <v>OK</v>
      </c>
      <c r="ED62" s="377" t="s">
        <v>345</v>
      </c>
      <c r="EE62" s="230"/>
      <c r="EF62" s="183" t="str">
        <f t="shared" si="204"/>
        <v/>
      </c>
      <c r="EG62" s="203" t="str">
        <f t="shared" si="54"/>
        <v>OK</v>
      </c>
      <c r="EH62" s="377" t="s">
        <v>345</v>
      </c>
      <c r="EI62" s="230"/>
      <c r="EJ62" s="183" t="str">
        <f t="shared" si="205"/>
        <v/>
      </c>
      <c r="EK62" s="203" t="str">
        <f>IF(OR(EI$11="判定対象外",EJ62="-"),"-",IF(EI62=EJ62,"OK","NG"))</f>
        <v>OK</v>
      </c>
      <c r="EL62" s="377" t="s">
        <v>345</v>
      </c>
      <c r="EM62" s="230"/>
      <c r="EN62" s="183" t="str">
        <f t="shared" si="206"/>
        <v/>
      </c>
      <c r="EO62" s="203" t="str">
        <f>IF(OR(EM$11="判定対象外",EN62="-"),"-",IF(EM62=EN62,"OK","NG"))</f>
        <v>OK</v>
      </c>
      <c r="EP62" s="377" t="s">
        <v>345</v>
      </c>
      <c r="EQ62" s="230"/>
      <c r="ER62" s="183" t="str">
        <f t="shared" si="207"/>
        <v/>
      </c>
      <c r="ES62" s="203" t="str">
        <f t="shared" si="60"/>
        <v>OK</v>
      </c>
      <c r="ET62" s="377" t="s">
        <v>345</v>
      </c>
      <c r="EU62" s="230"/>
      <c r="EV62" s="183" t="str">
        <f t="shared" si="208"/>
        <v/>
      </c>
      <c r="EW62" s="203" t="str">
        <f t="shared" ref="EW62:EW67" si="223">IF(OR(EU$11="判定対象外",EV62="-"),"-",IF(EU62=EV62,"OK","NG"))</f>
        <v>OK</v>
      </c>
      <c r="EX62" s="377" t="s">
        <v>345</v>
      </c>
      <c r="EY62" s="230"/>
      <c r="EZ62" s="183" t="str">
        <f t="shared" si="209"/>
        <v/>
      </c>
      <c r="FA62" s="203" t="str">
        <f t="shared" ref="FA62:FA67" si="224">IF(OR(EY$11="判定対象外",EZ62="-"),"-",IF(EY62=EZ62,"OK","NG"))</f>
        <v>OK</v>
      </c>
      <c r="FB62" s="377" t="s">
        <v>345</v>
      </c>
      <c r="FC62" s="230"/>
      <c r="FD62" s="183" t="str">
        <f t="shared" si="210"/>
        <v/>
      </c>
      <c r="FE62" s="203" t="str">
        <f t="shared" si="66"/>
        <v>OK</v>
      </c>
      <c r="FF62" s="377" t="s">
        <v>345</v>
      </c>
      <c r="FG62" s="230"/>
      <c r="FH62" s="183" t="str">
        <f t="shared" si="211"/>
        <v/>
      </c>
      <c r="FI62" s="203" t="str">
        <f t="shared" ref="FI62:FI68" si="225">IF(OR(FG$11="判定対象外",FH62="-"),"-",IF(FG62=FH62,"OK","NG"))</f>
        <v>OK</v>
      </c>
      <c r="FJ62" s="377" t="s">
        <v>345</v>
      </c>
      <c r="FK62" s="230"/>
      <c r="FL62" s="183" t="str">
        <f t="shared" si="212"/>
        <v/>
      </c>
      <c r="FM62" s="203" t="str">
        <f t="shared" ref="FM62:FM68" si="226">IF(OR(FK$11="判定対象外",FL62="-"),"-",IF(FK62=FL62,"OK","NG"))</f>
        <v>OK</v>
      </c>
      <c r="FN62" s="377" t="s">
        <v>345</v>
      </c>
      <c r="FO62" s="230"/>
      <c r="FP62" s="183" t="str">
        <f t="shared" si="213"/>
        <v/>
      </c>
      <c r="FQ62" s="203" t="str">
        <f t="shared" si="72"/>
        <v>OK</v>
      </c>
      <c r="FR62" s="377" t="s">
        <v>345</v>
      </c>
      <c r="FS62" s="230"/>
      <c r="FT62" s="183" t="str">
        <f t="shared" si="214"/>
        <v/>
      </c>
      <c r="FU62" s="203" t="str">
        <f t="shared" ref="FU62:FU69" si="227">IF(OR(FS$11="判定対象外",FT62="-"),"-",IF(FS62=FT62,"OK","NG"))</f>
        <v>OK</v>
      </c>
      <c r="FV62" s="377" t="s">
        <v>345</v>
      </c>
      <c r="FW62" s="230"/>
      <c r="FX62" s="183" t="str">
        <f t="shared" si="215"/>
        <v/>
      </c>
      <c r="FY62" s="203" t="str">
        <f t="shared" ref="FY62:FY69" si="228">IF(OR(FW$11="判定対象外",FX62="-"),"-",IF(FW62=FX62,"OK","NG"))</f>
        <v>OK</v>
      </c>
      <c r="FZ62" s="377" t="s">
        <v>345</v>
      </c>
      <c r="GA62" s="230"/>
      <c r="GB62" s="183" t="str">
        <f t="shared" si="216"/>
        <v/>
      </c>
      <c r="GC62" s="203" t="str">
        <f t="shared" si="78"/>
        <v>OK</v>
      </c>
      <c r="GD62" s="377" t="s">
        <v>345</v>
      </c>
      <c r="GE62" s="230"/>
      <c r="GF62" s="183" t="str">
        <f t="shared" si="217"/>
        <v/>
      </c>
      <c r="GG62" s="203" t="str">
        <f t="shared" ref="GG62:GG70" si="229">IF(OR(GE$11="判定対象外",GF62="-"),"-",IF(GE62=GF62,"OK","NG"))</f>
        <v>OK</v>
      </c>
      <c r="GH62" s="377" t="s">
        <v>345</v>
      </c>
      <c r="GI62" s="230"/>
      <c r="GJ62" s="183" t="str">
        <f t="shared" si="218"/>
        <v/>
      </c>
      <c r="GK62" s="203" t="str">
        <f t="shared" ref="GK62:GK70" si="230">IF(OR(GI$11="判定対象外",GJ62="-"),"-",IF(GI62=GJ62,"OK","NG"))</f>
        <v>OK</v>
      </c>
      <c r="GL62" s="377" t="s">
        <v>345</v>
      </c>
      <c r="GM62" s="230"/>
      <c r="GN62" s="183" t="str">
        <f t="shared" si="219"/>
        <v/>
      </c>
      <c r="GO62" s="203" t="str">
        <f t="shared" si="84"/>
        <v>OK</v>
      </c>
      <c r="GP62" s="378" t="s">
        <v>345</v>
      </c>
      <c r="GQ62" s="230"/>
      <c r="GR62" s="183" t="str">
        <f t="shared" si="220"/>
        <v/>
      </c>
      <c r="GS62" s="203" t="str">
        <f t="shared" ref="GS62:GS70" si="231">IF(OR(GQ$11="判定対象外",GR62="-"),"-",IF(GQ62=GR62,"OK","NG"))</f>
        <v>OK</v>
      </c>
      <c r="GT62" s="202"/>
      <c r="GU62" s="202"/>
      <c r="GV62" s="201"/>
      <c r="GW62" s="201"/>
      <c r="GX62" s="201"/>
    </row>
    <row r="63" spans="1:206">
      <c r="A63" s="200" t="s">
        <v>336</v>
      </c>
      <c r="B63" s="225">
        <f t="shared" si="221"/>
        <v>56</v>
      </c>
      <c r="C63" s="229"/>
      <c r="D63" s="229"/>
      <c r="E63" s="228"/>
      <c r="F63" s="228"/>
      <c r="G63" s="222" t="s">
        <v>343</v>
      </c>
      <c r="H63" s="220"/>
      <c r="I63" s="209"/>
      <c r="J63" s="217" t="s">
        <v>326</v>
      </c>
      <c r="K63" s="219"/>
      <c r="L63" s="219"/>
      <c r="M63" s="218"/>
      <c r="N63" s="217"/>
      <c r="O63" s="216"/>
      <c r="P63" s="212"/>
      <c r="Q63" s="212"/>
      <c r="R63" s="215"/>
      <c r="S63" s="214"/>
      <c r="T63" s="212"/>
      <c r="U63" s="213"/>
      <c r="V63" s="212"/>
      <c r="W63" s="211" t="str">
        <f t="shared" si="222"/>
        <v>4</v>
      </c>
      <c r="X63" s="210" t="s">
        <v>344</v>
      </c>
      <c r="Y63" s="210">
        <v>1</v>
      </c>
      <c r="Z63" s="210">
        <v>180</v>
      </c>
      <c r="AA63" s="209" t="s">
        <v>55</v>
      </c>
      <c r="AB63" s="209" t="s">
        <v>306</v>
      </c>
      <c r="AC63" s="207"/>
      <c r="AD63" s="377" t="s">
        <v>343</v>
      </c>
      <c r="AE63" s="230"/>
      <c r="AF63" s="183" t="str">
        <f t="shared" si="178"/>
        <v/>
      </c>
      <c r="AG63" s="203" t="str">
        <f t="shared" si="175"/>
        <v>OK</v>
      </c>
      <c r="AH63" s="377" t="s">
        <v>343</v>
      </c>
      <c r="AI63" s="230"/>
      <c r="AJ63" s="183" t="str">
        <f t="shared" si="179"/>
        <v/>
      </c>
      <c r="AK63" s="203" t="str">
        <f t="shared" si="176"/>
        <v>OK</v>
      </c>
      <c r="AL63" s="377" t="s">
        <v>343</v>
      </c>
      <c r="AM63" s="230"/>
      <c r="AN63" s="183" t="str">
        <f t="shared" si="180"/>
        <v/>
      </c>
      <c r="AO63" s="203" t="str">
        <f t="shared" si="177"/>
        <v>OK</v>
      </c>
      <c r="AP63" s="377" t="s">
        <v>343</v>
      </c>
      <c r="AQ63" s="230"/>
      <c r="AR63" s="183" t="str">
        <f t="shared" si="181"/>
        <v/>
      </c>
      <c r="AS63" s="203" t="str">
        <f t="shared" si="8"/>
        <v>OK</v>
      </c>
      <c r="AT63" s="377" t="s">
        <v>343</v>
      </c>
      <c r="AU63" s="230"/>
      <c r="AV63" s="183" t="str">
        <f t="shared" si="182"/>
        <v/>
      </c>
      <c r="AW63" s="203" t="str">
        <f t="shared" si="10"/>
        <v>OK</v>
      </c>
      <c r="AX63" s="377" t="s">
        <v>343</v>
      </c>
      <c r="AY63" s="230"/>
      <c r="AZ63" s="183" t="str">
        <f t="shared" si="183"/>
        <v/>
      </c>
      <c r="BA63" s="203" t="str">
        <f t="shared" si="12"/>
        <v>OK</v>
      </c>
      <c r="BB63" s="377" t="s">
        <v>343</v>
      </c>
      <c r="BC63" s="230"/>
      <c r="BD63" s="183" t="str">
        <f t="shared" si="184"/>
        <v/>
      </c>
      <c r="BE63" s="203" t="str">
        <f t="shared" si="14"/>
        <v>OK</v>
      </c>
      <c r="BF63" s="377" t="s">
        <v>343</v>
      </c>
      <c r="BG63" s="230"/>
      <c r="BH63" s="183" t="str">
        <f t="shared" si="185"/>
        <v/>
      </c>
      <c r="BI63" s="203" t="str">
        <f t="shared" si="16"/>
        <v>OK</v>
      </c>
      <c r="BJ63" s="377" t="s">
        <v>343</v>
      </c>
      <c r="BK63" s="230"/>
      <c r="BL63" s="183" t="str">
        <f t="shared" si="186"/>
        <v/>
      </c>
      <c r="BM63" s="203" t="str">
        <f t="shared" si="18"/>
        <v>OK</v>
      </c>
      <c r="BN63" s="377" t="s">
        <v>343</v>
      </c>
      <c r="BO63" s="230"/>
      <c r="BP63" s="183" t="str">
        <f t="shared" si="187"/>
        <v/>
      </c>
      <c r="BQ63" s="203" t="str">
        <f t="shared" si="20"/>
        <v>OK</v>
      </c>
      <c r="BR63" s="377" t="s">
        <v>343</v>
      </c>
      <c r="BS63" s="230"/>
      <c r="BT63" s="183" t="str">
        <f t="shared" si="188"/>
        <v/>
      </c>
      <c r="BU63" s="203" t="str">
        <f t="shared" si="22"/>
        <v>OK</v>
      </c>
      <c r="BV63" s="377" t="s">
        <v>343</v>
      </c>
      <c r="BW63" s="230"/>
      <c r="BX63" s="183" t="str">
        <f t="shared" si="189"/>
        <v/>
      </c>
      <c r="BY63" s="203" t="str">
        <f t="shared" si="24"/>
        <v>OK</v>
      </c>
      <c r="BZ63" s="377" t="s">
        <v>343</v>
      </c>
      <c r="CA63" s="230"/>
      <c r="CB63" s="183" t="str">
        <f t="shared" si="190"/>
        <v/>
      </c>
      <c r="CC63" s="203" t="str">
        <f t="shared" ref="CC63:CC81" si="232">IF(OR(CA$8="判定対象外",CB63="-"),"-",IF(CA63=CB63,"OK","NG"))</f>
        <v>OK</v>
      </c>
      <c r="CD63" s="377" t="s">
        <v>343</v>
      </c>
      <c r="CE63" s="230"/>
      <c r="CF63" s="183" t="str">
        <f t="shared" si="191"/>
        <v/>
      </c>
      <c r="CG63" s="203" t="str">
        <f t="shared" ref="CG63:CG81" si="233">IF(OR(CE$8="判定対象外",CF63="-"),"-",IF(CE63=CF63,"OK","NG"))</f>
        <v>OK</v>
      </c>
      <c r="CH63" s="377" t="s">
        <v>343</v>
      </c>
      <c r="CI63" s="230"/>
      <c r="CJ63" s="183" t="str">
        <f t="shared" si="192"/>
        <v/>
      </c>
      <c r="CK63" s="203" t="str">
        <f t="shared" si="30"/>
        <v>OK</v>
      </c>
      <c r="CL63" s="378"/>
      <c r="CM63" s="230"/>
      <c r="CN63" s="183" t="str">
        <f>IF($AB63="I","",IF($AA63="","",IF(CL63="","",CL63)))</f>
        <v/>
      </c>
      <c r="CO63" s="203" t="str">
        <f>IF(OR(CM$8="判定対象外",CN63="-"),"-",IF(CM63=CN63,"OK","NG"))</f>
        <v>OK</v>
      </c>
      <c r="CP63" s="379" t="s">
        <v>584</v>
      </c>
      <c r="CQ63" s="230"/>
      <c r="CR63" s="183" t="str">
        <f>IF($AB63="I","",IF($AA63="","",IF(CP63="","",CP63)))</f>
        <v/>
      </c>
      <c r="CS63" s="203" t="str">
        <f>IF(OR(CQ$8="判定対象外",CR63="-"),"-",IF(CQ63=CR63,"OK","NG"))</f>
        <v>OK</v>
      </c>
      <c r="CT63" s="379" t="s">
        <v>576</v>
      </c>
      <c r="CU63" s="230"/>
      <c r="CV63" s="183" t="str">
        <f t="shared" si="195"/>
        <v/>
      </c>
      <c r="CW63" s="203" t="str">
        <f t="shared" si="36"/>
        <v>OK</v>
      </c>
      <c r="CX63" s="377" t="s">
        <v>148</v>
      </c>
      <c r="CY63" s="230"/>
      <c r="CZ63" s="183" t="str">
        <f>IF($AB63="I","",IF($AA63="","",IF(CX63="","",CX63)))</f>
        <v/>
      </c>
      <c r="DA63" s="203" t="str">
        <f>IF(OR(CY$11="判定対象外",CZ63="-"),"-",IF(CY63=CZ63,"OK","NG"))</f>
        <v>OK</v>
      </c>
      <c r="DB63" s="377" t="s">
        <v>148</v>
      </c>
      <c r="DC63" s="230"/>
      <c r="DD63" s="183" t="str">
        <f>IF($AB63="I","",IF($AA63="","",IF(DB63="","",DB63)))</f>
        <v/>
      </c>
      <c r="DE63" s="203" t="str">
        <f>IF(OR(DC$11="判定対象外",DD63="-"),"-",IF(DC63=DD63,"OK","NG"))</f>
        <v>OK</v>
      </c>
      <c r="DF63" s="377" t="s">
        <v>148</v>
      </c>
      <c r="DG63" s="230"/>
      <c r="DH63" s="183" t="str">
        <f t="shared" si="198"/>
        <v/>
      </c>
      <c r="DI63" s="203" t="str">
        <f t="shared" si="42"/>
        <v>OK</v>
      </c>
      <c r="DJ63" s="377" t="s">
        <v>148</v>
      </c>
      <c r="DK63" s="230"/>
      <c r="DL63" s="183" t="str">
        <f t="shared" si="199"/>
        <v/>
      </c>
      <c r="DM63" s="203" t="str">
        <f>IF(OR(DK$11="判定対象外",DL63="-"),"-",IF(DK63=DL63,"OK","NG"))</f>
        <v>OK</v>
      </c>
      <c r="DN63" s="377" t="s">
        <v>148</v>
      </c>
      <c r="DO63" s="230"/>
      <c r="DP63" s="183" t="str">
        <f t="shared" si="200"/>
        <v/>
      </c>
      <c r="DQ63" s="203" t="str">
        <f>IF(OR(DO$11="判定対象外",DP63="-"),"-",IF(DO63=DP63,"OK","NG"))</f>
        <v>OK</v>
      </c>
      <c r="DR63" s="377" t="s">
        <v>148</v>
      </c>
      <c r="DS63" s="230"/>
      <c r="DT63" s="183" t="str">
        <f t="shared" si="201"/>
        <v/>
      </c>
      <c r="DU63" s="203" t="str">
        <f t="shared" si="48"/>
        <v>OK</v>
      </c>
      <c r="DV63" s="377" t="s">
        <v>148</v>
      </c>
      <c r="DW63" s="230"/>
      <c r="DX63" s="183" t="str">
        <f t="shared" si="202"/>
        <v/>
      </c>
      <c r="DY63" s="203" t="str">
        <f>IF(OR(DW$11="判定対象外",DX63="-"),"-",IF(DW63=DX63,"OK","NG"))</f>
        <v>OK</v>
      </c>
      <c r="DZ63" s="377" t="s">
        <v>148</v>
      </c>
      <c r="EA63" s="230"/>
      <c r="EB63" s="183" t="str">
        <f t="shared" si="203"/>
        <v/>
      </c>
      <c r="EC63" s="203" t="str">
        <f>IF(OR(EA$11="判定対象外",EB63="-"),"-",IF(EA63=EB63,"OK","NG"))</f>
        <v>OK</v>
      </c>
      <c r="ED63" s="377" t="s">
        <v>148</v>
      </c>
      <c r="EE63" s="230"/>
      <c r="EF63" s="183" t="str">
        <f t="shared" si="204"/>
        <v/>
      </c>
      <c r="EG63" s="203" t="str">
        <f t="shared" si="54"/>
        <v>OK</v>
      </c>
      <c r="EH63" s="377" t="s">
        <v>148</v>
      </c>
      <c r="EI63" s="230"/>
      <c r="EJ63" s="183" t="str">
        <f t="shared" si="205"/>
        <v/>
      </c>
      <c r="EK63" s="203" t="str">
        <f>IF(OR(EI$11="判定対象外",EJ63="-"),"-",IF(EI63=EJ63,"OK","NG"))</f>
        <v>OK</v>
      </c>
      <c r="EL63" s="377" t="s">
        <v>148</v>
      </c>
      <c r="EM63" s="230"/>
      <c r="EN63" s="183" t="str">
        <f t="shared" si="206"/>
        <v/>
      </c>
      <c r="EO63" s="203" t="str">
        <f>IF(OR(EM$11="判定対象外",EN63="-"),"-",IF(EM63=EN63,"OK","NG"))</f>
        <v>OK</v>
      </c>
      <c r="EP63" s="377" t="s">
        <v>148</v>
      </c>
      <c r="EQ63" s="230"/>
      <c r="ER63" s="183" t="str">
        <f t="shared" si="207"/>
        <v/>
      </c>
      <c r="ES63" s="203" t="str">
        <f t="shared" si="60"/>
        <v>OK</v>
      </c>
      <c r="ET63" s="377" t="s">
        <v>148</v>
      </c>
      <c r="EU63" s="230"/>
      <c r="EV63" s="183" t="str">
        <f t="shared" si="208"/>
        <v/>
      </c>
      <c r="EW63" s="203" t="str">
        <f t="shared" si="223"/>
        <v>OK</v>
      </c>
      <c r="EX63" s="377" t="s">
        <v>148</v>
      </c>
      <c r="EY63" s="230"/>
      <c r="EZ63" s="183" t="str">
        <f t="shared" si="209"/>
        <v/>
      </c>
      <c r="FA63" s="203" t="str">
        <f t="shared" si="224"/>
        <v>OK</v>
      </c>
      <c r="FB63" s="377" t="s">
        <v>148</v>
      </c>
      <c r="FC63" s="230"/>
      <c r="FD63" s="183" t="str">
        <f t="shared" si="210"/>
        <v/>
      </c>
      <c r="FE63" s="203" t="str">
        <f t="shared" si="66"/>
        <v>OK</v>
      </c>
      <c r="FF63" s="377" t="s">
        <v>148</v>
      </c>
      <c r="FG63" s="230"/>
      <c r="FH63" s="183" t="str">
        <f t="shared" si="211"/>
        <v/>
      </c>
      <c r="FI63" s="203" t="str">
        <f t="shared" si="225"/>
        <v>OK</v>
      </c>
      <c r="FJ63" s="377" t="s">
        <v>148</v>
      </c>
      <c r="FK63" s="230"/>
      <c r="FL63" s="183" t="str">
        <f t="shared" si="212"/>
        <v/>
      </c>
      <c r="FM63" s="203" t="str">
        <f t="shared" si="226"/>
        <v>OK</v>
      </c>
      <c r="FN63" s="377" t="s">
        <v>148</v>
      </c>
      <c r="FO63" s="230"/>
      <c r="FP63" s="183" t="str">
        <f t="shared" si="213"/>
        <v/>
      </c>
      <c r="FQ63" s="203" t="str">
        <f t="shared" si="72"/>
        <v>OK</v>
      </c>
      <c r="FR63" s="377" t="s">
        <v>148</v>
      </c>
      <c r="FS63" s="230"/>
      <c r="FT63" s="183" t="str">
        <f t="shared" si="214"/>
        <v/>
      </c>
      <c r="FU63" s="203" t="str">
        <f t="shared" si="227"/>
        <v>OK</v>
      </c>
      <c r="FV63" s="377" t="s">
        <v>148</v>
      </c>
      <c r="FW63" s="230"/>
      <c r="FX63" s="183" t="str">
        <f t="shared" si="215"/>
        <v/>
      </c>
      <c r="FY63" s="203" t="str">
        <f t="shared" si="228"/>
        <v>OK</v>
      </c>
      <c r="FZ63" s="377" t="s">
        <v>148</v>
      </c>
      <c r="GA63" s="230"/>
      <c r="GB63" s="183" t="str">
        <f t="shared" si="216"/>
        <v/>
      </c>
      <c r="GC63" s="203" t="str">
        <f t="shared" si="78"/>
        <v>OK</v>
      </c>
      <c r="GD63" s="377" t="s">
        <v>148</v>
      </c>
      <c r="GE63" s="230"/>
      <c r="GF63" s="183" t="str">
        <f t="shared" si="217"/>
        <v/>
      </c>
      <c r="GG63" s="203" t="str">
        <f t="shared" si="229"/>
        <v>OK</v>
      </c>
      <c r="GH63" s="377" t="s">
        <v>148</v>
      </c>
      <c r="GI63" s="230"/>
      <c r="GJ63" s="183" t="str">
        <f t="shared" si="218"/>
        <v/>
      </c>
      <c r="GK63" s="203" t="str">
        <f t="shared" si="230"/>
        <v>OK</v>
      </c>
      <c r="GL63" s="377" t="s">
        <v>148</v>
      </c>
      <c r="GM63" s="230"/>
      <c r="GN63" s="183" t="str">
        <f t="shared" si="219"/>
        <v/>
      </c>
      <c r="GO63" s="203" t="str">
        <f t="shared" si="84"/>
        <v>OK</v>
      </c>
      <c r="GP63" s="378" t="s">
        <v>148</v>
      </c>
      <c r="GQ63" s="230"/>
      <c r="GR63" s="183" t="str">
        <f t="shared" si="220"/>
        <v/>
      </c>
      <c r="GS63" s="203" t="str">
        <f t="shared" si="231"/>
        <v>OK</v>
      </c>
      <c r="GT63" s="202"/>
      <c r="GU63" s="202"/>
      <c r="GV63" s="201"/>
      <c r="GW63" s="201"/>
      <c r="GX63" s="201"/>
    </row>
    <row r="64" spans="1:206">
      <c r="A64" s="200" t="s">
        <v>298</v>
      </c>
      <c r="B64" s="225">
        <f t="shared" si="221"/>
        <v>57</v>
      </c>
      <c r="C64" s="229"/>
      <c r="D64" s="229"/>
      <c r="E64" s="228"/>
      <c r="F64" s="228"/>
      <c r="G64" s="222" t="s">
        <v>341</v>
      </c>
      <c r="H64" s="220"/>
      <c r="I64" s="209"/>
      <c r="J64" s="217" t="s">
        <v>326</v>
      </c>
      <c r="K64" s="219"/>
      <c r="L64" s="219"/>
      <c r="M64" s="218"/>
      <c r="N64" s="217"/>
      <c r="O64" s="216"/>
      <c r="P64" s="212"/>
      <c r="Q64" s="212"/>
      <c r="R64" s="215"/>
      <c r="S64" s="214"/>
      <c r="T64" s="212"/>
      <c r="U64" s="213"/>
      <c r="V64" s="212"/>
      <c r="W64" s="211" t="str">
        <f t="shared" si="222"/>
        <v>4</v>
      </c>
      <c r="X64" s="210" t="s">
        <v>342</v>
      </c>
      <c r="Y64" s="210">
        <v>1</v>
      </c>
      <c r="Z64" s="210">
        <v>180</v>
      </c>
      <c r="AA64" s="209" t="s">
        <v>55</v>
      </c>
      <c r="AB64" s="209" t="s">
        <v>306</v>
      </c>
      <c r="AC64" s="207"/>
      <c r="AD64" s="377" t="s">
        <v>341</v>
      </c>
      <c r="AE64" s="230"/>
      <c r="AF64" s="183" t="str">
        <f t="shared" si="178"/>
        <v/>
      </c>
      <c r="AG64" s="203" t="str">
        <f t="shared" si="175"/>
        <v>OK</v>
      </c>
      <c r="AH64" s="377" t="s">
        <v>341</v>
      </c>
      <c r="AI64" s="230"/>
      <c r="AJ64" s="183" t="str">
        <f t="shared" si="179"/>
        <v/>
      </c>
      <c r="AK64" s="203" t="str">
        <f t="shared" si="176"/>
        <v>OK</v>
      </c>
      <c r="AL64" s="377" t="s">
        <v>341</v>
      </c>
      <c r="AM64" s="230"/>
      <c r="AN64" s="183" t="str">
        <f t="shared" si="180"/>
        <v/>
      </c>
      <c r="AO64" s="203" t="str">
        <f t="shared" si="177"/>
        <v>OK</v>
      </c>
      <c r="AP64" s="377" t="s">
        <v>341</v>
      </c>
      <c r="AQ64" s="230"/>
      <c r="AR64" s="183" t="str">
        <f t="shared" si="181"/>
        <v/>
      </c>
      <c r="AS64" s="203" t="str">
        <f t="shared" si="8"/>
        <v>OK</v>
      </c>
      <c r="AT64" s="377" t="s">
        <v>341</v>
      </c>
      <c r="AU64" s="230"/>
      <c r="AV64" s="183" t="str">
        <f t="shared" si="182"/>
        <v/>
      </c>
      <c r="AW64" s="203" t="str">
        <f t="shared" si="10"/>
        <v>OK</v>
      </c>
      <c r="AX64" s="377" t="s">
        <v>341</v>
      </c>
      <c r="AY64" s="230"/>
      <c r="AZ64" s="183" t="str">
        <f t="shared" si="183"/>
        <v/>
      </c>
      <c r="BA64" s="203" t="str">
        <f t="shared" si="12"/>
        <v>OK</v>
      </c>
      <c r="BB64" s="377" t="s">
        <v>341</v>
      </c>
      <c r="BC64" s="230"/>
      <c r="BD64" s="183" t="str">
        <f t="shared" si="184"/>
        <v/>
      </c>
      <c r="BE64" s="203" t="str">
        <f t="shared" si="14"/>
        <v>OK</v>
      </c>
      <c r="BF64" s="377" t="s">
        <v>341</v>
      </c>
      <c r="BG64" s="230"/>
      <c r="BH64" s="183" t="str">
        <f t="shared" si="185"/>
        <v/>
      </c>
      <c r="BI64" s="203" t="str">
        <f t="shared" si="16"/>
        <v>OK</v>
      </c>
      <c r="BJ64" s="377" t="s">
        <v>341</v>
      </c>
      <c r="BK64" s="230"/>
      <c r="BL64" s="183" t="str">
        <f t="shared" si="186"/>
        <v/>
      </c>
      <c r="BM64" s="203" t="str">
        <f t="shared" si="18"/>
        <v>OK</v>
      </c>
      <c r="BN64" s="377" t="s">
        <v>341</v>
      </c>
      <c r="BO64" s="230"/>
      <c r="BP64" s="183" t="str">
        <f t="shared" si="187"/>
        <v/>
      </c>
      <c r="BQ64" s="203" t="str">
        <f t="shared" si="20"/>
        <v>OK</v>
      </c>
      <c r="BR64" s="377" t="s">
        <v>341</v>
      </c>
      <c r="BS64" s="230"/>
      <c r="BT64" s="183" t="str">
        <f t="shared" si="188"/>
        <v/>
      </c>
      <c r="BU64" s="203" t="str">
        <f t="shared" si="22"/>
        <v>OK</v>
      </c>
      <c r="BV64" s="377" t="s">
        <v>341</v>
      </c>
      <c r="BW64" s="230"/>
      <c r="BX64" s="183" t="str">
        <f t="shared" si="189"/>
        <v/>
      </c>
      <c r="BY64" s="203" t="str">
        <f t="shared" si="24"/>
        <v>OK</v>
      </c>
      <c r="BZ64" s="377" t="s">
        <v>341</v>
      </c>
      <c r="CA64" s="230"/>
      <c r="CB64" s="183" t="str">
        <f t="shared" si="190"/>
        <v/>
      </c>
      <c r="CC64" s="203" t="str">
        <f t="shared" si="232"/>
        <v>OK</v>
      </c>
      <c r="CD64" s="377" t="s">
        <v>341</v>
      </c>
      <c r="CE64" s="230"/>
      <c r="CF64" s="183" t="str">
        <f t="shared" si="191"/>
        <v/>
      </c>
      <c r="CG64" s="203" t="str">
        <f t="shared" si="233"/>
        <v>OK</v>
      </c>
      <c r="CH64" s="377" t="s">
        <v>341</v>
      </c>
      <c r="CI64" s="230"/>
      <c r="CJ64" s="183" t="str">
        <f t="shared" si="192"/>
        <v/>
      </c>
      <c r="CK64" s="203" t="str">
        <f t="shared" si="30"/>
        <v>OK</v>
      </c>
      <c r="CL64" s="377" t="s">
        <v>341</v>
      </c>
      <c r="CM64" s="230"/>
      <c r="CN64" s="183" t="str">
        <f t="shared" si="193"/>
        <v/>
      </c>
      <c r="CO64" s="203" t="str">
        <f t="shared" ref="CO64:CO81" si="234">IF(OR(CM$8="判定対象外",CN64="-"),"-",IF(CM64=CN64,"OK","NG"))</f>
        <v>OK</v>
      </c>
      <c r="CP64" s="377" t="s">
        <v>341</v>
      </c>
      <c r="CQ64" s="230"/>
      <c r="CR64" s="183" t="str">
        <f t="shared" si="194"/>
        <v/>
      </c>
      <c r="CS64" s="203" t="str">
        <f t="shared" ref="CS64:CS81" si="235">IF(OR(CQ$8="判定対象外",CR64="-"),"-",IF(CQ64=CR64,"OK","NG"))</f>
        <v>OK</v>
      </c>
      <c r="CT64" s="377" t="s">
        <v>341</v>
      </c>
      <c r="CU64" s="230"/>
      <c r="CV64" s="183" t="str">
        <f t="shared" si="195"/>
        <v/>
      </c>
      <c r="CW64" s="203" t="str">
        <f t="shared" si="36"/>
        <v>OK</v>
      </c>
      <c r="CX64" s="378"/>
      <c r="CY64" s="230"/>
      <c r="CZ64" s="183" t="str">
        <f>IF($AB64="I","",IF($AA64="","",IF(CX64="","",CX64)))</f>
        <v/>
      </c>
      <c r="DA64" s="203" t="str">
        <f>IF(OR(CY$8="判定対象外",CZ64="-"),"-",IF(CY64=CZ64,"OK","NG"))</f>
        <v>OK</v>
      </c>
      <c r="DB64" s="379" t="s">
        <v>584</v>
      </c>
      <c r="DC64" s="230"/>
      <c r="DD64" s="183" t="str">
        <f>IF($AB64="I","",IF($AA64="","",IF(DB64="","",DB64)))</f>
        <v/>
      </c>
      <c r="DE64" s="203" t="str">
        <f>IF(OR(DC$8="判定対象外",DD64="-"),"-",IF(DC64=DD64,"OK","NG"))</f>
        <v>OK</v>
      </c>
      <c r="DF64" s="379" t="s">
        <v>576</v>
      </c>
      <c r="DG64" s="230"/>
      <c r="DH64" s="183" t="str">
        <f t="shared" si="198"/>
        <v/>
      </c>
      <c r="DI64" s="203" t="str">
        <f t="shared" si="42"/>
        <v>OK</v>
      </c>
      <c r="DJ64" s="377" t="s">
        <v>577</v>
      </c>
      <c r="DK64" s="230"/>
      <c r="DL64" s="183" t="str">
        <f>IF($AB64="I","",IF($AA64="","",IF(DJ64="","",DJ64)))</f>
        <v/>
      </c>
      <c r="DM64" s="203" t="str">
        <f>IF(OR(DK$11="判定対象外",DL64="-"),"-",IF(DK64=DL64,"OK","NG"))</f>
        <v>OK</v>
      </c>
      <c r="DN64" s="377" t="s">
        <v>577</v>
      </c>
      <c r="DO64" s="230"/>
      <c r="DP64" s="183" t="str">
        <f>IF($AB64="I","",IF($AA64="","",IF(DN64="","",DN64)))</f>
        <v/>
      </c>
      <c r="DQ64" s="203" t="str">
        <f>IF(OR(DO$11="判定対象外",DP64="-"),"-",IF(DO64=DP64,"OK","NG"))</f>
        <v>OK</v>
      </c>
      <c r="DR64" s="377" t="s">
        <v>577</v>
      </c>
      <c r="DS64" s="230"/>
      <c r="DT64" s="183" t="str">
        <f t="shared" si="201"/>
        <v/>
      </c>
      <c r="DU64" s="203" t="str">
        <f t="shared" si="48"/>
        <v>OK</v>
      </c>
      <c r="DV64" s="377" t="s">
        <v>577</v>
      </c>
      <c r="DW64" s="230"/>
      <c r="DX64" s="183" t="str">
        <f t="shared" si="202"/>
        <v/>
      </c>
      <c r="DY64" s="203" t="str">
        <f>IF(OR(DW$11="判定対象外",DX64="-"),"-",IF(DW64=DX64,"OK","NG"))</f>
        <v>OK</v>
      </c>
      <c r="DZ64" s="377" t="s">
        <v>577</v>
      </c>
      <c r="EA64" s="230"/>
      <c r="EB64" s="183" t="str">
        <f t="shared" si="203"/>
        <v/>
      </c>
      <c r="EC64" s="203" t="str">
        <f>IF(OR(EA$11="判定対象外",EB64="-"),"-",IF(EA64=EB64,"OK","NG"))</f>
        <v>OK</v>
      </c>
      <c r="ED64" s="377" t="s">
        <v>577</v>
      </c>
      <c r="EE64" s="230"/>
      <c r="EF64" s="183" t="str">
        <f t="shared" si="204"/>
        <v/>
      </c>
      <c r="EG64" s="203" t="str">
        <f t="shared" si="54"/>
        <v>OK</v>
      </c>
      <c r="EH64" s="377" t="s">
        <v>577</v>
      </c>
      <c r="EI64" s="230"/>
      <c r="EJ64" s="183" t="str">
        <f t="shared" si="205"/>
        <v/>
      </c>
      <c r="EK64" s="203" t="str">
        <f>IF(OR(EI$11="判定対象外",EJ64="-"),"-",IF(EI64=EJ64,"OK","NG"))</f>
        <v>OK</v>
      </c>
      <c r="EL64" s="377" t="s">
        <v>577</v>
      </c>
      <c r="EM64" s="230"/>
      <c r="EN64" s="183" t="str">
        <f t="shared" si="206"/>
        <v/>
      </c>
      <c r="EO64" s="203" t="str">
        <f>IF(OR(EM$11="判定対象外",EN64="-"),"-",IF(EM64=EN64,"OK","NG"))</f>
        <v>OK</v>
      </c>
      <c r="EP64" s="377" t="s">
        <v>577</v>
      </c>
      <c r="EQ64" s="230"/>
      <c r="ER64" s="183" t="str">
        <f t="shared" si="207"/>
        <v/>
      </c>
      <c r="ES64" s="203" t="str">
        <f t="shared" si="60"/>
        <v>OK</v>
      </c>
      <c r="ET64" s="377" t="s">
        <v>577</v>
      </c>
      <c r="EU64" s="230"/>
      <c r="EV64" s="183" t="str">
        <f t="shared" si="208"/>
        <v/>
      </c>
      <c r="EW64" s="203" t="str">
        <f t="shared" si="223"/>
        <v>OK</v>
      </c>
      <c r="EX64" s="377" t="s">
        <v>577</v>
      </c>
      <c r="EY64" s="230"/>
      <c r="EZ64" s="183" t="str">
        <f t="shared" si="209"/>
        <v/>
      </c>
      <c r="FA64" s="203" t="str">
        <f t="shared" si="224"/>
        <v>OK</v>
      </c>
      <c r="FB64" s="377" t="s">
        <v>577</v>
      </c>
      <c r="FC64" s="230"/>
      <c r="FD64" s="183" t="str">
        <f t="shared" si="210"/>
        <v/>
      </c>
      <c r="FE64" s="203" t="str">
        <f t="shared" si="66"/>
        <v>OK</v>
      </c>
      <c r="FF64" s="377" t="s">
        <v>577</v>
      </c>
      <c r="FG64" s="230"/>
      <c r="FH64" s="183" t="str">
        <f t="shared" si="211"/>
        <v/>
      </c>
      <c r="FI64" s="203" t="str">
        <f t="shared" si="225"/>
        <v>OK</v>
      </c>
      <c r="FJ64" s="377" t="s">
        <v>577</v>
      </c>
      <c r="FK64" s="230"/>
      <c r="FL64" s="183" t="str">
        <f t="shared" si="212"/>
        <v/>
      </c>
      <c r="FM64" s="203" t="str">
        <f t="shared" si="226"/>
        <v>OK</v>
      </c>
      <c r="FN64" s="377" t="s">
        <v>577</v>
      </c>
      <c r="FO64" s="230"/>
      <c r="FP64" s="183" t="str">
        <f t="shared" si="213"/>
        <v/>
      </c>
      <c r="FQ64" s="203" t="str">
        <f t="shared" si="72"/>
        <v>OK</v>
      </c>
      <c r="FR64" s="377" t="s">
        <v>577</v>
      </c>
      <c r="FS64" s="230"/>
      <c r="FT64" s="183" t="str">
        <f t="shared" si="214"/>
        <v/>
      </c>
      <c r="FU64" s="203" t="str">
        <f t="shared" si="227"/>
        <v>OK</v>
      </c>
      <c r="FV64" s="377" t="s">
        <v>577</v>
      </c>
      <c r="FW64" s="230"/>
      <c r="FX64" s="183" t="str">
        <f t="shared" si="215"/>
        <v/>
      </c>
      <c r="FY64" s="203" t="str">
        <f t="shared" si="228"/>
        <v>OK</v>
      </c>
      <c r="FZ64" s="377" t="s">
        <v>577</v>
      </c>
      <c r="GA64" s="230"/>
      <c r="GB64" s="183" t="str">
        <f t="shared" si="216"/>
        <v/>
      </c>
      <c r="GC64" s="203" t="str">
        <f t="shared" si="78"/>
        <v>OK</v>
      </c>
      <c r="GD64" s="377" t="s">
        <v>577</v>
      </c>
      <c r="GE64" s="230"/>
      <c r="GF64" s="183" t="str">
        <f t="shared" si="217"/>
        <v/>
      </c>
      <c r="GG64" s="203" t="str">
        <f t="shared" si="229"/>
        <v>OK</v>
      </c>
      <c r="GH64" s="377" t="s">
        <v>577</v>
      </c>
      <c r="GI64" s="230"/>
      <c r="GJ64" s="183" t="str">
        <f t="shared" si="218"/>
        <v/>
      </c>
      <c r="GK64" s="203" t="str">
        <f t="shared" si="230"/>
        <v>OK</v>
      </c>
      <c r="GL64" s="377" t="s">
        <v>577</v>
      </c>
      <c r="GM64" s="230"/>
      <c r="GN64" s="183" t="str">
        <f t="shared" si="219"/>
        <v/>
      </c>
      <c r="GO64" s="203" t="str">
        <f t="shared" si="84"/>
        <v>OK</v>
      </c>
      <c r="GP64" s="378" t="s">
        <v>577</v>
      </c>
      <c r="GQ64" s="230"/>
      <c r="GR64" s="183" t="str">
        <f t="shared" si="220"/>
        <v/>
      </c>
      <c r="GS64" s="203" t="str">
        <f t="shared" si="231"/>
        <v>OK</v>
      </c>
      <c r="GT64" s="202"/>
      <c r="GU64" s="202"/>
      <c r="GV64" s="201"/>
      <c r="GW64" s="201"/>
      <c r="GX64" s="201"/>
    </row>
    <row r="65" spans="1:206">
      <c r="A65" s="200" t="s">
        <v>298</v>
      </c>
      <c r="B65" s="225">
        <f t="shared" si="221"/>
        <v>58</v>
      </c>
      <c r="C65" s="229"/>
      <c r="D65" s="229"/>
      <c r="E65" s="228"/>
      <c r="F65" s="228"/>
      <c r="G65" s="222" t="s">
        <v>339</v>
      </c>
      <c r="H65" s="220"/>
      <c r="I65" s="209"/>
      <c r="J65" s="217" t="s">
        <v>326</v>
      </c>
      <c r="K65" s="219"/>
      <c r="L65" s="219"/>
      <c r="M65" s="218"/>
      <c r="N65" s="217"/>
      <c r="O65" s="216"/>
      <c r="P65" s="212"/>
      <c r="Q65" s="212"/>
      <c r="R65" s="215"/>
      <c r="S65" s="214"/>
      <c r="T65" s="212"/>
      <c r="U65" s="213"/>
      <c r="V65" s="212"/>
      <c r="W65" s="211" t="str">
        <f t="shared" si="222"/>
        <v>4</v>
      </c>
      <c r="X65" s="210" t="s">
        <v>340</v>
      </c>
      <c r="Y65" s="210">
        <v>1</v>
      </c>
      <c r="Z65" s="210">
        <v>180</v>
      </c>
      <c r="AA65" s="209" t="s">
        <v>55</v>
      </c>
      <c r="AB65" s="209" t="s">
        <v>306</v>
      </c>
      <c r="AC65" s="207"/>
      <c r="AD65" s="377" t="s">
        <v>339</v>
      </c>
      <c r="AE65" s="230"/>
      <c r="AF65" s="183" t="str">
        <f t="shared" si="178"/>
        <v/>
      </c>
      <c r="AG65" s="203" t="str">
        <f t="shared" si="175"/>
        <v>OK</v>
      </c>
      <c r="AH65" s="377" t="s">
        <v>339</v>
      </c>
      <c r="AI65" s="230"/>
      <c r="AJ65" s="183" t="str">
        <f t="shared" si="179"/>
        <v/>
      </c>
      <c r="AK65" s="203" t="str">
        <f t="shared" si="176"/>
        <v>OK</v>
      </c>
      <c r="AL65" s="377" t="s">
        <v>339</v>
      </c>
      <c r="AM65" s="230"/>
      <c r="AN65" s="183" t="str">
        <f t="shared" si="180"/>
        <v/>
      </c>
      <c r="AO65" s="203" t="str">
        <f t="shared" si="177"/>
        <v>OK</v>
      </c>
      <c r="AP65" s="377" t="s">
        <v>339</v>
      </c>
      <c r="AQ65" s="230"/>
      <c r="AR65" s="183" t="str">
        <f t="shared" si="181"/>
        <v/>
      </c>
      <c r="AS65" s="203" t="str">
        <f t="shared" si="8"/>
        <v>OK</v>
      </c>
      <c r="AT65" s="377" t="s">
        <v>339</v>
      </c>
      <c r="AU65" s="230"/>
      <c r="AV65" s="183" t="str">
        <f t="shared" si="182"/>
        <v/>
      </c>
      <c r="AW65" s="203" t="str">
        <f t="shared" si="10"/>
        <v>OK</v>
      </c>
      <c r="AX65" s="377" t="s">
        <v>339</v>
      </c>
      <c r="AY65" s="230"/>
      <c r="AZ65" s="183" t="str">
        <f t="shared" si="183"/>
        <v/>
      </c>
      <c r="BA65" s="203" t="str">
        <f t="shared" si="12"/>
        <v>OK</v>
      </c>
      <c r="BB65" s="377" t="s">
        <v>339</v>
      </c>
      <c r="BC65" s="230"/>
      <c r="BD65" s="183" t="str">
        <f t="shared" si="184"/>
        <v/>
      </c>
      <c r="BE65" s="203" t="str">
        <f t="shared" si="14"/>
        <v>OK</v>
      </c>
      <c r="BF65" s="377" t="s">
        <v>339</v>
      </c>
      <c r="BG65" s="230"/>
      <c r="BH65" s="183" t="str">
        <f t="shared" si="185"/>
        <v/>
      </c>
      <c r="BI65" s="203" t="str">
        <f t="shared" si="16"/>
        <v>OK</v>
      </c>
      <c r="BJ65" s="377" t="s">
        <v>339</v>
      </c>
      <c r="BK65" s="230"/>
      <c r="BL65" s="183" t="str">
        <f t="shared" si="186"/>
        <v/>
      </c>
      <c r="BM65" s="203" t="str">
        <f t="shared" si="18"/>
        <v>OK</v>
      </c>
      <c r="BN65" s="377" t="s">
        <v>339</v>
      </c>
      <c r="BO65" s="230"/>
      <c r="BP65" s="183" t="str">
        <f t="shared" si="187"/>
        <v/>
      </c>
      <c r="BQ65" s="203" t="str">
        <f t="shared" si="20"/>
        <v>OK</v>
      </c>
      <c r="BR65" s="377" t="s">
        <v>339</v>
      </c>
      <c r="BS65" s="230"/>
      <c r="BT65" s="183" t="str">
        <f t="shared" si="188"/>
        <v/>
      </c>
      <c r="BU65" s="203" t="str">
        <f t="shared" si="22"/>
        <v>OK</v>
      </c>
      <c r="BV65" s="377" t="s">
        <v>339</v>
      </c>
      <c r="BW65" s="230"/>
      <c r="BX65" s="183" t="str">
        <f t="shared" si="189"/>
        <v/>
      </c>
      <c r="BY65" s="203" t="str">
        <f t="shared" si="24"/>
        <v>OK</v>
      </c>
      <c r="BZ65" s="377" t="s">
        <v>339</v>
      </c>
      <c r="CA65" s="230"/>
      <c r="CB65" s="183" t="str">
        <f t="shared" si="190"/>
        <v/>
      </c>
      <c r="CC65" s="203" t="str">
        <f t="shared" si="232"/>
        <v>OK</v>
      </c>
      <c r="CD65" s="377" t="s">
        <v>339</v>
      </c>
      <c r="CE65" s="230"/>
      <c r="CF65" s="183" t="str">
        <f t="shared" si="191"/>
        <v/>
      </c>
      <c r="CG65" s="203" t="str">
        <f t="shared" si="233"/>
        <v>OK</v>
      </c>
      <c r="CH65" s="377" t="s">
        <v>339</v>
      </c>
      <c r="CI65" s="230"/>
      <c r="CJ65" s="183" t="str">
        <f t="shared" si="192"/>
        <v/>
      </c>
      <c r="CK65" s="203" t="str">
        <f t="shared" si="30"/>
        <v>OK</v>
      </c>
      <c r="CL65" s="377" t="s">
        <v>339</v>
      </c>
      <c r="CM65" s="230"/>
      <c r="CN65" s="183" t="str">
        <f t="shared" si="193"/>
        <v/>
      </c>
      <c r="CO65" s="203" t="str">
        <f t="shared" si="234"/>
        <v>OK</v>
      </c>
      <c r="CP65" s="377" t="s">
        <v>339</v>
      </c>
      <c r="CQ65" s="230"/>
      <c r="CR65" s="183" t="str">
        <f t="shared" si="194"/>
        <v/>
      </c>
      <c r="CS65" s="203" t="str">
        <f t="shared" si="235"/>
        <v>OK</v>
      </c>
      <c r="CT65" s="377" t="s">
        <v>339</v>
      </c>
      <c r="CU65" s="230"/>
      <c r="CV65" s="183" t="str">
        <f t="shared" si="195"/>
        <v/>
      </c>
      <c r="CW65" s="203" t="str">
        <f t="shared" si="36"/>
        <v>OK</v>
      </c>
      <c r="CX65" s="377" t="s">
        <v>339</v>
      </c>
      <c r="CY65" s="230"/>
      <c r="CZ65" s="183" t="str">
        <f t="shared" si="196"/>
        <v/>
      </c>
      <c r="DA65" s="203" t="str">
        <f t="shared" ref="DA65:DA81" si="236">IF(OR(CY$8="判定対象外",CZ65="-"),"-",IF(CY65=CZ65,"OK","NG"))</f>
        <v>OK</v>
      </c>
      <c r="DB65" s="377" t="s">
        <v>339</v>
      </c>
      <c r="DC65" s="230"/>
      <c r="DD65" s="183" t="str">
        <f t="shared" si="197"/>
        <v/>
      </c>
      <c r="DE65" s="203" t="str">
        <f t="shared" ref="DE65:DE81" si="237">IF(OR(DC$8="判定対象外",DD65="-"),"-",IF(DC65=DD65,"OK","NG"))</f>
        <v>OK</v>
      </c>
      <c r="DF65" s="377" t="s">
        <v>339</v>
      </c>
      <c r="DG65" s="230"/>
      <c r="DH65" s="183" t="str">
        <f t="shared" si="198"/>
        <v/>
      </c>
      <c r="DI65" s="203" t="str">
        <f t="shared" si="42"/>
        <v>OK</v>
      </c>
      <c r="DJ65" s="378"/>
      <c r="DK65" s="230"/>
      <c r="DL65" s="183" t="str">
        <f>IF($AB65="I","",IF($AA65="","",IF(DJ65="","",DJ65)))</f>
        <v/>
      </c>
      <c r="DM65" s="203" t="str">
        <f>IF(OR(DK$8="判定対象外",DL65="-"),"-",IF(DK65=DL65,"OK","NG"))</f>
        <v>OK</v>
      </c>
      <c r="DN65" s="379" t="s">
        <v>584</v>
      </c>
      <c r="DO65" s="230"/>
      <c r="DP65" s="183" t="str">
        <f>IF($AB65="I","",IF($AA65="","",IF(DN65="","",DN65)))</f>
        <v/>
      </c>
      <c r="DQ65" s="203" t="str">
        <f>IF(OR(DO$8="判定対象外",DP65="-"),"-",IF(DO65=DP65,"OK","NG"))</f>
        <v>OK</v>
      </c>
      <c r="DR65" s="379" t="s">
        <v>576</v>
      </c>
      <c r="DS65" s="230"/>
      <c r="DT65" s="183" t="str">
        <f t="shared" si="201"/>
        <v/>
      </c>
      <c r="DU65" s="203" t="str">
        <f t="shared" si="48"/>
        <v>OK</v>
      </c>
      <c r="DV65" s="377" t="s">
        <v>578</v>
      </c>
      <c r="DW65" s="230"/>
      <c r="DX65" s="183" t="str">
        <f>IF($AB65="I","",IF($AA65="","",IF(DV65="","",DV65)))</f>
        <v/>
      </c>
      <c r="DY65" s="203" t="str">
        <f>IF(OR(DW$11="判定対象外",DX65="-"),"-",IF(DW65=DX65,"OK","NG"))</f>
        <v>OK</v>
      </c>
      <c r="DZ65" s="377" t="s">
        <v>578</v>
      </c>
      <c r="EA65" s="230"/>
      <c r="EB65" s="183" t="str">
        <f>IF($AB65="I","",IF($AA65="","",IF(DZ65="","",DZ65)))</f>
        <v/>
      </c>
      <c r="EC65" s="203" t="str">
        <f>IF(OR(EA$11="判定対象外",EB65="-"),"-",IF(EA65=EB65,"OK","NG"))</f>
        <v>OK</v>
      </c>
      <c r="ED65" s="377" t="s">
        <v>578</v>
      </c>
      <c r="EE65" s="230"/>
      <c r="EF65" s="183" t="str">
        <f t="shared" si="204"/>
        <v/>
      </c>
      <c r="EG65" s="203" t="str">
        <f t="shared" si="54"/>
        <v>OK</v>
      </c>
      <c r="EH65" s="377" t="s">
        <v>578</v>
      </c>
      <c r="EI65" s="230"/>
      <c r="EJ65" s="183" t="str">
        <f t="shared" si="205"/>
        <v/>
      </c>
      <c r="EK65" s="203" t="str">
        <f>IF(OR(EI$11="判定対象外",EJ65="-"),"-",IF(EI65=EJ65,"OK","NG"))</f>
        <v>OK</v>
      </c>
      <c r="EL65" s="377" t="s">
        <v>578</v>
      </c>
      <c r="EM65" s="230"/>
      <c r="EN65" s="183" t="str">
        <f t="shared" si="206"/>
        <v/>
      </c>
      <c r="EO65" s="203" t="str">
        <f>IF(OR(EM$11="判定対象外",EN65="-"),"-",IF(EM65=EN65,"OK","NG"))</f>
        <v>OK</v>
      </c>
      <c r="EP65" s="377" t="s">
        <v>578</v>
      </c>
      <c r="EQ65" s="230"/>
      <c r="ER65" s="183" t="str">
        <f t="shared" si="207"/>
        <v/>
      </c>
      <c r="ES65" s="203" t="str">
        <f t="shared" si="60"/>
        <v>OK</v>
      </c>
      <c r="ET65" s="377" t="s">
        <v>578</v>
      </c>
      <c r="EU65" s="230"/>
      <c r="EV65" s="183" t="str">
        <f t="shared" si="208"/>
        <v/>
      </c>
      <c r="EW65" s="203" t="str">
        <f t="shared" si="223"/>
        <v>OK</v>
      </c>
      <c r="EX65" s="377" t="s">
        <v>578</v>
      </c>
      <c r="EY65" s="230"/>
      <c r="EZ65" s="183" t="str">
        <f t="shared" si="209"/>
        <v/>
      </c>
      <c r="FA65" s="203" t="str">
        <f t="shared" si="224"/>
        <v>OK</v>
      </c>
      <c r="FB65" s="377" t="s">
        <v>578</v>
      </c>
      <c r="FC65" s="230"/>
      <c r="FD65" s="183" t="str">
        <f t="shared" si="210"/>
        <v/>
      </c>
      <c r="FE65" s="203" t="str">
        <f t="shared" si="66"/>
        <v>OK</v>
      </c>
      <c r="FF65" s="377" t="s">
        <v>578</v>
      </c>
      <c r="FG65" s="230"/>
      <c r="FH65" s="183" t="str">
        <f t="shared" si="211"/>
        <v/>
      </c>
      <c r="FI65" s="203" t="str">
        <f t="shared" si="225"/>
        <v>OK</v>
      </c>
      <c r="FJ65" s="377" t="s">
        <v>578</v>
      </c>
      <c r="FK65" s="230"/>
      <c r="FL65" s="183" t="str">
        <f t="shared" si="212"/>
        <v/>
      </c>
      <c r="FM65" s="203" t="str">
        <f t="shared" si="226"/>
        <v>OK</v>
      </c>
      <c r="FN65" s="377" t="s">
        <v>578</v>
      </c>
      <c r="FO65" s="230"/>
      <c r="FP65" s="183" t="str">
        <f t="shared" si="213"/>
        <v/>
      </c>
      <c r="FQ65" s="203" t="str">
        <f t="shared" si="72"/>
        <v>OK</v>
      </c>
      <c r="FR65" s="377" t="s">
        <v>578</v>
      </c>
      <c r="FS65" s="230"/>
      <c r="FT65" s="183" t="str">
        <f t="shared" si="214"/>
        <v/>
      </c>
      <c r="FU65" s="203" t="str">
        <f t="shared" si="227"/>
        <v>OK</v>
      </c>
      <c r="FV65" s="377" t="s">
        <v>578</v>
      </c>
      <c r="FW65" s="230"/>
      <c r="FX65" s="183" t="str">
        <f t="shared" si="215"/>
        <v/>
      </c>
      <c r="FY65" s="203" t="str">
        <f t="shared" si="228"/>
        <v>OK</v>
      </c>
      <c r="FZ65" s="377" t="s">
        <v>578</v>
      </c>
      <c r="GA65" s="230"/>
      <c r="GB65" s="183" t="str">
        <f t="shared" si="216"/>
        <v/>
      </c>
      <c r="GC65" s="203" t="str">
        <f t="shared" si="78"/>
        <v>OK</v>
      </c>
      <c r="GD65" s="377" t="s">
        <v>578</v>
      </c>
      <c r="GE65" s="230"/>
      <c r="GF65" s="183" t="str">
        <f t="shared" si="217"/>
        <v/>
      </c>
      <c r="GG65" s="203" t="str">
        <f t="shared" si="229"/>
        <v>OK</v>
      </c>
      <c r="GH65" s="377" t="s">
        <v>578</v>
      </c>
      <c r="GI65" s="230"/>
      <c r="GJ65" s="183" t="str">
        <f t="shared" si="218"/>
        <v/>
      </c>
      <c r="GK65" s="203" t="str">
        <f t="shared" si="230"/>
        <v>OK</v>
      </c>
      <c r="GL65" s="377" t="s">
        <v>578</v>
      </c>
      <c r="GM65" s="230"/>
      <c r="GN65" s="183" t="str">
        <f t="shared" si="219"/>
        <v/>
      </c>
      <c r="GO65" s="203" t="str">
        <f t="shared" si="84"/>
        <v>OK</v>
      </c>
      <c r="GP65" s="378" t="s">
        <v>578</v>
      </c>
      <c r="GQ65" s="230"/>
      <c r="GR65" s="183" t="str">
        <f t="shared" si="220"/>
        <v/>
      </c>
      <c r="GS65" s="203" t="str">
        <f t="shared" si="231"/>
        <v>OK</v>
      </c>
      <c r="GT65" s="202"/>
      <c r="GU65" s="202"/>
      <c r="GV65" s="201"/>
      <c r="GW65" s="201"/>
      <c r="GX65" s="201"/>
    </row>
    <row r="66" spans="1:206">
      <c r="A66" s="200" t="s">
        <v>59</v>
      </c>
      <c r="B66" s="225">
        <f t="shared" si="221"/>
        <v>59</v>
      </c>
      <c r="C66" s="229"/>
      <c r="D66" s="229"/>
      <c r="E66" s="228"/>
      <c r="F66" s="228"/>
      <c r="G66" s="222" t="s">
        <v>337</v>
      </c>
      <c r="H66" s="220"/>
      <c r="I66" s="209"/>
      <c r="J66" s="217" t="s">
        <v>326</v>
      </c>
      <c r="K66" s="219"/>
      <c r="L66" s="219"/>
      <c r="M66" s="218"/>
      <c r="N66" s="217"/>
      <c r="O66" s="216"/>
      <c r="P66" s="212"/>
      <c r="Q66" s="212"/>
      <c r="R66" s="215"/>
      <c r="S66" s="214"/>
      <c r="T66" s="212"/>
      <c r="U66" s="213"/>
      <c r="V66" s="212"/>
      <c r="W66" s="211" t="str">
        <f t="shared" si="222"/>
        <v>4</v>
      </c>
      <c r="X66" s="210" t="s">
        <v>338</v>
      </c>
      <c r="Y66" s="210">
        <v>1</v>
      </c>
      <c r="Z66" s="210">
        <v>180</v>
      </c>
      <c r="AA66" s="209" t="s">
        <v>55</v>
      </c>
      <c r="AB66" s="209" t="s">
        <v>306</v>
      </c>
      <c r="AC66" s="207"/>
      <c r="AD66" s="377" t="s">
        <v>337</v>
      </c>
      <c r="AE66" s="230"/>
      <c r="AF66" s="183" t="str">
        <f t="shared" si="178"/>
        <v/>
      </c>
      <c r="AG66" s="203" t="str">
        <f t="shared" si="175"/>
        <v>OK</v>
      </c>
      <c r="AH66" s="377" t="s">
        <v>337</v>
      </c>
      <c r="AI66" s="230"/>
      <c r="AJ66" s="183" t="str">
        <f t="shared" si="179"/>
        <v/>
      </c>
      <c r="AK66" s="203" t="str">
        <f t="shared" si="176"/>
        <v>OK</v>
      </c>
      <c r="AL66" s="377" t="s">
        <v>337</v>
      </c>
      <c r="AM66" s="230"/>
      <c r="AN66" s="183" t="str">
        <f t="shared" si="180"/>
        <v/>
      </c>
      <c r="AO66" s="203" t="str">
        <f t="shared" si="177"/>
        <v>OK</v>
      </c>
      <c r="AP66" s="377" t="s">
        <v>337</v>
      </c>
      <c r="AQ66" s="230"/>
      <c r="AR66" s="183" t="str">
        <f t="shared" si="181"/>
        <v/>
      </c>
      <c r="AS66" s="203" t="str">
        <f t="shared" si="8"/>
        <v>OK</v>
      </c>
      <c r="AT66" s="377" t="s">
        <v>337</v>
      </c>
      <c r="AU66" s="230"/>
      <c r="AV66" s="183" t="str">
        <f t="shared" si="182"/>
        <v/>
      </c>
      <c r="AW66" s="203" t="str">
        <f t="shared" si="10"/>
        <v>OK</v>
      </c>
      <c r="AX66" s="377" t="s">
        <v>337</v>
      </c>
      <c r="AY66" s="230"/>
      <c r="AZ66" s="183" t="str">
        <f t="shared" si="183"/>
        <v/>
      </c>
      <c r="BA66" s="203" t="str">
        <f t="shared" si="12"/>
        <v>OK</v>
      </c>
      <c r="BB66" s="377" t="s">
        <v>337</v>
      </c>
      <c r="BC66" s="230"/>
      <c r="BD66" s="183" t="str">
        <f t="shared" si="184"/>
        <v/>
      </c>
      <c r="BE66" s="203" t="str">
        <f t="shared" si="14"/>
        <v>OK</v>
      </c>
      <c r="BF66" s="377" t="s">
        <v>337</v>
      </c>
      <c r="BG66" s="230"/>
      <c r="BH66" s="183" t="str">
        <f t="shared" si="185"/>
        <v/>
      </c>
      <c r="BI66" s="203" t="str">
        <f t="shared" si="16"/>
        <v>OK</v>
      </c>
      <c r="BJ66" s="377" t="s">
        <v>337</v>
      </c>
      <c r="BK66" s="230"/>
      <c r="BL66" s="183" t="str">
        <f t="shared" si="186"/>
        <v/>
      </c>
      <c r="BM66" s="203" t="str">
        <f t="shared" si="18"/>
        <v>OK</v>
      </c>
      <c r="BN66" s="377" t="s">
        <v>337</v>
      </c>
      <c r="BO66" s="230"/>
      <c r="BP66" s="183" t="str">
        <f t="shared" si="187"/>
        <v/>
      </c>
      <c r="BQ66" s="203" t="str">
        <f t="shared" si="20"/>
        <v>OK</v>
      </c>
      <c r="BR66" s="377" t="s">
        <v>337</v>
      </c>
      <c r="BS66" s="230"/>
      <c r="BT66" s="183" t="str">
        <f t="shared" si="188"/>
        <v/>
      </c>
      <c r="BU66" s="203" t="str">
        <f t="shared" si="22"/>
        <v>OK</v>
      </c>
      <c r="BV66" s="377" t="s">
        <v>337</v>
      </c>
      <c r="BW66" s="230"/>
      <c r="BX66" s="183" t="str">
        <f t="shared" si="189"/>
        <v/>
      </c>
      <c r="BY66" s="203" t="str">
        <f t="shared" si="24"/>
        <v>OK</v>
      </c>
      <c r="BZ66" s="377" t="s">
        <v>337</v>
      </c>
      <c r="CA66" s="230"/>
      <c r="CB66" s="183" t="str">
        <f t="shared" si="190"/>
        <v/>
      </c>
      <c r="CC66" s="203" t="str">
        <f t="shared" si="232"/>
        <v>OK</v>
      </c>
      <c r="CD66" s="377" t="s">
        <v>337</v>
      </c>
      <c r="CE66" s="230"/>
      <c r="CF66" s="183" t="str">
        <f t="shared" si="191"/>
        <v/>
      </c>
      <c r="CG66" s="203" t="str">
        <f t="shared" si="233"/>
        <v>OK</v>
      </c>
      <c r="CH66" s="377" t="s">
        <v>337</v>
      </c>
      <c r="CI66" s="230"/>
      <c r="CJ66" s="183" t="str">
        <f t="shared" si="192"/>
        <v/>
      </c>
      <c r="CK66" s="203" t="str">
        <f t="shared" si="30"/>
        <v>OK</v>
      </c>
      <c r="CL66" s="377" t="s">
        <v>337</v>
      </c>
      <c r="CM66" s="230"/>
      <c r="CN66" s="183" t="str">
        <f t="shared" si="193"/>
        <v/>
      </c>
      <c r="CO66" s="203" t="str">
        <f t="shared" si="234"/>
        <v>OK</v>
      </c>
      <c r="CP66" s="377" t="s">
        <v>337</v>
      </c>
      <c r="CQ66" s="230"/>
      <c r="CR66" s="183" t="str">
        <f t="shared" si="194"/>
        <v/>
      </c>
      <c r="CS66" s="203" t="str">
        <f t="shared" si="235"/>
        <v>OK</v>
      </c>
      <c r="CT66" s="377" t="s">
        <v>337</v>
      </c>
      <c r="CU66" s="230"/>
      <c r="CV66" s="183" t="str">
        <f t="shared" si="195"/>
        <v/>
      </c>
      <c r="CW66" s="203" t="str">
        <f t="shared" si="36"/>
        <v>OK</v>
      </c>
      <c r="CX66" s="377" t="s">
        <v>337</v>
      </c>
      <c r="CY66" s="230"/>
      <c r="CZ66" s="183" t="str">
        <f t="shared" si="196"/>
        <v/>
      </c>
      <c r="DA66" s="203" t="str">
        <f t="shared" si="236"/>
        <v>OK</v>
      </c>
      <c r="DB66" s="377" t="s">
        <v>337</v>
      </c>
      <c r="DC66" s="230"/>
      <c r="DD66" s="183" t="str">
        <f t="shared" si="197"/>
        <v/>
      </c>
      <c r="DE66" s="203" t="str">
        <f t="shared" si="237"/>
        <v>OK</v>
      </c>
      <c r="DF66" s="377" t="s">
        <v>337</v>
      </c>
      <c r="DG66" s="230"/>
      <c r="DH66" s="183" t="str">
        <f t="shared" si="198"/>
        <v/>
      </c>
      <c r="DI66" s="203" t="str">
        <f t="shared" si="42"/>
        <v>OK</v>
      </c>
      <c r="DJ66" s="377" t="s">
        <v>337</v>
      </c>
      <c r="DK66" s="230"/>
      <c r="DL66" s="183" t="str">
        <f t="shared" si="199"/>
        <v/>
      </c>
      <c r="DM66" s="203" t="str">
        <f t="shared" ref="DM66:DM81" si="238">IF(OR(DK$8="判定対象外",DL66="-"),"-",IF(DK66=DL66,"OK","NG"))</f>
        <v>OK</v>
      </c>
      <c r="DN66" s="377" t="s">
        <v>337</v>
      </c>
      <c r="DO66" s="230"/>
      <c r="DP66" s="183" t="str">
        <f t="shared" si="200"/>
        <v/>
      </c>
      <c r="DQ66" s="203" t="str">
        <f t="shared" ref="DQ66:DQ81" si="239">IF(OR(DO$8="判定対象外",DP66="-"),"-",IF(DO66=DP66,"OK","NG"))</f>
        <v>OK</v>
      </c>
      <c r="DR66" s="377" t="s">
        <v>337</v>
      </c>
      <c r="DS66" s="230"/>
      <c r="DT66" s="183" t="str">
        <f t="shared" si="201"/>
        <v/>
      </c>
      <c r="DU66" s="203" t="str">
        <f t="shared" si="48"/>
        <v>OK</v>
      </c>
      <c r="DV66" s="378"/>
      <c r="DW66" s="230"/>
      <c r="DX66" s="183" t="str">
        <f>IF($AB66="I","",IF($AA66="","",IF(DV66="","",DV66)))</f>
        <v/>
      </c>
      <c r="DY66" s="203" t="str">
        <f>IF(OR(DW$8="判定対象外",DX66="-"),"-",IF(DW66=DX66,"OK","NG"))</f>
        <v>OK</v>
      </c>
      <c r="DZ66" s="379" t="s">
        <v>584</v>
      </c>
      <c r="EA66" s="230"/>
      <c r="EB66" s="183" t="str">
        <f>IF($AB66="I","",IF($AA66="","",IF(DZ66="","",DZ66)))</f>
        <v/>
      </c>
      <c r="EC66" s="203" t="str">
        <f>IF(OR(EA$8="判定対象外",EB66="-"),"-",IF(EA66=EB66,"OK","NG"))</f>
        <v>OK</v>
      </c>
      <c r="ED66" s="379" t="s">
        <v>576</v>
      </c>
      <c r="EE66" s="230"/>
      <c r="EF66" s="183" t="str">
        <f t="shared" si="204"/>
        <v/>
      </c>
      <c r="EG66" s="203" t="str">
        <f t="shared" si="54"/>
        <v>OK</v>
      </c>
      <c r="EH66" s="377" t="s">
        <v>579</v>
      </c>
      <c r="EI66" s="230"/>
      <c r="EJ66" s="183" t="str">
        <f>IF($AB66="I","",IF($AA66="","",IF(EH66="","",EH66)))</f>
        <v/>
      </c>
      <c r="EK66" s="203" t="str">
        <f>IF(OR(EI$11="判定対象外",EJ66="-"),"-",IF(EI66=EJ66,"OK","NG"))</f>
        <v>OK</v>
      </c>
      <c r="EL66" s="377" t="s">
        <v>579</v>
      </c>
      <c r="EM66" s="230"/>
      <c r="EN66" s="183" t="str">
        <f>IF($AB66="I","",IF($AA66="","",IF(EL66="","",EL66)))</f>
        <v/>
      </c>
      <c r="EO66" s="203" t="str">
        <f>IF(OR(EM$11="判定対象外",EN66="-"),"-",IF(EM66=EN66,"OK","NG"))</f>
        <v>OK</v>
      </c>
      <c r="EP66" s="377" t="s">
        <v>579</v>
      </c>
      <c r="EQ66" s="230"/>
      <c r="ER66" s="183" t="str">
        <f t="shared" si="207"/>
        <v/>
      </c>
      <c r="ES66" s="203" t="str">
        <f t="shared" si="60"/>
        <v>OK</v>
      </c>
      <c r="ET66" s="377" t="s">
        <v>579</v>
      </c>
      <c r="EU66" s="230"/>
      <c r="EV66" s="183" t="str">
        <f t="shared" si="208"/>
        <v/>
      </c>
      <c r="EW66" s="203" t="str">
        <f t="shared" si="223"/>
        <v>OK</v>
      </c>
      <c r="EX66" s="377" t="s">
        <v>579</v>
      </c>
      <c r="EY66" s="230"/>
      <c r="EZ66" s="183" t="str">
        <f t="shared" si="209"/>
        <v/>
      </c>
      <c r="FA66" s="203" t="str">
        <f t="shared" si="224"/>
        <v>OK</v>
      </c>
      <c r="FB66" s="377" t="s">
        <v>579</v>
      </c>
      <c r="FC66" s="230"/>
      <c r="FD66" s="183" t="str">
        <f t="shared" si="210"/>
        <v/>
      </c>
      <c r="FE66" s="203" t="str">
        <f t="shared" si="66"/>
        <v>OK</v>
      </c>
      <c r="FF66" s="377" t="s">
        <v>579</v>
      </c>
      <c r="FG66" s="230"/>
      <c r="FH66" s="183" t="str">
        <f t="shared" si="211"/>
        <v/>
      </c>
      <c r="FI66" s="203" t="str">
        <f t="shared" si="225"/>
        <v>OK</v>
      </c>
      <c r="FJ66" s="377" t="s">
        <v>579</v>
      </c>
      <c r="FK66" s="230"/>
      <c r="FL66" s="183" t="str">
        <f t="shared" si="212"/>
        <v/>
      </c>
      <c r="FM66" s="203" t="str">
        <f t="shared" si="226"/>
        <v>OK</v>
      </c>
      <c r="FN66" s="377" t="s">
        <v>579</v>
      </c>
      <c r="FO66" s="230"/>
      <c r="FP66" s="183" t="str">
        <f t="shared" si="213"/>
        <v/>
      </c>
      <c r="FQ66" s="203" t="str">
        <f t="shared" si="72"/>
        <v>OK</v>
      </c>
      <c r="FR66" s="377" t="s">
        <v>579</v>
      </c>
      <c r="FS66" s="230"/>
      <c r="FT66" s="183" t="str">
        <f t="shared" si="214"/>
        <v/>
      </c>
      <c r="FU66" s="203" t="str">
        <f t="shared" si="227"/>
        <v>OK</v>
      </c>
      <c r="FV66" s="377" t="s">
        <v>579</v>
      </c>
      <c r="FW66" s="230"/>
      <c r="FX66" s="183" t="str">
        <f t="shared" si="215"/>
        <v/>
      </c>
      <c r="FY66" s="203" t="str">
        <f t="shared" si="228"/>
        <v>OK</v>
      </c>
      <c r="FZ66" s="377" t="s">
        <v>579</v>
      </c>
      <c r="GA66" s="230"/>
      <c r="GB66" s="183" t="str">
        <f t="shared" si="216"/>
        <v/>
      </c>
      <c r="GC66" s="203" t="str">
        <f t="shared" si="78"/>
        <v>OK</v>
      </c>
      <c r="GD66" s="377" t="s">
        <v>579</v>
      </c>
      <c r="GE66" s="230"/>
      <c r="GF66" s="183" t="str">
        <f t="shared" si="217"/>
        <v/>
      </c>
      <c r="GG66" s="203" t="str">
        <f t="shared" si="229"/>
        <v>OK</v>
      </c>
      <c r="GH66" s="377" t="s">
        <v>579</v>
      </c>
      <c r="GI66" s="230"/>
      <c r="GJ66" s="183" t="str">
        <f t="shared" si="218"/>
        <v/>
      </c>
      <c r="GK66" s="203" t="str">
        <f t="shared" si="230"/>
        <v>OK</v>
      </c>
      <c r="GL66" s="377" t="s">
        <v>579</v>
      </c>
      <c r="GM66" s="230"/>
      <c r="GN66" s="183" t="str">
        <f t="shared" si="219"/>
        <v/>
      </c>
      <c r="GO66" s="203" t="str">
        <f t="shared" si="84"/>
        <v>OK</v>
      </c>
      <c r="GP66" s="378" t="s">
        <v>579</v>
      </c>
      <c r="GQ66" s="230"/>
      <c r="GR66" s="183" t="str">
        <f t="shared" si="220"/>
        <v/>
      </c>
      <c r="GS66" s="203" t="str">
        <f t="shared" si="231"/>
        <v>OK</v>
      </c>
      <c r="GT66" s="202"/>
      <c r="GU66" s="202"/>
      <c r="GV66" s="201"/>
      <c r="GW66" s="201"/>
      <c r="GX66" s="201"/>
    </row>
    <row r="67" spans="1:206">
      <c r="A67" s="200" t="s">
        <v>336</v>
      </c>
      <c r="B67" s="225">
        <f t="shared" si="221"/>
        <v>60</v>
      </c>
      <c r="C67" s="229"/>
      <c r="D67" s="229"/>
      <c r="E67" s="228"/>
      <c r="F67" s="228"/>
      <c r="G67" s="222" t="s">
        <v>334</v>
      </c>
      <c r="H67" s="220"/>
      <c r="I67" s="209"/>
      <c r="J67" s="217" t="s">
        <v>326</v>
      </c>
      <c r="K67" s="219"/>
      <c r="L67" s="219"/>
      <c r="M67" s="218"/>
      <c r="N67" s="217"/>
      <c r="O67" s="216"/>
      <c r="P67" s="212"/>
      <c r="Q67" s="212"/>
      <c r="R67" s="215"/>
      <c r="S67" s="214"/>
      <c r="T67" s="212"/>
      <c r="U67" s="213"/>
      <c r="V67" s="212"/>
      <c r="W67" s="211" t="str">
        <f t="shared" si="222"/>
        <v>4</v>
      </c>
      <c r="X67" s="210" t="s">
        <v>335</v>
      </c>
      <c r="Y67" s="210">
        <v>1</v>
      </c>
      <c r="Z67" s="210">
        <v>180</v>
      </c>
      <c r="AA67" s="209" t="s">
        <v>55</v>
      </c>
      <c r="AB67" s="209" t="s">
        <v>306</v>
      </c>
      <c r="AC67" s="207"/>
      <c r="AD67" s="377" t="s">
        <v>334</v>
      </c>
      <c r="AE67" s="230"/>
      <c r="AF67" s="183" t="str">
        <f t="shared" si="178"/>
        <v/>
      </c>
      <c r="AG67" s="203" t="str">
        <f t="shared" si="175"/>
        <v>OK</v>
      </c>
      <c r="AH67" s="377" t="s">
        <v>334</v>
      </c>
      <c r="AI67" s="230"/>
      <c r="AJ67" s="183" t="str">
        <f t="shared" si="179"/>
        <v/>
      </c>
      <c r="AK67" s="203" t="str">
        <f t="shared" si="176"/>
        <v>OK</v>
      </c>
      <c r="AL67" s="377" t="s">
        <v>334</v>
      </c>
      <c r="AM67" s="230"/>
      <c r="AN67" s="183" t="str">
        <f t="shared" si="180"/>
        <v/>
      </c>
      <c r="AO67" s="203" t="str">
        <f t="shared" si="177"/>
        <v>OK</v>
      </c>
      <c r="AP67" s="377" t="s">
        <v>334</v>
      </c>
      <c r="AQ67" s="230"/>
      <c r="AR67" s="183" t="str">
        <f t="shared" si="181"/>
        <v/>
      </c>
      <c r="AS67" s="203" t="str">
        <f t="shared" si="8"/>
        <v>OK</v>
      </c>
      <c r="AT67" s="377" t="s">
        <v>334</v>
      </c>
      <c r="AU67" s="230"/>
      <c r="AV67" s="183" t="str">
        <f t="shared" si="182"/>
        <v/>
      </c>
      <c r="AW67" s="203" t="str">
        <f t="shared" si="10"/>
        <v>OK</v>
      </c>
      <c r="AX67" s="377" t="s">
        <v>334</v>
      </c>
      <c r="AY67" s="230"/>
      <c r="AZ67" s="183" t="str">
        <f t="shared" si="183"/>
        <v/>
      </c>
      <c r="BA67" s="203" t="str">
        <f t="shared" si="12"/>
        <v>OK</v>
      </c>
      <c r="BB67" s="377" t="s">
        <v>334</v>
      </c>
      <c r="BC67" s="230"/>
      <c r="BD67" s="183" t="str">
        <f t="shared" si="184"/>
        <v/>
      </c>
      <c r="BE67" s="203" t="str">
        <f t="shared" si="14"/>
        <v>OK</v>
      </c>
      <c r="BF67" s="377" t="s">
        <v>334</v>
      </c>
      <c r="BG67" s="230"/>
      <c r="BH67" s="183" t="str">
        <f t="shared" si="185"/>
        <v/>
      </c>
      <c r="BI67" s="203" t="str">
        <f t="shared" si="16"/>
        <v>OK</v>
      </c>
      <c r="BJ67" s="377" t="s">
        <v>334</v>
      </c>
      <c r="BK67" s="230"/>
      <c r="BL67" s="183" t="str">
        <f t="shared" si="186"/>
        <v/>
      </c>
      <c r="BM67" s="203" t="str">
        <f t="shared" si="18"/>
        <v>OK</v>
      </c>
      <c r="BN67" s="377" t="s">
        <v>334</v>
      </c>
      <c r="BO67" s="230"/>
      <c r="BP67" s="183" t="str">
        <f t="shared" si="187"/>
        <v/>
      </c>
      <c r="BQ67" s="203" t="str">
        <f t="shared" si="20"/>
        <v>OK</v>
      </c>
      <c r="BR67" s="377" t="s">
        <v>334</v>
      </c>
      <c r="BS67" s="230"/>
      <c r="BT67" s="183" t="str">
        <f t="shared" si="188"/>
        <v/>
      </c>
      <c r="BU67" s="203" t="str">
        <f t="shared" si="22"/>
        <v>OK</v>
      </c>
      <c r="BV67" s="377" t="s">
        <v>334</v>
      </c>
      <c r="BW67" s="230"/>
      <c r="BX67" s="183" t="str">
        <f t="shared" si="189"/>
        <v/>
      </c>
      <c r="BY67" s="203" t="str">
        <f t="shared" si="24"/>
        <v>OK</v>
      </c>
      <c r="BZ67" s="377" t="s">
        <v>334</v>
      </c>
      <c r="CA67" s="230"/>
      <c r="CB67" s="183" t="str">
        <f t="shared" si="190"/>
        <v/>
      </c>
      <c r="CC67" s="203" t="str">
        <f t="shared" si="232"/>
        <v>OK</v>
      </c>
      <c r="CD67" s="377" t="s">
        <v>334</v>
      </c>
      <c r="CE67" s="230"/>
      <c r="CF67" s="183" t="str">
        <f t="shared" si="191"/>
        <v/>
      </c>
      <c r="CG67" s="203" t="str">
        <f t="shared" si="233"/>
        <v>OK</v>
      </c>
      <c r="CH67" s="377" t="s">
        <v>334</v>
      </c>
      <c r="CI67" s="230"/>
      <c r="CJ67" s="183" t="str">
        <f t="shared" si="192"/>
        <v/>
      </c>
      <c r="CK67" s="203" t="str">
        <f t="shared" si="30"/>
        <v>OK</v>
      </c>
      <c r="CL67" s="377" t="s">
        <v>334</v>
      </c>
      <c r="CM67" s="230"/>
      <c r="CN67" s="183" t="str">
        <f t="shared" si="193"/>
        <v/>
      </c>
      <c r="CO67" s="203" t="str">
        <f t="shared" si="234"/>
        <v>OK</v>
      </c>
      <c r="CP67" s="377" t="s">
        <v>334</v>
      </c>
      <c r="CQ67" s="230"/>
      <c r="CR67" s="183" t="str">
        <f t="shared" si="194"/>
        <v/>
      </c>
      <c r="CS67" s="203" t="str">
        <f t="shared" si="235"/>
        <v>OK</v>
      </c>
      <c r="CT67" s="377" t="s">
        <v>334</v>
      </c>
      <c r="CU67" s="230"/>
      <c r="CV67" s="183" t="str">
        <f t="shared" si="195"/>
        <v/>
      </c>
      <c r="CW67" s="203" t="str">
        <f t="shared" si="36"/>
        <v>OK</v>
      </c>
      <c r="CX67" s="377" t="s">
        <v>334</v>
      </c>
      <c r="CY67" s="230"/>
      <c r="CZ67" s="183" t="str">
        <f t="shared" si="196"/>
        <v/>
      </c>
      <c r="DA67" s="203" t="str">
        <f t="shared" si="236"/>
        <v>OK</v>
      </c>
      <c r="DB67" s="377" t="s">
        <v>334</v>
      </c>
      <c r="DC67" s="230"/>
      <c r="DD67" s="183" t="str">
        <f t="shared" si="197"/>
        <v/>
      </c>
      <c r="DE67" s="203" t="str">
        <f t="shared" si="237"/>
        <v>OK</v>
      </c>
      <c r="DF67" s="377" t="s">
        <v>334</v>
      </c>
      <c r="DG67" s="230"/>
      <c r="DH67" s="183" t="str">
        <f t="shared" si="198"/>
        <v/>
      </c>
      <c r="DI67" s="203" t="str">
        <f t="shared" si="42"/>
        <v>OK</v>
      </c>
      <c r="DJ67" s="377" t="s">
        <v>334</v>
      </c>
      <c r="DK67" s="230"/>
      <c r="DL67" s="183" t="str">
        <f t="shared" si="199"/>
        <v/>
      </c>
      <c r="DM67" s="203" t="str">
        <f t="shared" si="238"/>
        <v>OK</v>
      </c>
      <c r="DN67" s="377" t="s">
        <v>334</v>
      </c>
      <c r="DO67" s="230"/>
      <c r="DP67" s="183" t="str">
        <f t="shared" si="200"/>
        <v/>
      </c>
      <c r="DQ67" s="203" t="str">
        <f t="shared" si="239"/>
        <v>OK</v>
      </c>
      <c r="DR67" s="377" t="s">
        <v>334</v>
      </c>
      <c r="DS67" s="230"/>
      <c r="DT67" s="183" t="str">
        <f t="shared" si="201"/>
        <v/>
      </c>
      <c r="DU67" s="203" t="str">
        <f t="shared" si="48"/>
        <v>OK</v>
      </c>
      <c r="DV67" s="377" t="s">
        <v>334</v>
      </c>
      <c r="DW67" s="230"/>
      <c r="DX67" s="183" t="str">
        <f t="shared" si="202"/>
        <v/>
      </c>
      <c r="DY67" s="203" t="str">
        <f t="shared" ref="DY67:DY81" si="240">IF(OR(DW$8="判定対象外",DX67="-"),"-",IF(DW67=DX67,"OK","NG"))</f>
        <v>OK</v>
      </c>
      <c r="DZ67" s="377" t="s">
        <v>334</v>
      </c>
      <c r="EA67" s="230"/>
      <c r="EB67" s="183" t="str">
        <f t="shared" si="203"/>
        <v/>
      </c>
      <c r="EC67" s="203" t="str">
        <f t="shared" ref="EC67:EC81" si="241">IF(OR(EA$8="判定対象外",EB67="-"),"-",IF(EA67=EB67,"OK","NG"))</f>
        <v>OK</v>
      </c>
      <c r="ED67" s="377" t="s">
        <v>334</v>
      </c>
      <c r="EE67" s="230"/>
      <c r="EF67" s="183" t="str">
        <f t="shared" si="204"/>
        <v/>
      </c>
      <c r="EG67" s="203" t="str">
        <f t="shared" si="54"/>
        <v>OK</v>
      </c>
      <c r="EH67" s="378"/>
      <c r="EI67" s="230"/>
      <c r="EJ67" s="183" t="str">
        <f>IF($AB67="I","",IF($AA67="","",IF(EH67="","",EH67)))</f>
        <v/>
      </c>
      <c r="EK67" s="203" t="str">
        <f>IF(OR(EI$8="判定対象外",EJ67="-"),"-",IF(EI67=EJ67,"OK","NG"))</f>
        <v>OK</v>
      </c>
      <c r="EL67" s="379" t="s">
        <v>584</v>
      </c>
      <c r="EM67" s="230"/>
      <c r="EN67" s="183" t="str">
        <f>IF($AB67="I","",IF($AA67="","",IF(EL67="","",EL67)))</f>
        <v/>
      </c>
      <c r="EO67" s="203" t="str">
        <f>IF(OR(EM$8="判定対象外",EN67="-"),"-",IF(EM67=EN67,"OK","NG"))</f>
        <v>OK</v>
      </c>
      <c r="EP67" s="379" t="s">
        <v>576</v>
      </c>
      <c r="EQ67" s="230"/>
      <c r="ER67" s="183" t="str">
        <f t="shared" si="207"/>
        <v/>
      </c>
      <c r="ES67" s="203" t="str">
        <f t="shared" si="60"/>
        <v>OK</v>
      </c>
      <c r="ET67" s="377" t="s">
        <v>580</v>
      </c>
      <c r="EU67" s="230"/>
      <c r="EV67" s="183" t="str">
        <f>IF($AB67="I","",IF($AA67="","",IF(ET67="","",ET67)))</f>
        <v/>
      </c>
      <c r="EW67" s="203" t="str">
        <f t="shared" si="223"/>
        <v>OK</v>
      </c>
      <c r="EX67" s="377" t="s">
        <v>580</v>
      </c>
      <c r="EY67" s="230"/>
      <c r="EZ67" s="183" t="str">
        <f>IF($AB67="I","",IF($AA67="","",IF(EX67="","",EX67)))</f>
        <v/>
      </c>
      <c r="FA67" s="203" t="str">
        <f t="shared" si="224"/>
        <v>OK</v>
      </c>
      <c r="FB67" s="377" t="s">
        <v>580</v>
      </c>
      <c r="FC67" s="230"/>
      <c r="FD67" s="183" t="str">
        <f t="shared" si="210"/>
        <v/>
      </c>
      <c r="FE67" s="203" t="str">
        <f t="shared" si="66"/>
        <v>OK</v>
      </c>
      <c r="FF67" s="377" t="s">
        <v>580</v>
      </c>
      <c r="FG67" s="230"/>
      <c r="FH67" s="183" t="str">
        <f t="shared" si="211"/>
        <v/>
      </c>
      <c r="FI67" s="203" t="str">
        <f t="shared" si="225"/>
        <v>OK</v>
      </c>
      <c r="FJ67" s="377" t="s">
        <v>580</v>
      </c>
      <c r="FK67" s="230"/>
      <c r="FL67" s="183" t="str">
        <f t="shared" si="212"/>
        <v/>
      </c>
      <c r="FM67" s="203" t="str">
        <f t="shared" si="226"/>
        <v>OK</v>
      </c>
      <c r="FN67" s="377" t="s">
        <v>580</v>
      </c>
      <c r="FO67" s="230"/>
      <c r="FP67" s="183" t="str">
        <f t="shared" si="213"/>
        <v/>
      </c>
      <c r="FQ67" s="203" t="str">
        <f t="shared" si="72"/>
        <v>OK</v>
      </c>
      <c r="FR67" s="377" t="s">
        <v>580</v>
      </c>
      <c r="FS67" s="230"/>
      <c r="FT67" s="183" t="str">
        <f t="shared" si="214"/>
        <v/>
      </c>
      <c r="FU67" s="203" t="str">
        <f t="shared" si="227"/>
        <v>OK</v>
      </c>
      <c r="FV67" s="377" t="s">
        <v>580</v>
      </c>
      <c r="FW67" s="230"/>
      <c r="FX67" s="183" t="str">
        <f t="shared" si="215"/>
        <v/>
      </c>
      <c r="FY67" s="203" t="str">
        <f t="shared" si="228"/>
        <v>OK</v>
      </c>
      <c r="FZ67" s="377" t="s">
        <v>580</v>
      </c>
      <c r="GA67" s="230"/>
      <c r="GB67" s="183" t="str">
        <f t="shared" si="216"/>
        <v/>
      </c>
      <c r="GC67" s="203" t="str">
        <f t="shared" si="78"/>
        <v>OK</v>
      </c>
      <c r="GD67" s="377" t="s">
        <v>580</v>
      </c>
      <c r="GE67" s="230"/>
      <c r="GF67" s="183" t="str">
        <f t="shared" si="217"/>
        <v/>
      </c>
      <c r="GG67" s="203" t="str">
        <f t="shared" si="229"/>
        <v>OK</v>
      </c>
      <c r="GH67" s="377" t="s">
        <v>580</v>
      </c>
      <c r="GI67" s="230"/>
      <c r="GJ67" s="183" t="str">
        <f t="shared" si="218"/>
        <v/>
      </c>
      <c r="GK67" s="203" t="str">
        <f t="shared" si="230"/>
        <v>OK</v>
      </c>
      <c r="GL67" s="377" t="s">
        <v>580</v>
      </c>
      <c r="GM67" s="230"/>
      <c r="GN67" s="183" t="str">
        <f t="shared" si="219"/>
        <v/>
      </c>
      <c r="GO67" s="203" t="str">
        <f t="shared" si="84"/>
        <v>OK</v>
      </c>
      <c r="GP67" s="378" t="s">
        <v>580</v>
      </c>
      <c r="GQ67" s="230"/>
      <c r="GR67" s="183" t="str">
        <f t="shared" si="220"/>
        <v/>
      </c>
      <c r="GS67" s="203" t="str">
        <f t="shared" si="231"/>
        <v>OK</v>
      </c>
      <c r="GT67" s="202"/>
      <c r="GU67" s="202"/>
      <c r="GV67" s="201"/>
      <c r="GW67" s="201"/>
      <c r="GX67" s="201"/>
    </row>
    <row r="68" spans="1:206">
      <c r="A68" s="200" t="s">
        <v>333</v>
      </c>
      <c r="B68" s="225">
        <f t="shared" si="221"/>
        <v>61</v>
      </c>
      <c r="C68" s="229"/>
      <c r="D68" s="229"/>
      <c r="E68" s="228"/>
      <c r="F68" s="228"/>
      <c r="G68" s="222" t="s">
        <v>331</v>
      </c>
      <c r="H68" s="220"/>
      <c r="I68" s="209"/>
      <c r="J68" s="217" t="s">
        <v>326</v>
      </c>
      <c r="K68" s="219"/>
      <c r="L68" s="219"/>
      <c r="M68" s="218"/>
      <c r="N68" s="217"/>
      <c r="O68" s="216"/>
      <c r="P68" s="212"/>
      <c r="Q68" s="212"/>
      <c r="R68" s="215"/>
      <c r="S68" s="214"/>
      <c r="T68" s="212"/>
      <c r="U68" s="213"/>
      <c r="V68" s="212"/>
      <c r="W68" s="211" t="str">
        <f t="shared" si="222"/>
        <v>4</v>
      </c>
      <c r="X68" s="210" t="s">
        <v>332</v>
      </c>
      <c r="Y68" s="210">
        <v>1</v>
      </c>
      <c r="Z68" s="210">
        <v>180</v>
      </c>
      <c r="AA68" s="209" t="s">
        <v>55</v>
      </c>
      <c r="AB68" s="209" t="s">
        <v>306</v>
      </c>
      <c r="AC68" s="207"/>
      <c r="AD68" s="377" t="s">
        <v>331</v>
      </c>
      <c r="AE68" s="230"/>
      <c r="AF68" s="183" t="str">
        <f t="shared" si="178"/>
        <v/>
      </c>
      <c r="AG68" s="203" t="str">
        <f t="shared" si="175"/>
        <v>OK</v>
      </c>
      <c r="AH68" s="377" t="s">
        <v>331</v>
      </c>
      <c r="AI68" s="230"/>
      <c r="AJ68" s="183" t="str">
        <f t="shared" si="179"/>
        <v/>
      </c>
      <c r="AK68" s="203" t="str">
        <f t="shared" si="176"/>
        <v>OK</v>
      </c>
      <c r="AL68" s="377" t="s">
        <v>331</v>
      </c>
      <c r="AM68" s="230"/>
      <c r="AN68" s="183" t="str">
        <f t="shared" si="180"/>
        <v/>
      </c>
      <c r="AO68" s="203" t="str">
        <f t="shared" si="177"/>
        <v>OK</v>
      </c>
      <c r="AP68" s="377" t="s">
        <v>331</v>
      </c>
      <c r="AQ68" s="230"/>
      <c r="AR68" s="183" t="str">
        <f t="shared" si="181"/>
        <v/>
      </c>
      <c r="AS68" s="203" t="str">
        <f t="shared" si="8"/>
        <v>OK</v>
      </c>
      <c r="AT68" s="377" t="s">
        <v>331</v>
      </c>
      <c r="AU68" s="230"/>
      <c r="AV68" s="183" t="str">
        <f t="shared" si="182"/>
        <v/>
      </c>
      <c r="AW68" s="203" t="str">
        <f t="shared" si="10"/>
        <v>OK</v>
      </c>
      <c r="AX68" s="377" t="s">
        <v>331</v>
      </c>
      <c r="AY68" s="230"/>
      <c r="AZ68" s="183" t="str">
        <f t="shared" si="183"/>
        <v/>
      </c>
      <c r="BA68" s="203" t="str">
        <f t="shared" si="12"/>
        <v>OK</v>
      </c>
      <c r="BB68" s="377" t="s">
        <v>331</v>
      </c>
      <c r="BC68" s="230"/>
      <c r="BD68" s="183" t="str">
        <f t="shared" si="184"/>
        <v/>
      </c>
      <c r="BE68" s="203" t="str">
        <f t="shared" si="14"/>
        <v>OK</v>
      </c>
      <c r="BF68" s="377" t="s">
        <v>331</v>
      </c>
      <c r="BG68" s="230"/>
      <c r="BH68" s="183" t="str">
        <f t="shared" si="185"/>
        <v/>
      </c>
      <c r="BI68" s="203" t="str">
        <f t="shared" si="16"/>
        <v>OK</v>
      </c>
      <c r="BJ68" s="377" t="s">
        <v>331</v>
      </c>
      <c r="BK68" s="230"/>
      <c r="BL68" s="183" t="str">
        <f t="shared" si="186"/>
        <v/>
      </c>
      <c r="BM68" s="203" t="str">
        <f t="shared" si="18"/>
        <v>OK</v>
      </c>
      <c r="BN68" s="377" t="s">
        <v>331</v>
      </c>
      <c r="BO68" s="230"/>
      <c r="BP68" s="183" t="str">
        <f t="shared" si="187"/>
        <v/>
      </c>
      <c r="BQ68" s="203" t="str">
        <f t="shared" si="20"/>
        <v>OK</v>
      </c>
      <c r="BR68" s="377" t="s">
        <v>331</v>
      </c>
      <c r="BS68" s="230"/>
      <c r="BT68" s="183" t="str">
        <f t="shared" si="188"/>
        <v/>
      </c>
      <c r="BU68" s="203" t="str">
        <f t="shared" si="22"/>
        <v>OK</v>
      </c>
      <c r="BV68" s="377" t="s">
        <v>331</v>
      </c>
      <c r="BW68" s="230"/>
      <c r="BX68" s="183" t="str">
        <f t="shared" si="189"/>
        <v/>
      </c>
      <c r="BY68" s="203" t="str">
        <f t="shared" si="24"/>
        <v>OK</v>
      </c>
      <c r="BZ68" s="377" t="s">
        <v>331</v>
      </c>
      <c r="CA68" s="230"/>
      <c r="CB68" s="183" t="str">
        <f t="shared" si="190"/>
        <v/>
      </c>
      <c r="CC68" s="203" t="str">
        <f t="shared" si="232"/>
        <v>OK</v>
      </c>
      <c r="CD68" s="377" t="s">
        <v>331</v>
      </c>
      <c r="CE68" s="230"/>
      <c r="CF68" s="183" t="str">
        <f t="shared" si="191"/>
        <v/>
      </c>
      <c r="CG68" s="203" t="str">
        <f t="shared" si="233"/>
        <v>OK</v>
      </c>
      <c r="CH68" s="377" t="s">
        <v>331</v>
      </c>
      <c r="CI68" s="230"/>
      <c r="CJ68" s="183" t="str">
        <f t="shared" si="192"/>
        <v/>
      </c>
      <c r="CK68" s="203" t="str">
        <f t="shared" si="30"/>
        <v>OK</v>
      </c>
      <c r="CL68" s="377" t="s">
        <v>331</v>
      </c>
      <c r="CM68" s="230"/>
      <c r="CN68" s="183" t="str">
        <f t="shared" si="193"/>
        <v/>
      </c>
      <c r="CO68" s="203" t="str">
        <f t="shared" si="234"/>
        <v>OK</v>
      </c>
      <c r="CP68" s="377" t="s">
        <v>331</v>
      </c>
      <c r="CQ68" s="230"/>
      <c r="CR68" s="183" t="str">
        <f t="shared" si="194"/>
        <v/>
      </c>
      <c r="CS68" s="203" t="str">
        <f t="shared" si="235"/>
        <v>OK</v>
      </c>
      <c r="CT68" s="377" t="s">
        <v>331</v>
      </c>
      <c r="CU68" s="230"/>
      <c r="CV68" s="183" t="str">
        <f t="shared" si="195"/>
        <v/>
      </c>
      <c r="CW68" s="203" t="str">
        <f t="shared" si="36"/>
        <v>OK</v>
      </c>
      <c r="CX68" s="377" t="s">
        <v>331</v>
      </c>
      <c r="CY68" s="230"/>
      <c r="CZ68" s="183" t="str">
        <f t="shared" si="196"/>
        <v/>
      </c>
      <c r="DA68" s="203" t="str">
        <f t="shared" si="236"/>
        <v>OK</v>
      </c>
      <c r="DB68" s="377" t="s">
        <v>331</v>
      </c>
      <c r="DC68" s="230"/>
      <c r="DD68" s="183" t="str">
        <f t="shared" si="197"/>
        <v/>
      </c>
      <c r="DE68" s="203" t="str">
        <f t="shared" si="237"/>
        <v>OK</v>
      </c>
      <c r="DF68" s="377" t="s">
        <v>331</v>
      </c>
      <c r="DG68" s="230"/>
      <c r="DH68" s="183" t="str">
        <f t="shared" si="198"/>
        <v/>
      </c>
      <c r="DI68" s="203" t="str">
        <f t="shared" si="42"/>
        <v>OK</v>
      </c>
      <c r="DJ68" s="377" t="s">
        <v>331</v>
      </c>
      <c r="DK68" s="230"/>
      <c r="DL68" s="183" t="str">
        <f t="shared" si="199"/>
        <v/>
      </c>
      <c r="DM68" s="203" t="str">
        <f t="shared" si="238"/>
        <v>OK</v>
      </c>
      <c r="DN68" s="377" t="s">
        <v>331</v>
      </c>
      <c r="DO68" s="230"/>
      <c r="DP68" s="183" t="str">
        <f t="shared" si="200"/>
        <v/>
      </c>
      <c r="DQ68" s="203" t="str">
        <f t="shared" si="239"/>
        <v>OK</v>
      </c>
      <c r="DR68" s="377" t="s">
        <v>331</v>
      </c>
      <c r="DS68" s="230"/>
      <c r="DT68" s="183" t="str">
        <f t="shared" si="201"/>
        <v/>
      </c>
      <c r="DU68" s="203" t="str">
        <f t="shared" si="48"/>
        <v>OK</v>
      </c>
      <c r="DV68" s="377" t="s">
        <v>331</v>
      </c>
      <c r="DW68" s="230"/>
      <c r="DX68" s="183" t="str">
        <f t="shared" si="202"/>
        <v/>
      </c>
      <c r="DY68" s="203" t="str">
        <f t="shared" si="240"/>
        <v>OK</v>
      </c>
      <c r="DZ68" s="377" t="s">
        <v>331</v>
      </c>
      <c r="EA68" s="230"/>
      <c r="EB68" s="183" t="str">
        <f t="shared" si="203"/>
        <v/>
      </c>
      <c r="EC68" s="203" t="str">
        <f t="shared" si="241"/>
        <v>OK</v>
      </c>
      <c r="ED68" s="377" t="s">
        <v>331</v>
      </c>
      <c r="EE68" s="230"/>
      <c r="EF68" s="183" t="str">
        <f t="shared" si="204"/>
        <v/>
      </c>
      <c r="EG68" s="203" t="str">
        <f t="shared" si="54"/>
        <v>OK</v>
      </c>
      <c r="EH68" s="377" t="s">
        <v>331</v>
      </c>
      <c r="EI68" s="230"/>
      <c r="EJ68" s="183" t="str">
        <f t="shared" si="205"/>
        <v/>
      </c>
      <c r="EK68" s="203" t="str">
        <f t="shared" ref="EK68:EK81" si="242">IF(OR(EI$8="判定対象外",EJ68="-"),"-",IF(EI68=EJ68,"OK","NG"))</f>
        <v>OK</v>
      </c>
      <c r="EL68" s="377" t="s">
        <v>331</v>
      </c>
      <c r="EM68" s="230"/>
      <c r="EN68" s="183" t="str">
        <f t="shared" si="206"/>
        <v/>
      </c>
      <c r="EO68" s="203" t="str">
        <f t="shared" ref="EO68:EO81" si="243">IF(OR(EM$8="判定対象外",EN68="-"),"-",IF(EM68=EN68,"OK","NG"))</f>
        <v>OK</v>
      </c>
      <c r="EP68" s="377" t="s">
        <v>331</v>
      </c>
      <c r="EQ68" s="230"/>
      <c r="ER68" s="183" t="str">
        <f t="shared" si="207"/>
        <v/>
      </c>
      <c r="ES68" s="203" t="str">
        <f t="shared" si="60"/>
        <v>OK</v>
      </c>
      <c r="ET68" s="378"/>
      <c r="EU68" s="230"/>
      <c r="EV68" s="183" t="str">
        <f>IF($AB68="I","",IF($AA68="","",IF(ET68="","",ET68)))</f>
        <v/>
      </c>
      <c r="EW68" s="203" t="str">
        <f>IF(OR(EU$8="判定対象外",EV68="-"),"-",IF(EU68=EV68,"OK","NG"))</f>
        <v>OK</v>
      </c>
      <c r="EX68" s="379" t="s">
        <v>584</v>
      </c>
      <c r="EY68" s="230"/>
      <c r="EZ68" s="183" t="str">
        <f>IF($AB68="I","",IF($AA68="","",IF(EX68="","",EX68)))</f>
        <v/>
      </c>
      <c r="FA68" s="203" t="str">
        <f>IF(OR(EY$8="判定対象外",EZ68="-"),"-",IF(EY68=EZ68,"OK","NG"))</f>
        <v>OK</v>
      </c>
      <c r="FB68" s="379" t="s">
        <v>576</v>
      </c>
      <c r="FC68" s="230"/>
      <c r="FD68" s="183" t="str">
        <f t="shared" si="210"/>
        <v/>
      </c>
      <c r="FE68" s="203" t="str">
        <f t="shared" si="66"/>
        <v>OK</v>
      </c>
      <c r="FF68" s="377" t="s">
        <v>581</v>
      </c>
      <c r="FG68" s="230"/>
      <c r="FH68" s="183" t="str">
        <f>IF($AB68="I","",IF($AA68="","",IF(FF68="","",FF68)))</f>
        <v/>
      </c>
      <c r="FI68" s="203" t="str">
        <f t="shared" si="225"/>
        <v>OK</v>
      </c>
      <c r="FJ68" s="377" t="s">
        <v>581</v>
      </c>
      <c r="FK68" s="230"/>
      <c r="FL68" s="183" t="str">
        <f>IF($AB68="I","",IF($AA68="","",IF(FJ68="","",FJ68)))</f>
        <v/>
      </c>
      <c r="FM68" s="203" t="str">
        <f t="shared" si="226"/>
        <v>OK</v>
      </c>
      <c r="FN68" s="377" t="s">
        <v>581</v>
      </c>
      <c r="FO68" s="230"/>
      <c r="FP68" s="183" t="str">
        <f t="shared" si="213"/>
        <v/>
      </c>
      <c r="FQ68" s="203" t="str">
        <f t="shared" si="72"/>
        <v>OK</v>
      </c>
      <c r="FR68" s="377" t="s">
        <v>581</v>
      </c>
      <c r="FS68" s="230"/>
      <c r="FT68" s="183" t="str">
        <f t="shared" si="214"/>
        <v/>
      </c>
      <c r="FU68" s="203" t="str">
        <f t="shared" si="227"/>
        <v>OK</v>
      </c>
      <c r="FV68" s="377" t="s">
        <v>581</v>
      </c>
      <c r="FW68" s="230"/>
      <c r="FX68" s="183" t="str">
        <f t="shared" si="215"/>
        <v/>
      </c>
      <c r="FY68" s="203" t="str">
        <f t="shared" si="228"/>
        <v>OK</v>
      </c>
      <c r="FZ68" s="377" t="s">
        <v>581</v>
      </c>
      <c r="GA68" s="230"/>
      <c r="GB68" s="183" t="str">
        <f t="shared" si="216"/>
        <v/>
      </c>
      <c r="GC68" s="203" t="str">
        <f t="shared" si="78"/>
        <v>OK</v>
      </c>
      <c r="GD68" s="377" t="s">
        <v>581</v>
      </c>
      <c r="GE68" s="230"/>
      <c r="GF68" s="183" t="str">
        <f t="shared" si="217"/>
        <v/>
      </c>
      <c r="GG68" s="203" t="str">
        <f t="shared" si="229"/>
        <v>OK</v>
      </c>
      <c r="GH68" s="377" t="s">
        <v>581</v>
      </c>
      <c r="GI68" s="230"/>
      <c r="GJ68" s="183" t="str">
        <f t="shared" si="218"/>
        <v/>
      </c>
      <c r="GK68" s="203" t="str">
        <f t="shared" si="230"/>
        <v>OK</v>
      </c>
      <c r="GL68" s="377" t="s">
        <v>581</v>
      </c>
      <c r="GM68" s="230"/>
      <c r="GN68" s="183" t="str">
        <f t="shared" si="219"/>
        <v/>
      </c>
      <c r="GO68" s="203" t="str">
        <f t="shared" si="84"/>
        <v>OK</v>
      </c>
      <c r="GP68" s="378" t="s">
        <v>581</v>
      </c>
      <c r="GQ68" s="230"/>
      <c r="GR68" s="183" t="str">
        <f t="shared" si="220"/>
        <v/>
      </c>
      <c r="GS68" s="203" t="str">
        <f t="shared" si="231"/>
        <v>OK</v>
      </c>
      <c r="GT68" s="202"/>
      <c r="GU68" s="202"/>
      <c r="GV68" s="201"/>
      <c r="GW68" s="201"/>
      <c r="GX68" s="201"/>
    </row>
    <row r="69" spans="1:206">
      <c r="A69" s="200" t="s">
        <v>298</v>
      </c>
      <c r="B69" s="225">
        <f t="shared" si="221"/>
        <v>62</v>
      </c>
      <c r="C69" s="229"/>
      <c r="D69" s="229"/>
      <c r="E69" s="228"/>
      <c r="F69" s="228"/>
      <c r="G69" s="222" t="s">
        <v>329</v>
      </c>
      <c r="H69" s="220"/>
      <c r="I69" s="209"/>
      <c r="J69" s="217" t="s">
        <v>326</v>
      </c>
      <c r="K69" s="219"/>
      <c r="L69" s="219"/>
      <c r="M69" s="218"/>
      <c r="N69" s="217"/>
      <c r="O69" s="216"/>
      <c r="P69" s="212"/>
      <c r="Q69" s="212"/>
      <c r="R69" s="215"/>
      <c r="S69" s="214"/>
      <c r="T69" s="212"/>
      <c r="U69" s="213"/>
      <c r="V69" s="212"/>
      <c r="W69" s="211" t="str">
        <f t="shared" si="222"/>
        <v>4</v>
      </c>
      <c r="X69" s="210" t="s">
        <v>330</v>
      </c>
      <c r="Y69" s="210">
        <v>1</v>
      </c>
      <c r="Z69" s="210">
        <v>180</v>
      </c>
      <c r="AA69" s="209" t="s">
        <v>55</v>
      </c>
      <c r="AB69" s="209" t="s">
        <v>306</v>
      </c>
      <c r="AC69" s="207"/>
      <c r="AD69" s="377" t="s">
        <v>329</v>
      </c>
      <c r="AE69" s="230"/>
      <c r="AF69" s="183" t="str">
        <f t="shared" si="178"/>
        <v/>
      </c>
      <c r="AG69" s="203" t="str">
        <f t="shared" si="175"/>
        <v>OK</v>
      </c>
      <c r="AH69" s="377" t="s">
        <v>329</v>
      </c>
      <c r="AI69" s="230"/>
      <c r="AJ69" s="183" t="str">
        <f t="shared" si="179"/>
        <v/>
      </c>
      <c r="AK69" s="203" t="str">
        <f t="shared" si="176"/>
        <v>OK</v>
      </c>
      <c r="AL69" s="377" t="s">
        <v>329</v>
      </c>
      <c r="AM69" s="230"/>
      <c r="AN69" s="183" t="str">
        <f t="shared" si="180"/>
        <v/>
      </c>
      <c r="AO69" s="203" t="str">
        <f t="shared" si="177"/>
        <v>OK</v>
      </c>
      <c r="AP69" s="377" t="s">
        <v>329</v>
      </c>
      <c r="AQ69" s="230"/>
      <c r="AR69" s="183" t="str">
        <f t="shared" si="181"/>
        <v/>
      </c>
      <c r="AS69" s="203" t="str">
        <f t="shared" si="8"/>
        <v>OK</v>
      </c>
      <c r="AT69" s="377" t="s">
        <v>329</v>
      </c>
      <c r="AU69" s="230"/>
      <c r="AV69" s="183" t="str">
        <f t="shared" si="182"/>
        <v/>
      </c>
      <c r="AW69" s="203" t="str">
        <f t="shared" si="10"/>
        <v>OK</v>
      </c>
      <c r="AX69" s="377" t="s">
        <v>329</v>
      </c>
      <c r="AY69" s="230"/>
      <c r="AZ69" s="183" t="str">
        <f t="shared" si="183"/>
        <v/>
      </c>
      <c r="BA69" s="203" t="str">
        <f t="shared" si="12"/>
        <v>OK</v>
      </c>
      <c r="BB69" s="377" t="s">
        <v>329</v>
      </c>
      <c r="BC69" s="230"/>
      <c r="BD69" s="183" t="str">
        <f t="shared" si="184"/>
        <v/>
      </c>
      <c r="BE69" s="203" t="str">
        <f t="shared" si="14"/>
        <v>OK</v>
      </c>
      <c r="BF69" s="377" t="s">
        <v>329</v>
      </c>
      <c r="BG69" s="230"/>
      <c r="BH69" s="183" t="str">
        <f t="shared" si="185"/>
        <v/>
      </c>
      <c r="BI69" s="203" t="str">
        <f t="shared" si="16"/>
        <v>OK</v>
      </c>
      <c r="BJ69" s="377" t="s">
        <v>329</v>
      </c>
      <c r="BK69" s="230"/>
      <c r="BL69" s="183" t="str">
        <f t="shared" si="186"/>
        <v/>
      </c>
      <c r="BM69" s="203" t="str">
        <f t="shared" si="18"/>
        <v>OK</v>
      </c>
      <c r="BN69" s="377" t="s">
        <v>329</v>
      </c>
      <c r="BO69" s="230"/>
      <c r="BP69" s="183" t="str">
        <f t="shared" si="187"/>
        <v/>
      </c>
      <c r="BQ69" s="203" t="str">
        <f t="shared" si="20"/>
        <v>OK</v>
      </c>
      <c r="BR69" s="377" t="s">
        <v>329</v>
      </c>
      <c r="BS69" s="230"/>
      <c r="BT69" s="183" t="str">
        <f t="shared" si="188"/>
        <v/>
      </c>
      <c r="BU69" s="203" t="str">
        <f t="shared" si="22"/>
        <v>OK</v>
      </c>
      <c r="BV69" s="377" t="s">
        <v>329</v>
      </c>
      <c r="BW69" s="230"/>
      <c r="BX69" s="183" t="str">
        <f t="shared" si="189"/>
        <v/>
      </c>
      <c r="BY69" s="203" t="str">
        <f t="shared" si="24"/>
        <v>OK</v>
      </c>
      <c r="BZ69" s="377" t="s">
        <v>329</v>
      </c>
      <c r="CA69" s="230"/>
      <c r="CB69" s="183" t="str">
        <f t="shared" si="190"/>
        <v/>
      </c>
      <c r="CC69" s="203" t="str">
        <f t="shared" si="232"/>
        <v>OK</v>
      </c>
      <c r="CD69" s="377" t="s">
        <v>329</v>
      </c>
      <c r="CE69" s="230"/>
      <c r="CF69" s="183" t="str">
        <f t="shared" si="191"/>
        <v/>
      </c>
      <c r="CG69" s="203" t="str">
        <f t="shared" si="233"/>
        <v>OK</v>
      </c>
      <c r="CH69" s="377" t="s">
        <v>329</v>
      </c>
      <c r="CI69" s="230"/>
      <c r="CJ69" s="183" t="str">
        <f t="shared" si="192"/>
        <v/>
      </c>
      <c r="CK69" s="203" t="str">
        <f t="shared" si="30"/>
        <v>OK</v>
      </c>
      <c r="CL69" s="377" t="s">
        <v>329</v>
      </c>
      <c r="CM69" s="230"/>
      <c r="CN69" s="183" t="str">
        <f t="shared" si="193"/>
        <v/>
      </c>
      <c r="CO69" s="203" t="str">
        <f t="shared" si="234"/>
        <v>OK</v>
      </c>
      <c r="CP69" s="377" t="s">
        <v>329</v>
      </c>
      <c r="CQ69" s="230"/>
      <c r="CR69" s="183" t="str">
        <f t="shared" si="194"/>
        <v/>
      </c>
      <c r="CS69" s="203" t="str">
        <f t="shared" si="235"/>
        <v>OK</v>
      </c>
      <c r="CT69" s="377" t="s">
        <v>329</v>
      </c>
      <c r="CU69" s="230"/>
      <c r="CV69" s="183" t="str">
        <f t="shared" si="195"/>
        <v/>
      </c>
      <c r="CW69" s="203" t="str">
        <f t="shared" si="36"/>
        <v>OK</v>
      </c>
      <c r="CX69" s="377" t="s">
        <v>329</v>
      </c>
      <c r="CY69" s="230"/>
      <c r="CZ69" s="183" t="str">
        <f t="shared" si="196"/>
        <v/>
      </c>
      <c r="DA69" s="203" t="str">
        <f t="shared" si="236"/>
        <v>OK</v>
      </c>
      <c r="DB69" s="377" t="s">
        <v>329</v>
      </c>
      <c r="DC69" s="230"/>
      <c r="DD69" s="183" t="str">
        <f t="shared" si="197"/>
        <v/>
      </c>
      <c r="DE69" s="203" t="str">
        <f t="shared" si="237"/>
        <v>OK</v>
      </c>
      <c r="DF69" s="377" t="s">
        <v>329</v>
      </c>
      <c r="DG69" s="230"/>
      <c r="DH69" s="183" t="str">
        <f t="shared" si="198"/>
        <v/>
      </c>
      <c r="DI69" s="203" t="str">
        <f t="shared" si="42"/>
        <v>OK</v>
      </c>
      <c r="DJ69" s="377" t="s">
        <v>329</v>
      </c>
      <c r="DK69" s="230"/>
      <c r="DL69" s="183" t="str">
        <f t="shared" si="199"/>
        <v/>
      </c>
      <c r="DM69" s="203" t="str">
        <f t="shared" si="238"/>
        <v>OK</v>
      </c>
      <c r="DN69" s="377" t="s">
        <v>329</v>
      </c>
      <c r="DO69" s="230"/>
      <c r="DP69" s="183" t="str">
        <f t="shared" si="200"/>
        <v/>
      </c>
      <c r="DQ69" s="203" t="str">
        <f t="shared" si="239"/>
        <v>OK</v>
      </c>
      <c r="DR69" s="377" t="s">
        <v>329</v>
      </c>
      <c r="DS69" s="230"/>
      <c r="DT69" s="183" t="str">
        <f t="shared" si="201"/>
        <v/>
      </c>
      <c r="DU69" s="203" t="str">
        <f t="shared" si="48"/>
        <v>OK</v>
      </c>
      <c r="DV69" s="377" t="s">
        <v>329</v>
      </c>
      <c r="DW69" s="230"/>
      <c r="DX69" s="183" t="str">
        <f t="shared" si="202"/>
        <v/>
      </c>
      <c r="DY69" s="203" t="str">
        <f t="shared" si="240"/>
        <v>OK</v>
      </c>
      <c r="DZ69" s="377" t="s">
        <v>329</v>
      </c>
      <c r="EA69" s="230"/>
      <c r="EB69" s="183" t="str">
        <f t="shared" si="203"/>
        <v/>
      </c>
      <c r="EC69" s="203" t="str">
        <f t="shared" si="241"/>
        <v>OK</v>
      </c>
      <c r="ED69" s="377" t="s">
        <v>329</v>
      </c>
      <c r="EE69" s="230"/>
      <c r="EF69" s="183" t="str">
        <f t="shared" si="204"/>
        <v/>
      </c>
      <c r="EG69" s="203" t="str">
        <f t="shared" si="54"/>
        <v>OK</v>
      </c>
      <c r="EH69" s="377" t="s">
        <v>329</v>
      </c>
      <c r="EI69" s="230"/>
      <c r="EJ69" s="183" t="str">
        <f t="shared" si="205"/>
        <v/>
      </c>
      <c r="EK69" s="203" t="str">
        <f t="shared" si="242"/>
        <v>OK</v>
      </c>
      <c r="EL69" s="377" t="s">
        <v>329</v>
      </c>
      <c r="EM69" s="230"/>
      <c r="EN69" s="183" t="str">
        <f t="shared" si="206"/>
        <v/>
      </c>
      <c r="EO69" s="203" t="str">
        <f t="shared" si="243"/>
        <v>OK</v>
      </c>
      <c r="EP69" s="377" t="s">
        <v>329</v>
      </c>
      <c r="EQ69" s="230"/>
      <c r="ER69" s="183" t="str">
        <f t="shared" si="207"/>
        <v/>
      </c>
      <c r="ES69" s="203" t="str">
        <f t="shared" si="60"/>
        <v>OK</v>
      </c>
      <c r="ET69" s="377" t="s">
        <v>329</v>
      </c>
      <c r="EU69" s="230"/>
      <c r="EV69" s="183" t="str">
        <f t="shared" si="208"/>
        <v/>
      </c>
      <c r="EW69" s="203" t="str">
        <f t="shared" ref="EW69:EW81" si="244">IF(OR(EU$8="判定対象外",EV69="-"),"-",IF(EU69=EV69,"OK","NG"))</f>
        <v>OK</v>
      </c>
      <c r="EX69" s="377" t="s">
        <v>329</v>
      </c>
      <c r="EY69" s="230"/>
      <c r="EZ69" s="183" t="str">
        <f t="shared" si="209"/>
        <v/>
      </c>
      <c r="FA69" s="203" t="str">
        <f t="shared" ref="FA69:FA81" si="245">IF(OR(EY$8="判定対象外",EZ69="-"),"-",IF(EY69=EZ69,"OK","NG"))</f>
        <v>OK</v>
      </c>
      <c r="FB69" s="377" t="s">
        <v>329</v>
      </c>
      <c r="FC69" s="230"/>
      <c r="FD69" s="183" t="str">
        <f t="shared" si="210"/>
        <v/>
      </c>
      <c r="FE69" s="203" t="str">
        <f t="shared" si="66"/>
        <v>OK</v>
      </c>
      <c r="FF69" s="378"/>
      <c r="FG69" s="230"/>
      <c r="FH69" s="183" t="str">
        <f>IF($AB69="I","",IF($AA69="","",IF(FF69="","",FF69)))</f>
        <v/>
      </c>
      <c r="FI69" s="203" t="str">
        <f>IF(OR(FG$8="判定対象外",FH69="-"),"-",IF(FG69=FH69,"OK","NG"))</f>
        <v>OK</v>
      </c>
      <c r="FJ69" s="379" t="s">
        <v>584</v>
      </c>
      <c r="FK69" s="230"/>
      <c r="FL69" s="183" t="str">
        <f>IF($AB69="I","",IF($AA69="","",IF(FJ69="","",FJ69)))</f>
        <v/>
      </c>
      <c r="FM69" s="203" t="str">
        <f>IF(OR(FK$8="判定対象外",FL69="-"),"-",IF(FK69=FL69,"OK","NG"))</f>
        <v>OK</v>
      </c>
      <c r="FN69" s="379" t="s">
        <v>576</v>
      </c>
      <c r="FO69" s="230"/>
      <c r="FP69" s="183" t="str">
        <f t="shared" si="213"/>
        <v/>
      </c>
      <c r="FQ69" s="203" t="str">
        <f t="shared" si="72"/>
        <v>OK</v>
      </c>
      <c r="FR69" s="377" t="s">
        <v>582</v>
      </c>
      <c r="FS69" s="230"/>
      <c r="FT69" s="183" t="str">
        <f>IF($AB69="I","",IF($AA69="","",IF(FR69="","",FR69)))</f>
        <v/>
      </c>
      <c r="FU69" s="203" t="str">
        <f t="shared" si="227"/>
        <v>OK</v>
      </c>
      <c r="FV69" s="377" t="s">
        <v>582</v>
      </c>
      <c r="FW69" s="230"/>
      <c r="FX69" s="183" t="str">
        <f>IF($AB69="I","",IF($AA69="","",IF(FV69="","",FV69)))</f>
        <v/>
      </c>
      <c r="FY69" s="203" t="str">
        <f t="shared" si="228"/>
        <v>OK</v>
      </c>
      <c r="FZ69" s="377" t="s">
        <v>582</v>
      </c>
      <c r="GA69" s="230"/>
      <c r="GB69" s="183" t="str">
        <f t="shared" si="216"/>
        <v/>
      </c>
      <c r="GC69" s="203" t="str">
        <f t="shared" si="78"/>
        <v>OK</v>
      </c>
      <c r="GD69" s="377" t="s">
        <v>582</v>
      </c>
      <c r="GE69" s="230"/>
      <c r="GF69" s="183" t="str">
        <f t="shared" si="217"/>
        <v/>
      </c>
      <c r="GG69" s="203" t="str">
        <f t="shared" si="229"/>
        <v>OK</v>
      </c>
      <c r="GH69" s="377" t="s">
        <v>582</v>
      </c>
      <c r="GI69" s="230"/>
      <c r="GJ69" s="183" t="str">
        <f t="shared" si="218"/>
        <v/>
      </c>
      <c r="GK69" s="203" t="str">
        <f t="shared" si="230"/>
        <v>OK</v>
      </c>
      <c r="GL69" s="377" t="s">
        <v>582</v>
      </c>
      <c r="GM69" s="230"/>
      <c r="GN69" s="183" t="str">
        <f t="shared" si="219"/>
        <v/>
      </c>
      <c r="GO69" s="203" t="str">
        <f t="shared" si="84"/>
        <v>OK</v>
      </c>
      <c r="GP69" s="378" t="s">
        <v>582</v>
      </c>
      <c r="GQ69" s="230"/>
      <c r="GR69" s="183" t="str">
        <f t="shared" si="220"/>
        <v/>
      </c>
      <c r="GS69" s="203" t="str">
        <f t="shared" si="231"/>
        <v>OK</v>
      </c>
      <c r="GT69" s="202"/>
      <c r="GU69" s="202"/>
      <c r="GV69" s="201"/>
      <c r="GW69" s="201"/>
      <c r="GX69" s="201"/>
    </row>
    <row r="70" spans="1:206">
      <c r="A70" s="200" t="s">
        <v>298</v>
      </c>
      <c r="B70" s="225">
        <f t="shared" si="221"/>
        <v>63</v>
      </c>
      <c r="C70" s="229"/>
      <c r="D70" s="229"/>
      <c r="E70" s="228"/>
      <c r="F70" s="228"/>
      <c r="G70" s="222" t="s">
        <v>327</v>
      </c>
      <c r="H70" s="220"/>
      <c r="I70" s="209"/>
      <c r="J70" s="217" t="s">
        <v>326</v>
      </c>
      <c r="K70" s="219"/>
      <c r="L70" s="219"/>
      <c r="M70" s="218"/>
      <c r="N70" s="217"/>
      <c r="O70" s="216"/>
      <c r="P70" s="212"/>
      <c r="Q70" s="212"/>
      <c r="R70" s="215"/>
      <c r="S70" s="214"/>
      <c r="T70" s="212"/>
      <c r="U70" s="213"/>
      <c r="V70" s="212"/>
      <c r="W70" s="211" t="str">
        <f t="shared" si="222"/>
        <v>4</v>
      </c>
      <c r="X70" s="210" t="s">
        <v>328</v>
      </c>
      <c r="Y70" s="210">
        <v>1</v>
      </c>
      <c r="Z70" s="210">
        <v>180</v>
      </c>
      <c r="AA70" s="209" t="s">
        <v>55</v>
      </c>
      <c r="AB70" s="209" t="s">
        <v>306</v>
      </c>
      <c r="AC70" s="207"/>
      <c r="AD70" s="377" t="s">
        <v>327</v>
      </c>
      <c r="AE70" s="230"/>
      <c r="AF70" s="183" t="str">
        <f t="shared" si="178"/>
        <v/>
      </c>
      <c r="AG70" s="203" t="str">
        <f t="shared" si="175"/>
        <v>OK</v>
      </c>
      <c r="AH70" s="377" t="s">
        <v>327</v>
      </c>
      <c r="AI70" s="230"/>
      <c r="AJ70" s="183" t="str">
        <f t="shared" si="179"/>
        <v/>
      </c>
      <c r="AK70" s="203" t="str">
        <f t="shared" si="176"/>
        <v>OK</v>
      </c>
      <c r="AL70" s="377" t="s">
        <v>327</v>
      </c>
      <c r="AM70" s="230"/>
      <c r="AN70" s="183" t="str">
        <f t="shared" si="180"/>
        <v/>
      </c>
      <c r="AO70" s="203" t="str">
        <f t="shared" si="177"/>
        <v>OK</v>
      </c>
      <c r="AP70" s="377" t="s">
        <v>327</v>
      </c>
      <c r="AQ70" s="230"/>
      <c r="AR70" s="183" t="str">
        <f t="shared" si="181"/>
        <v/>
      </c>
      <c r="AS70" s="203" t="str">
        <f t="shared" si="8"/>
        <v>OK</v>
      </c>
      <c r="AT70" s="377" t="s">
        <v>327</v>
      </c>
      <c r="AU70" s="230"/>
      <c r="AV70" s="183" t="str">
        <f t="shared" si="182"/>
        <v/>
      </c>
      <c r="AW70" s="203" t="str">
        <f t="shared" si="10"/>
        <v>OK</v>
      </c>
      <c r="AX70" s="377" t="s">
        <v>327</v>
      </c>
      <c r="AY70" s="230"/>
      <c r="AZ70" s="183" t="str">
        <f t="shared" si="183"/>
        <v/>
      </c>
      <c r="BA70" s="203" t="str">
        <f t="shared" si="12"/>
        <v>OK</v>
      </c>
      <c r="BB70" s="377" t="s">
        <v>327</v>
      </c>
      <c r="BC70" s="230"/>
      <c r="BD70" s="183" t="str">
        <f t="shared" si="184"/>
        <v/>
      </c>
      <c r="BE70" s="203" t="str">
        <f t="shared" si="14"/>
        <v>OK</v>
      </c>
      <c r="BF70" s="377" t="s">
        <v>327</v>
      </c>
      <c r="BG70" s="230"/>
      <c r="BH70" s="183" t="str">
        <f t="shared" si="185"/>
        <v/>
      </c>
      <c r="BI70" s="203" t="str">
        <f t="shared" si="16"/>
        <v>OK</v>
      </c>
      <c r="BJ70" s="377" t="s">
        <v>327</v>
      </c>
      <c r="BK70" s="230"/>
      <c r="BL70" s="183" t="str">
        <f t="shared" si="186"/>
        <v/>
      </c>
      <c r="BM70" s="203" t="str">
        <f t="shared" si="18"/>
        <v>OK</v>
      </c>
      <c r="BN70" s="377" t="s">
        <v>327</v>
      </c>
      <c r="BO70" s="230"/>
      <c r="BP70" s="183" t="str">
        <f t="shared" si="187"/>
        <v/>
      </c>
      <c r="BQ70" s="203" t="str">
        <f t="shared" si="20"/>
        <v>OK</v>
      </c>
      <c r="BR70" s="377" t="s">
        <v>327</v>
      </c>
      <c r="BS70" s="230"/>
      <c r="BT70" s="183" t="str">
        <f t="shared" si="188"/>
        <v/>
      </c>
      <c r="BU70" s="203" t="str">
        <f t="shared" si="22"/>
        <v>OK</v>
      </c>
      <c r="BV70" s="377" t="s">
        <v>327</v>
      </c>
      <c r="BW70" s="230"/>
      <c r="BX70" s="183" t="str">
        <f t="shared" si="189"/>
        <v/>
      </c>
      <c r="BY70" s="203" t="str">
        <f t="shared" si="24"/>
        <v>OK</v>
      </c>
      <c r="BZ70" s="377" t="s">
        <v>327</v>
      </c>
      <c r="CA70" s="230"/>
      <c r="CB70" s="183" t="str">
        <f t="shared" si="190"/>
        <v/>
      </c>
      <c r="CC70" s="203" t="str">
        <f t="shared" si="232"/>
        <v>OK</v>
      </c>
      <c r="CD70" s="377" t="s">
        <v>327</v>
      </c>
      <c r="CE70" s="230"/>
      <c r="CF70" s="183" t="str">
        <f t="shared" si="191"/>
        <v/>
      </c>
      <c r="CG70" s="203" t="str">
        <f t="shared" si="233"/>
        <v>OK</v>
      </c>
      <c r="CH70" s="377" t="s">
        <v>327</v>
      </c>
      <c r="CI70" s="230"/>
      <c r="CJ70" s="183" t="str">
        <f t="shared" si="192"/>
        <v/>
      </c>
      <c r="CK70" s="203" t="str">
        <f t="shared" si="30"/>
        <v>OK</v>
      </c>
      <c r="CL70" s="377" t="s">
        <v>327</v>
      </c>
      <c r="CM70" s="230"/>
      <c r="CN70" s="183" t="str">
        <f t="shared" si="193"/>
        <v/>
      </c>
      <c r="CO70" s="203" t="str">
        <f t="shared" si="234"/>
        <v>OK</v>
      </c>
      <c r="CP70" s="377" t="s">
        <v>327</v>
      </c>
      <c r="CQ70" s="230"/>
      <c r="CR70" s="183" t="str">
        <f t="shared" si="194"/>
        <v/>
      </c>
      <c r="CS70" s="203" t="str">
        <f t="shared" si="235"/>
        <v>OK</v>
      </c>
      <c r="CT70" s="377" t="s">
        <v>327</v>
      </c>
      <c r="CU70" s="230"/>
      <c r="CV70" s="183" t="str">
        <f t="shared" si="195"/>
        <v/>
      </c>
      <c r="CW70" s="203" t="str">
        <f t="shared" si="36"/>
        <v>OK</v>
      </c>
      <c r="CX70" s="377" t="s">
        <v>327</v>
      </c>
      <c r="CY70" s="230"/>
      <c r="CZ70" s="183" t="str">
        <f t="shared" si="196"/>
        <v/>
      </c>
      <c r="DA70" s="203" t="str">
        <f t="shared" si="236"/>
        <v>OK</v>
      </c>
      <c r="DB70" s="377" t="s">
        <v>327</v>
      </c>
      <c r="DC70" s="230"/>
      <c r="DD70" s="183" t="str">
        <f t="shared" si="197"/>
        <v/>
      </c>
      <c r="DE70" s="203" t="str">
        <f t="shared" si="237"/>
        <v>OK</v>
      </c>
      <c r="DF70" s="377" t="s">
        <v>327</v>
      </c>
      <c r="DG70" s="230"/>
      <c r="DH70" s="183" t="str">
        <f t="shared" si="198"/>
        <v/>
      </c>
      <c r="DI70" s="203" t="str">
        <f t="shared" si="42"/>
        <v>OK</v>
      </c>
      <c r="DJ70" s="377" t="s">
        <v>327</v>
      </c>
      <c r="DK70" s="230"/>
      <c r="DL70" s="183" t="str">
        <f t="shared" si="199"/>
        <v/>
      </c>
      <c r="DM70" s="203" t="str">
        <f t="shared" si="238"/>
        <v>OK</v>
      </c>
      <c r="DN70" s="377" t="s">
        <v>327</v>
      </c>
      <c r="DO70" s="230"/>
      <c r="DP70" s="183" t="str">
        <f t="shared" si="200"/>
        <v/>
      </c>
      <c r="DQ70" s="203" t="str">
        <f t="shared" si="239"/>
        <v>OK</v>
      </c>
      <c r="DR70" s="377" t="s">
        <v>327</v>
      </c>
      <c r="DS70" s="230"/>
      <c r="DT70" s="183" t="str">
        <f t="shared" si="201"/>
        <v/>
      </c>
      <c r="DU70" s="203" t="str">
        <f t="shared" si="48"/>
        <v>OK</v>
      </c>
      <c r="DV70" s="377" t="s">
        <v>327</v>
      </c>
      <c r="DW70" s="230"/>
      <c r="DX70" s="183" t="str">
        <f t="shared" si="202"/>
        <v/>
      </c>
      <c r="DY70" s="203" t="str">
        <f t="shared" si="240"/>
        <v>OK</v>
      </c>
      <c r="DZ70" s="377" t="s">
        <v>327</v>
      </c>
      <c r="EA70" s="230"/>
      <c r="EB70" s="183" t="str">
        <f t="shared" si="203"/>
        <v/>
      </c>
      <c r="EC70" s="203" t="str">
        <f t="shared" si="241"/>
        <v>OK</v>
      </c>
      <c r="ED70" s="377" t="s">
        <v>327</v>
      </c>
      <c r="EE70" s="230"/>
      <c r="EF70" s="183" t="str">
        <f t="shared" si="204"/>
        <v/>
      </c>
      <c r="EG70" s="203" t="str">
        <f t="shared" si="54"/>
        <v>OK</v>
      </c>
      <c r="EH70" s="377" t="s">
        <v>327</v>
      </c>
      <c r="EI70" s="230"/>
      <c r="EJ70" s="183" t="str">
        <f t="shared" si="205"/>
        <v/>
      </c>
      <c r="EK70" s="203" t="str">
        <f t="shared" si="242"/>
        <v>OK</v>
      </c>
      <c r="EL70" s="377" t="s">
        <v>327</v>
      </c>
      <c r="EM70" s="230"/>
      <c r="EN70" s="183" t="str">
        <f t="shared" si="206"/>
        <v/>
      </c>
      <c r="EO70" s="203" t="str">
        <f t="shared" si="243"/>
        <v>OK</v>
      </c>
      <c r="EP70" s="377" t="s">
        <v>327</v>
      </c>
      <c r="EQ70" s="230"/>
      <c r="ER70" s="183" t="str">
        <f t="shared" si="207"/>
        <v/>
      </c>
      <c r="ES70" s="203" t="str">
        <f t="shared" si="60"/>
        <v>OK</v>
      </c>
      <c r="ET70" s="377" t="s">
        <v>327</v>
      </c>
      <c r="EU70" s="230"/>
      <c r="EV70" s="183" t="str">
        <f t="shared" si="208"/>
        <v/>
      </c>
      <c r="EW70" s="203" t="str">
        <f t="shared" si="244"/>
        <v>OK</v>
      </c>
      <c r="EX70" s="377" t="s">
        <v>327</v>
      </c>
      <c r="EY70" s="230"/>
      <c r="EZ70" s="183" t="str">
        <f t="shared" si="209"/>
        <v/>
      </c>
      <c r="FA70" s="203" t="str">
        <f t="shared" si="245"/>
        <v>OK</v>
      </c>
      <c r="FB70" s="377" t="s">
        <v>327</v>
      </c>
      <c r="FC70" s="230"/>
      <c r="FD70" s="183" t="str">
        <f t="shared" si="210"/>
        <v/>
      </c>
      <c r="FE70" s="203" t="str">
        <f t="shared" si="66"/>
        <v>OK</v>
      </c>
      <c r="FF70" s="377" t="s">
        <v>327</v>
      </c>
      <c r="FG70" s="230"/>
      <c r="FH70" s="183" t="str">
        <f t="shared" si="211"/>
        <v/>
      </c>
      <c r="FI70" s="203" t="str">
        <f t="shared" ref="FI70:FI81" si="246">IF(OR(FG$8="判定対象外",FH70="-"),"-",IF(FG70=FH70,"OK","NG"))</f>
        <v>OK</v>
      </c>
      <c r="FJ70" s="377" t="s">
        <v>327</v>
      </c>
      <c r="FK70" s="230"/>
      <c r="FL70" s="183" t="str">
        <f t="shared" si="212"/>
        <v/>
      </c>
      <c r="FM70" s="203" t="str">
        <f t="shared" ref="FM70:FM81" si="247">IF(OR(FK$8="判定対象外",FL70="-"),"-",IF(FK70=FL70,"OK","NG"))</f>
        <v>OK</v>
      </c>
      <c r="FN70" s="377" t="s">
        <v>327</v>
      </c>
      <c r="FO70" s="230"/>
      <c r="FP70" s="183" t="str">
        <f t="shared" si="213"/>
        <v/>
      </c>
      <c r="FQ70" s="203" t="str">
        <f t="shared" si="72"/>
        <v>OK</v>
      </c>
      <c r="FR70" s="378"/>
      <c r="FS70" s="230"/>
      <c r="FT70" s="183" t="str">
        <f>IF($AB70="I","",IF($AA70="","",IF(FR70="","",FR70)))</f>
        <v/>
      </c>
      <c r="FU70" s="203" t="str">
        <f>IF(OR(FS$8="判定対象外",FT70="-"),"-",IF(FS70=FT70,"OK","NG"))</f>
        <v>OK</v>
      </c>
      <c r="FV70" s="379" t="s">
        <v>584</v>
      </c>
      <c r="FW70" s="230"/>
      <c r="FX70" s="183" t="str">
        <f>IF($AB70="I","",IF($AA70="","",IF(FV70="","",FV70)))</f>
        <v/>
      </c>
      <c r="FY70" s="203" t="str">
        <f>IF(OR(FW$8="判定対象外",FX70="-"),"-",IF(FW70=FX70,"OK","NG"))</f>
        <v>OK</v>
      </c>
      <c r="FZ70" s="379" t="s">
        <v>585</v>
      </c>
      <c r="GA70" s="230"/>
      <c r="GB70" s="183" t="str">
        <f t="shared" si="216"/>
        <v/>
      </c>
      <c r="GC70" s="203" t="str">
        <f t="shared" si="78"/>
        <v>OK</v>
      </c>
      <c r="GD70" s="377" t="s">
        <v>583</v>
      </c>
      <c r="GE70" s="230"/>
      <c r="GF70" s="183" t="str">
        <f>IF($AB70="I","",IF($AA70="","",IF(GD70="","",GD70)))</f>
        <v/>
      </c>
      <c r="GG70" s="203" t="str">
        <f t="shared" si="229"/>
        <v>OK</v>
      </c>
      <c r="GH70" s="377" t="s">
        <v>583</v>
      </c>
      <c r="GI70" s="230"/>
      <c r="GJ70" s="183" t="str">
        <f>IF($AB70="I","",IF($AA70="","",IF(GH70="","",GH70)))</f>
        <v/>
      </c>
      <c r="GK70" s="203" t="str">
        <f t="shared" si="230"/>
        <v>OK</v>
      </c>
      <c r="GL70" s="377" t="s">
        <v>583</v>
      </c>
      <c r="GM70" s="230"/>
      <c r="GN70" s="183" t="str">
        <f t="shared" si="219"/>
        <v/>
      </c>
      <c r="GO70" s="203" t="str">
        <f t="shared" si="84"/>
        <v>OK</v>
      </c>
      <c r="GP70" s="378" t="s">
        <v>583</v>
      </c>
      <c r="GQ70" s="230"/>
      <c r="GR70" s="183" t="str">
        <f t="shared" si="220"/>
        <v/>
      </c>
      <c r="GS70" s="203" t="str">
        <f t="shared" si="231"/>
        <v>OK</v>
      </c>
      <c r="GT70" s="202"/>
      <c r="GU70" s="202"/>
      <c r="GV70" s="201"/>
      <c r="GW70" s="201"/>
      <c r="GX70" s="201"/>
    </row>
    <row r="71" spans="1:206">
      <c r="A71" s="200" t="s">
        <v>298</v>
      </c>
      <c r="B71" s="225">
        <f t="shared" si="221"/>
        <v>64</v>
      </c>
      <c r="C71" s="229"/>
      <c r="D71" s="229"/>
      <c r="E71" s="228"/>
      <c r="F71" s="228"/>
      <c r="G71" s="222" t="s">
        <v>324</v>
      </c>
      <c r="H71" s="220"/>
      <c r="I71" s="209"/>
      <c r="J71" s="217" t="s">
        <v>326</v>
      </c>
      <c r="K71" s="219"/>
      <c r="L71" s="219"/>
      <c r="M71" s="218"/>
      <c r="N71" s="217"/>
      <c r="O71" s="216"/>
      <c r="P71" s="212"/>
      <c r="Q71" s="212"/>
      <c r="R71" s="215"/>
      <c r="S71" s="214"/>
      <c r="T71" s="212"/>
      <c r="U71" s="213"/>
      <c r="V71" s="212"/>
      <c r="W71" s="211" t="str">
        <f t="shared" si="222"/>
        <v>4</v>
      </c>
      <c r="X71" s="210" t="s">
        <v>325</v>
      </c>
      <c r="Y71" s="210">
        <v>1</v>
      </c>
      <c r="Z71" s="210">
        <v>180</v>
      </c>
      <c r="AA71" s="209" t="s">
        <v>55</v>
      </c>
      <c r="AB71" s="209" t="s">
        <v>306</v>
      </c>
      <c r="AC71" s="207"/>
      <c r="AD71" s="377" t="s">
        <v>324</v>
      </c>
      <c r="AE71" s="230"/>
      <c r="AF71" s="183" t="str">
        <f t="shared" si="178"/>
        <v/>
      </c>
      <c r="AG71" s="203" t="str">
        <f t="shared" si="175"/>
        <v>OK</v>
      </c>
      <c r="AH71" s="377" t="s">
        <v>324</v>
      </c>
      <c r="AI71" s="230"/>
      <c r="AJ71" s="183" t="str">
        <f t="shared" si="179"/>
        <v/>
      </c>
      <c r="AK71" s="203" t="str">
        <f t="shared" si="176"/>
        <v>OK</v>
      </c>
      <c r="AL71" s="377" t="s">
        <v>324</v>
      </c>
      <c r="AM71" s="230"/>
      <c r="AN71" s="183" t="str">
        <f t="shared" si="180"/>
        <v/>
      </c>
      <c r="AO71" s="203" t="str">
        <f t="shared" si="177"/>
        <v>OK</v>
      </c>
      <c r="AP71" s="377" t="s">
        <v>324</v>
      </c>
      <c r="AQ71" s="230"/>
      <c r="AR71" s="183" t="str">
        <f t="shared" si="181"/>
        <v/>
      </c>
      <c r="AS71" s="203" t="str">
        <f t="shared" si="8"/>
        <v>OK</v>
      </c>
      <c r="AT71" s="377" t="s">
        <v>324</v>
      </c>
      <c r="AU71" s="230"/>
      <c r="AV71" s="183" t="str">
        <f t="shared" si="182"/>
        <v/>
      </c>
      <c r="AW71" s="203" t="str">
        <f t="shared" si="10"/>
        <v>OK</v>
      </c>
      <c r="AX71" s="377" t="s">
        <v>324</v>
      </c>
      <c r="AY71" s="230"/>
      <c r="AZ71" s="183" t="str">
        <f t="shared" si="183"/>
        <v/>
      </c>
      <c r="BA71" s="203" t="str">
        <f t="shared" si="12"/>
        <v>OK</v>
      </c>
      <c r="BB71" s="377" t="s">
        <v>324</v>
      </c>
      <c r="BC71" s="230"/>
      <c r="BD71" s="183" t="str">
        <f t="shared" si="184"/>
        <v/>
      </c>
      <c r="BE71" s="203" t="str">
        <f t="shared" si="14"/>
        <v>OK</v>
      </c>
      <c r="BF71" s="377" t="s">
        <v>324</v>
      </c>
      <c r="BG71" s="230"/>
      <c r="BH71" s="183" t="str">
        <f t="shared" si="185"/>
        <v/>
      </c>
      <c r="BI71" s="203" t="str">
        <f t="shared" si="16"/>
        <v>OK</v>
      </c>
      <c r="BJ71" s="377" t="s">
        <v>324</v>
      </c>
      <c r="BK71" s="230"/>
      <c r="BL71" s="183" t="str">
        <f t="shared" si="186"/>
        <v/>
      </c>
      <c r="BM71" s="203" t="str">
        <f t="shared" si="18"/>
        <v>OK</v>
      </c>
      <c r="BN71" s="377" t="s">
        <v>324</v>
      </c>
      <c r="BO71" s="230"/>
      <c r="BP71" s="183" t="str">
        <f t="shared" si="187"/>
        <v/>
      </c>
      <c r="BQ71" s="203" t="str">
        <f t="shared" si="20"/>
        <v>OK</v>
      </c>
      <c r="BR71" s="377" t="s">
        <v>324</v>
      </c>
      <c r="BS71" s="230"/>
      <c r="BT71" s="183" t="str">
        <f t="shared" si="188"/>
        <v/>
      </c>
      <c r="BU71" s="203" t="str">
        <f t="shared" si="22"/>
        <v>OK</v>
      </c>
      <c r="BV71" s="377" t="s">
        <v>324</v>
      </c>
      <c r="BW71" s="230"/>
      <c r="BX71" s="183" t="str">
        <f t="shared" si="189"/>
        <v/>
      </c>
      <c r="BY71" s="203" t="str">
        <f t="shared" si="24"/>
        <v>OK</v>
      </c>
      <c r="BZ71" s="377" t="s">
        <v>324</v>
      </c>
      <c r="CA71" s="230"/>
      <c r="CB71" s="183" t="str">
        <f t="shared" si="190"/>
        <v/>
      </c>
      <c r="CC71" s="203" t="str">
        <f t="shared" si="232"/>
        <v>OK</v>
      </c>
      <c r="CD71" s="377" t="s">
        <v>324</v>
      </c>
      <c r="CE71" s="230"/>
      <c r="CF71" s="183" t="str">
        <f t="shared" si="191"/>
        <v/>
      </c>
      <c r="CG71" s="203" t="str">
        <f t="shared" si="233"/>
        <v>OK</v>
      </c>
      <c r="CH71" s="377" t="s">
        <v>324</v>
      </c>
      <c r="CI71" s="230"/>
      <c r="CJ71" s="183" t="str">
        <f t="shared" si="192"/>
        <v/>
      </c>
      <c r="CK71" s="203" t="str">
        <f t="shared" si="30"/>
        <v>OK</v>
      </c>
      <c r="CL71" s="377" t="s">
        <v>324</v>
      </c>
      <c r="CM71" s="230"/>
      <c r="CN71" s="183" t="str">
        <f t="shared" si="193"/>
        <v/>
      </c>
      <c r="CO71" s="203" t="str">
        <f t="shared" si="234"/>
        <v>OK</v>
      </c>
      <c r="CP71" s="377" t="s">
        <v>324</v>
      </c>
      <c r="CQ71" s="230"/>
      <c r="CR71" s="183" t="str">
        <f t="shared" si="194"/>
        <v/>
      </c>
      <c r="CS71" s="203" t="str">
        <f t="shared" si="235"/>
        <v>OK</v>
      </c>
      <c r="CT71" s="377" t="s">
        <v>324</v>
      </c>
      <c r="CU71" s="230"/>
      <c r="CV71" s="183" t="str">
        <f t="shared" si="195"/>
        <v/>
      </c>
      <c r="CW71" s="203" t="str">
        <f t="shared" si="36"/>
        <v>OK</v>
      </c>
      <c r="CX71" s="377" t="s">
        <v>324</v>
      </c>
      <c r="CY71" s="230"/>
      <c r="CZ71" s="183" t="str">
        <f t="shared" si="196"/>
        <v/>
      </c>
      <c r="DA71" s="203" t="str">
        <f t="shared" si="236"/>
        <v>OK</v>
      </c>
      <c r="DB71" s="377" t="s">
        <v>324</v>
      </c>
      <c r="DC71" s="230"/>
      <c r="DD71" s="183" t="str">
        <f t="shared" si="197"/>
        <v/>
      </c>
      <c r="DE71" s="203" t="str">
        <f t="shared" si="237"/>
        <v>OK</v>
      </c>
      <c r="DF71" s="377" t="s">
        <v>324</v>
      </c>
      <c r="DG71" s="230"/>
      <c r="DH71" s="183" t="str">
        <f t="shared" si="198"/>
        <v/>
      </c>
      <c r="DI71" s="203" t="str">
        <f t="shared" si="42"/>
        <v>OK</v>
      </c>
      <c r="DJ71" s="377" t="s">
        <v>324</v>
      </c>
      <c r="DK71" s="230"/>
      <c r="DL71" s="183" t="str">
        <f t="shared" si="199"/>
        <v/>
      </c>
      <c r="DM71" s="203" t="str">
        <f t="shared" si="238"/>
        <v>OK</v>
      </c>
      <c r="DN71" s="377" t="s">
        <v>324</v>
      </c>
      <c r="DO71" s="230"/>
      <c r="DP71" s="183" t="str">
        <f t="shared" si="200"/>
        <v/>
      </c>
      <c r="DQ71" s="203" t="str">
        <f t="shared" si="239"/>
        <v>OK</v>
      </c>
      <c r="DR71" s="377" t="s">
        <v>324</v>
      </c>
      <c r="DS71" s="230"/>
      <c r="DT71" s="183" t="str">
        <f t="shared" si="201"/>
        <v/>
      </c>
      <c r="DU71" s="203" t="str">
        <f t="shared" si="48"/>
        <v>OK</v>
      </c>
      <c r="DV71" s="377" t="s">
        <v>324</v>
      </c>
      <c r="DW71" s="230"/>
      <c r="DX71" s="183" t="str">
        <f t="shared" si="202"/>
        <v/>
      </c>
      <c r="DY71" s="203" t="str">
        <f t="shared" si="240"/>
        <v>OK</v>
      </c>
      <c r="DZ71" s="377" t="s">
        <v>324</v>
      </c>
      <c r="EA71" s="230"/>
      <c r="EB71" s="183" t="str">
        <f t="shared" si="203"/>
        <v/>
      </c>
      <c r="EC71" s="203" t="str">
        <f t="shared" si="241"/>
        <v>OK</v>
      </c>
      <c r="ED71" s="377" t="s">
        <v>324</v>
      </c>
      <c r="EE71" s="230"/>
      <c r="EF71" s="183" t="str">
        <f t="shared" si="204"/>
        <v/>
      </c>
      <c r="EG71" s="203" t="str">
        <f t="shared" si="54"/>
        <v>OK</v>
      </c>
      <c r="EH71" s="377" t="s">
        <v>324</v>
      </c>
      <c r="EI71" s="230"/>
      <c r="EJ71" s="183" t="str">
        <f t="shared" si="205"/>
        <v/>
      </c>
      <c r="EK71" s="203" t="str">
        <f t="shared" si="242"/>
        <v>OK</v>
      </c>
      <c r="EL71" s="377" t="s">
        <v>324</v>
      </c>
      <c r="EM71" s="230"/>
      <c r="EN71" s="183" t="str">
        <f t="shared" si="206"/>
        <v/>
      </c>
      <c r="EO71" s="203" t="str">
        <f t="shared" si="243"/>
        <v>OK</v>
      </c>
      <c r="EP71" s="377" t="s">
        <v>324</v>
      </c>
      <c r="EQ71" s="230"/>
      <c r="ER71" s="183" t="str">
        <f t="shared" si="207"/>
        <v/>
      </c>
      <c r="ES71" s="203" t="str">
        <f t="shared" si="60"/>
        <v>OK</v>
      </c>
      <c r="ET71" s="377" t="s">
        <v>324</v>
      </c>
      <c r="EU71" s="230"/>
      <c r="EV71" s="183" t="str">
        <f t="shared" si="208"/>
        <v/>
      </c>
      <c r="EW71" s="203" t="str">
        <f t="shared" si="244"/>
        <v>OK</v>
      </c>
      <c r="EX71" s="377" t="s">
        <v>324</v>
      </c>
      <c r="EY71" s="230"/>
      <c r="EZ71" s="183" t="str">
        <f t="shared" si="209"/>
        <v/>
      </c>
      <c r="FA71" s="203" t="str">
        <f t="shared" si="245"/>
        <v>OK</v>
      </c>
      <c r="FB71" s="377" t="s">
        <v>324</v>
      </c>
      <c r="FC71" s="230"/>
      <c r="FD71" s="183" t="str">
        <f t="shared" si="210"/>
        <v/>
      </c>
      <c r="FE71" s="203" t="str">
        <f t="shared" si="66"/>
        <v>OK</v>
      </c>
      <c r="FF71" s="377" t="s">
        <v>324</v>
      </c>
      <c r="FG71" s="230"/>
      <c r="FH71" s="183" t="str">
        <f t="shared" si="211"/>
        <v/>
      </c>
      <c r="FI71" s="203" t="str">
        <f t="shared" si="246"/>
        <v>OK</v>
      </c>
      <c r="FJ71" s="377" t="s">
        <v>324</v>
      </c>
      <c r="FK71" s="230"/>
      <c r="FL71" s="183" t="str">
        <f t="shared" si="212"/>
        <v/>
      </c>
      <c r="FM71" s="203" t="str">
        <f t="shared" si="247"/>
        <v>OK</v>
      </c>
      <c r="FN71" s="377" t="s">
        <v>324</v>
      </c>
      <c r="FO71" s="230"/>
      <c r="FP71" s="183" t="str">
        <f t="shared" si="213"/>
        <v/>
      </c>
      <c r="FQ71" s="203" t="str">
        <f t="shared" si="72"/>
        <v>OK</v>
      </c>
      <c r="FR71" s="377" t="s">
        <v>324</v>
      </c>
      <c r="FS71" s="230"/>
      <c r="FT71" s="183" t="str">
        <f t="shared" si="214"/>
        <v/>
      </c>
      <c r="FU71" s="203" t="str">
        <f t="shared" ref="FU71:FU81" si="248">IF(OR(FS$8="判定対象外",FT71="-"),"-",IF(FS71=FT71,"OK","NG"))</f>
        <v>OK</v>
      </c>
      <c r="FV71" s="377" t="s">
        <v>324</v>
      </c>
      <c r="FW71" s="230"/>
      <c r="FX71" s="183" t="str">
        <f t="shared" si="215"/>
        <v/>
      </c>
      <c r="FY71" s="203" t="str">
        <f t="shared" ref="FY71:FY81" si="249">IF(OR(FW$8="判定対象外",FX71="-"),"-",IF(FW71=FX71,"OK","NG"))</f>
        <v>OK</v>
      </c>
      <c r="FZ71" s="377" t="s">
        <v>324</v>
      </c>
      <c r="GA71" s="230"/>
      <c r="GB71" s="183" t="str">
        <f t="shared" si="216"/>
        <v/>
      </c>
      <c r="GC71" s="203" t="str">
        <f t="shared" si="78"/>
        <v>OK</v>
      </c>
      <c r="GD71" s="378"/>
      <c r="GE71" s="230"/>
      <c r="GF71" s="183" t="str">
        <f>IF($AB71="I","",IF($AA71="","",IF(GD71="","",GD71)))</f>
        <v/>
      </c>
      <c r="GG71" s="203" t="str">
        <f>IF(OR(GE$8="判定対象外",GF71="-"),"-",IF(GE71=GF71,"OK","NG"))</f>
        <v>OK</v>
      </c>
      <c r="GH71" s="379" t="s">
        <v>584</v>
      </c>
      <c r="GI71" s="230"/>
      <c r="GJ71" s="183" t="str">
        <f>IF($AB71="I","",IF($AA71="","",IF(GH71="","",GH71)))</f>
        <v/>
      </c>
      <c r="GK71" s="203" t="str">
        <f>IF(OR(GI$8="判定対象外",GJ71="-"),"-",IF(GI71=GJ71,"OK","NG"))</f>
        <v>OK</v>
      </c>
      <c r="GL71" s="379" t="s">
        <v>586</v>
      </c>
      <c r="GM71" s="230"/>
      <c r="GN71" s="183" t="str">
        <f t="shared" si="219"/>
        <v/>
      </c>
      <c r="GO71" s="203" t="str">
        <f t="shared" si="84"/>
        <v>OK</v>
      </c>
      <c r="GP71" s="378" t="s">
        <v>587</v>
      </c>
      <c r="GQ71" s="230"/>
      <c r="GR71" s="183" t="str">
        <f t="shared" si="220"/>
        <v/>
      </c>
      <c r="GS71" s="203" t="str">
        <f t="shared" ref="GS71:GS81" si="250">IF(OR(GQ$8="判定対象外",GR71="-"),"-",IF(GQ71=GR71,"OK","NG"))</f>
        <v>OK</v>
      </c>
      <c r="GT71" s="202"/>
      <c r="GU71" s="202"/>
      <c r="GV71" s="201"/>
      <c r="GW71" s="201"/>
      <c r="GX71" s="201"/>
    </row>
    <row r="72" spans="1:206">
      <c r="A72" s="200" t="s">
        <v>298</v>
      </c>
      <c r="B72" s="225">
        <f t="shared" si="221"/>
        <v>65</v>
      </c>
      <c r="C72" s="229"/>
      <c r="D72" s="229"/>
      <c r="E72" s="228"/>
      <c r="F72" s="234" t="s">
        <v>323</v>
      </c>
      <c r="G72" s="233"/>
      <c r="H72" s="232"/>
      <c r="I72" s="209"/>
      <c r="J72" s="217"/>
      <c r="K72" s="219"/>
      <c r="L72" s="219"/>
      <c r="M72" s="218" t="s">
        <v>322</v>
      </c>
      <c r="N72" s="217"/>
      <c r="O72" s="216"/>
      <c r="P72" s="212"/>
      <c r="Q72" s="212"/>
      <c r="R72" s="215"/>
      <c r="S72" s="214"/>
      <c r="T72" s="212"/>
      <c r="U72" s="213"/>
      <c r="V72" s="212"/>
      <c r="W72" s="211" t="str">
        <f t="shared" si="222"/>
        <v>3</v>
      </c>
      <c r="X72" s="210" t="s">
        <v>321</v>
      </c>
      <c r="Y72" s="210"/>
      <c r="Z72" s="210"/>
      <c r="AA72" s="209"/>
      <c r="AB72" s="209" t="s">
        <v>306</v>
      </c>
      <c r="AC72" s="207"/>
      <c r="AD72" s="226"/>
      <c r="AE72" s="230"/>
      <c r="AF72" s="183" t="str">
        <f t="shared" si="178"/>
        <v/>
      </c>
      <c r="AG72" s="203" t="str">
        <f t="shared" ref="AG72:AG81" si="251">IF(OR(AE$8="判定対象外",AF72="-"),"-",IF(AE72=AF72,"OK","NG"))</f>
        <v>OK</v>
      </c>
      <c r="AH72" s="226"/>
      <c r="AI72" s="230"/>
      <c r="AJ72" s="183" t="str">
        <f t="shared" si="179"/>
        <v/>
      </c>
      <c r="AK72" s="203" t="str">
        <f t="shared" ref="AK72:AK81" si="252">IF(OR(AI$8="判定対象外",AJ72="-"),"-",IF(AI72=AJ72,"OK","NG"))</f>
        <v>OK</v>
      </c>
      <c r="AL72" s="226"/>
      <c r="AM72" s="230"/>
      <c r="AN72" s="183" t="str">
        <f t="shared" si="180"/>
        <v/>
      </c>
      <c r="AO72" s="203" t="str">
        <f t="shared" ref="AO72:AO81" si="253">IF(OR(AM$8="判定対象外",AN72="-"),"-",IF(AM72=AN72,"OK","NG"))</f>
        <v>OK</v>
      </c>
      <c r="AP72" s="226"/>
      <c r="AQ72" s="230"/>
      <c r="AR72" s="183" t="str">
        <f t="shared" si="181"/>
        <v/>
      </c>
      <c r="AS72" s="203" t="str">
        <f t="shared" ref="AS72:AS81" si="254">IF(OR(AQ$8="判定対象外",AR72="-"),"-",IF(AQ72=AR72,"OK","NG"))</f>
        <v>OK</v>
      </c>
      <c r="AT72" s="226"/>
      <c r="AU72" s="230"/>
      <c r="AV72" s="183" t="str">
        <f t="shared" si="182"/>
        <v/>
      </c>
      <c r="AW72" s="203" t="str">
        <f t="shared" ref="AW72:AW81" si="255">IF(OR(AU$8="判定対象外",AV72="-"),"-",IF(AU72=AV72,"OK","NG"))</f>
        <v>OK</v>
      </c>
      <c r="AX72" s="226"/>
      <c r="AY72" s="230"/>
      <c r="AZ72" s="183" t="str">
        <f t="shared" si="183"/>
        <v/>
      </c>
      <c r="BA72" s="203" t="str">
        <f t="shared" ref="BA72:BA81" si="256">IF(OR(AY$8="判定対象外",AZ72="-"),"-",IF(AY72=AZ72,"OK","NG"))</f>
        <v>OK</v>
      </c>
      <c r="BB72" s="226"/>
      <c r="BC72" s="230"/>
      <c r="BD72" s="183" t="str">
        <f t="shared" si="184"/>
        <v/>
      </c>
      <c r="BE72" s="203" t="str">
        <f t="shared" ref="BE72:BE81" si="257">IF(OR(BC$8="判定対象外",BD72="-"),"-",IF(BC72=BD72,"OK","NG"))</f>
        <v>OK</v>
      </c>
      <c r="BF72" s="226"/>
      <c r="BG72" s="230"/>
      <c r="BH72" s="183" t="str">
        <f t="shared" si="185"/>
        <v/>
      </c>
      <c r="BI72" s="203" t="str">
        <f t="shared" ref="BI72:BI81" si="258">IF(OR(BG$8="判定対象外",BH72="-"),"-",IF(BG72=BH72,"OK","NG"))</f>
        <v>OK</v>
      </c>
      <c r="BJ72" s="226"/>
      <c r="BK72" s="230"/>
      <c r="BL72" s="183" t="str">
        <f t="shared" si="186"/>
        <v/>
      </c>
      <c r="BM72" s="203" t="str">
        <f t="shared" ref="BM72:BM81" si="259">IF(OR(BK$8="判定対象外",BL72="-"),"-",IF(BK72=BL72,"OK","NG"))</f>
        <v>OK</v>
      </c>
      <c r="BN72" s="226"/>
      <c r="BO72" s="230"/>
      <c r="BP72" s="183" t="str">
        <f t="shared" si="187"/>
        <v/>
      </c>
      <c r="BQ72" s="203" t="str">
        <f t="shared" ref="BQ72:BQ81" si="260">IF(OR(BO$8="判定対象外",BP72="-"),"-",IF(BO72=BP72,"OK","NG"))</f>
        <v>OK</v>
      </c>
      <c r="BR72" s="226"/>
      <c r="BS72" s="230"/>
      <c r="BT72" s="183" t="str">
        <f t="shared" si="188"/>
        <v/>
      </c>
      <c r="BU72" s="203" t="str">
        <f t="shared" ref="BU72:BU81" si="261">IF(OR(BS$8="判定対象外",BT72="-"),"-",IF(BS72=BT72,"OK","NG"))</f>
        <v>OK</v>
      </c>
      <c r="BV72" s="226"/>
      <c r="BW72" s="230"/>
      <c r="BX72" s="183" t="str">
        <f t="shared" si="189"/>
        <v/>
      </c>
      <c r="BY72" s="203" t="str">
        <f t="shared" ref="BY72:BY81" si="262">IF(OR(BW$8="判定対象外",BX72="-"),"-",IF(BW72=BX72,"OK","NG"))</f>
        <v>OK</v>
      </c>
      <c r="BZ72" s="226"/>
      <c r="CA72" s="230"/>
      <c r="CB72" s="183" t="str">
        <f t="shared" si="190"/>
        <v/>
      </c>
      <c r="CC72" s="203" t="str">
        <f t="shared" si="232"/>
        <v>OK</v>
      </c>
      <c r="CD72" s="226"/>
      <c r="CE72" s="230"/>
      <c r="CF72" s="183" t="str">
        <f t="shared" si="191"/>
        <v/>
      </c>
      <c r="CG72" s="203" t="str">
        <f t="shared" si="233"/>
        <v>OK</v>
      </c>
      <c r="CH72" s="226"/>
      <c r="CI72" s="230"/>
      <c r="CJ72" s="183" t="str">
        <f t="shared" si="192"/>
        <v/>
      </c>
      <c r="CK72" s="203" t="str">
        <f t="shared" ref="CK72:CK81" si="263">IF(OR(CI$8="判定対象外",CJ72="-"),"-",IF(CI72=CJ72,"OK","NG"))</f>
        <v>OK</v>
      </c>
      <c r="CL72" s="226"/>
      <c r="CM72" s="230"/>
      <c r="CN72" s="183" t="str">
        <f t="shared" si="193"/>
        <v/>
      </c>
      <c r="CO72" s="203" t="str">
        <f t="shared" si="234"/>
        <v>OK</v>
      </c>
      <c r="CP72" s="226"/>
      <c r="CQ72" s="230"/>
      <c r="CR72" s="183" t="str">
        <f t="shared" si="194"/>
        <v/>
      </c>
      <c r="CS72" s="203" t="str">
        <f t="shared" si="235"/>
        <v>OK</v>
      </c>
      <c r="CT72" s="226"/>
      <c r="CU72" s="230"/>
      <c r="CV72" s="183" t="str">
        <f t="shared" si="195"/>
        <v/>
      </c>
      <c r="CW72" s="203" t="str">
        <f t="shared" ref="CW72:CW81" si="264">IF(OR(CU$8="判定対象外",CV72="-"),"-",IF(CU72=CV72,"OK","NG"))</f>
        <v>OK</v>
      </c>
      <c r="CX72" s="226"/>
      <c r="CY72" s="230"/>
      <c r="CZ72" s="183" t="str">
        <f t="shared" si="196"/>
        <v/>
      </c>
      <c r="DA72" s="203" t="str">
        <f t="shared" si="236"/>
        <v>OK</v>
      </c>
      <c r="DB72" s="226"/>
      <c r="DC72" s="230"/>
      <c r="DD72" s="183" t="str">
        <f t="shared" si="197"/>
        <v/>
      </c>
      <c r="DE72" s="203" t="str">
        <f t="shared" si="237"/>
        <v>OK</v>
      </c>
      <c r="DF72" s="226"/>
      <c r="DG72" s="230"/>
      <c r="DH72" s="183" t="str">
        <f t="shared" si="198"/>
        <v/>
      </c>
      <c r="DI72" s="203" t="str">
        <f t="shared" ref="DI72:DI81" si="265">IF(OR(DG$8="判定対象外",DH72="-"),"-",IF(DG72=DH72,"OK","NG"))</f>
        <v>OK</v>
      </c>
      <c r="DJ72" s="226"/>
      <c r="DK72" s="230"/>
      <c r="DL72" s="183" t="str">
        <f t="shared" si="199"/>
        <v/>
      </c>
      <c r="DM72" s="203" t="str">
        <f t="shared" si="238"/>
        <v>OK</v>
      </c>
      <c r="DN72" s="226"/>
      <c r="DO72" s="230"/>
      <c r="DP72" s="183" t="str">
        <f t="shared" si="200"/>
        <v/>
      </c>
      <c r="DQ72" s="203" t="str">
        <f t="shared" si="239"/>
        <v>OK</v>
      </c>
      <c r="DR72" s="226"/>
      <c r="DS72" s="230"/>
      <c r="DT72" s="183" t="str">
        <f t="shared" si="201"/>
        <v/>
      </c>
      <c r="DU72" s="203" t="str">
        <f t="shared" ref="DU72:DU81" si="266">IF(OR(DS$8="判定対象外",DT72="-"),"-",IF(DS72=DT72,"OK","NG"))</f>
        <v>OK</v>
      </c>
      <c r="DV72" s="226"/>
      <c r="DW72" s="230"/>
      <c r="DX72" s="183" t="str">
        <f t="shared" si="202"/>
        <v/>
      </c>
      <c r="DY72" s="203" t="str">
        <f t="shared" si="240"/>
        <v>OK</v>
      </c>
      <c r="DZ72" s="226"/>
      <c r="EA72" s="230"/>
      <c r="EB72" s="183" t="str">
        <f t="shared" si="203"/>
        <v/>
      </c>
      <c r="EC72" s="203" t="str">
        <f t="shared" si="241"/>
        <v>OK</v>
      </c>
      <c r="ED72" s="226"/>
      <c r="EE72" s="230"/>
      <c r="EF72" s="183" t="str">
        <f t="shared" si="204"/>
        <v/>
      </c>
      <c r="EG72" s="203" t="str">
        <f t="shared" ref="EG72:EG81" si="267">IF(OR(EE$8="判定対象外",EF72="-"),"-",IF(EE72=EF72,"OK","NG"))</f>
        <v>OK</v>
      </c>
      <c r="EH72" s="226"/>
      <c r="EI72" s="230"/>
      <c r="EJ72" s="183" t="str">
        <f t="shared" si="205"/>
        <v/>
      </c>
      <c r="EK72" s="203" t="str">
        <f t="shared" si="242"/>
        <v>OK</v>
      </c>
      <c r="EL72" s="226"/>
      <c r="EM72" s="230"/>
      <c r="EN72" s="183" t="str">
        <f t="shared" si="206"/>
        <v/>
      </c>
      <c r="EO72" s="203" t="str">
        <f t="shared" si="243"/>
        <v>OK</v>
      </c>
      <c r="EP72" s="226"/>
      <c r="EQ72" s="230"/>
      <c r="ER72" s="183" t="str">
        <f t="shared" si="207"/>
        <v/>
      </c>
      <c r="ES72" s="203" t="str">
        <f t="shared" ref="ES72:ES81" si="268">IF(OR(EQ$8="判定対象外",ER72="-"),"-",IF(EQ72=ER72,"OK","NG"))</f>
        <v>OK</v>
      </c>
      <c r="ET72" s="226"/>
      <c r="EU72" s="230"/>
      <c r="EV72" s="183" t="str">
        <f t="shared" si="208"/>
        <v/>
      </c>
      <c r="EW72" s="203" t="str">
        <f t="shared" si="244"/>
        <v>OK</v>
      </c>
      <c r="EX72" s="226"/>
      <c r="EY72" s="230"/>
      <c r="EZ72" s="183" t="str">
        <f t="shared" si="209"/>
        <v/>
      </c>
      <c r="FA72" s="203" t="str">
        <f t="shared" si="245"/>
        <v>OK</v>
      </c>
      <c r="FB72" s="226"/>
      <c r="FC72" s="230"/>
      <c r="FD72" s="183" t="str">
        <f t="shared" si="210"/>
        <v/>
      </c>
      <c r="FE72" s="203" t="str">
        <f t="shared" ref="FE72:FE81" si="269">IF(OR(FC$8="判定対象外",FD72="-"),"-",IF(FC72=FD72,"OK","NG"))</f>
        <v>OK</v>
      </c>
      <c r="FF72" s="226"/>
      <c r="FG72" s="230"/>
      <c r="FH72" s="183" t="str">
        <f t="shared" si="211"/>
        <v/>
      </c>
      <c r="FI72" s="203" t="str">
        <f t="shared" si="246"/>
        <v>OK</v>
      </c>
      <c r="FJ72" s="226"/>
      <c r="FK72" s="230"/>
      <c r="FL72" s="183" t="str">
        <f t="shared" si="212"/>
        <v/>
      </c>
      <c r="FM72" s="203" t="str">
        <f t="shared" si="247"/>
        <v>OK</v>
      </c>
      <c r="FN72" s="226"/>
      <c r="FO72" s="230"/>
      <c r="FP72" s="183" t="str">
        <f t="shared" si="213"/>
        <v/>
      </c>
      <c r="FQ72" s="203" t="str">
        <f t="shared" ref="FQ72:FQ81" si="270">IF(OR(FO$8="判定対象外",FP72="-"),"-",IF(FO72=FP72,"OK","NG"))</f>
        <v>OK</v>
      </c>
      <c r="FR72" s="226"/>
      <c r="FS72" s="230"/>
      <c r="FT72" s="183" t="str">
        <f t="shared" si="214"/>
        <v/>
      </c>
      <c r="FU72" s="203" t="str">
        <f t="shared" si="248"/>
        <v>OK</v>
      </c>
      <c r="FV72" s="226"/>
      <c r="FW72" s="230"/>
      <c r="FX72" s="183" t="str">
        <f t="shared" si="215"/>
        <v/>
      </c>
      <c r="FY72" s="203" t="str">
        <f t="shared" si="249"/>
        <v>OK</v>
      </c>
      <c r="FZ72" s="226"/>
      <c r="GA72" s="230"/>
      <c r="GB72" s="183" t="str">
        <f t="shared" si="216"/>
        <v/>
      </c>
      <c r="GC72" s="203" t="str">
        <f t="shared" ref="GC72:GC81" si="271">IF(OR(GA$8="判定対象外",GB72="-"),"-",IF(GA72=GB72,"OK","NG"))</f>
        <v>OK</v>
      </c>
      <c r="GD72" s="226"/>
      <c r="GE72" s="230"/>
      <c r="GF72" s="183" t="str">
        <f t="shared" si="217"/>
        <v/>
      </c>
      <c r="GG72" s="203" t="str">
        <f t="shared" ref="GG72:GG81" si="272">IF(OR(GE$8="判定対象外",GF72="-"),"-",IF(GE72=GF72,"OK","NG"))</f>
        <v>OK</v>
      </c>
      <c r="GH72" s="226"/>
      <c r="GI72" s="230"/>
      <c r="GJ72" s="183" t="str">
        <f t="shared" si="218"/>
        <v/>
      </c>
      <c r="GK72" s="203" t="str">
        <f t="shared" ref="GK72:GK81" si="273">IF(OR(GI$8="判定対象外",GJ72="-"),"-",IF(GI72=GJ72,"OK","NG"))</f>
        <v>OK</v>
      </c>
      <c r="GL72" s="226"/>
      <c r="GM72" s="230"/>
      <c r="GN72" s="183" t="str">
        <f t="shared" si="219"/>
        <v/>
      </c>
      <c r="GO72" s="203" t="str">
        <f t="shared" ref="GO72:GO81" si="274">IF(OR(GM$8="判定対象外",GN72="-"),"-",IF(GM72=GN72,"OK","NG"))</f>
        <v>OK</v>
      </c>
      <c r="GP72" s="226"/>
      <c r="GQ72" s="230"/>
      <c r="GR72" s="183" t="str">
        <f t="shared" si="220"/>
        <v/>
      </c>
      <c r="GS72" s="203" t="str">
        <f t="shared" si="250"/>
        <v>OK</v>
      </c>
      <c r="GT72" s="202"/>
      <c r="GU72" s="202"/>
      <c r="GV72" s="201"/>
      <c r="GW72" s="201"/>
      <c r="GX72" s="201"/>
    </row>
    <row r="73" spans="1:206">
      <c r="A73" s="200" t="s">
        <v>298</v>
      </c>
      <c r="B73" s="225">
        <f t="shared" si="221"/>
        <v>66</v>
      </c>
      <c r="C73" s="229"/>
      <c r="D73" s="229"/>
      <c r="E73" s="223"/>
      <c r="F73" s="223"/>
      <c r="G73" s="222" t="s">
        <v>320</v>
      </c>
      <c r="H73" s="220"/>
      <c r="I73" s="209"/>
      <c r="J73" s="217"/>
      <c r="K73" s="219"/>
      <c r="L73" s="219"/>
      <c r="M73" s="218"/>
      <c r="N73" s="217"/>
      <c r="O73" s="216"/>
      <c r="P73" s="212"/>
      <c r="Q73" s="212"/>
      <c r="R73" s="215"/>
      <c r="S73" s="214"/>
      <c r="T73" s="212"/>
      <c r="U73" s="213"/>
      <c r="V73" s="212"/>
      <c r="W73" s="211" t="str">
        <f t="shared" si="222"/>
        <v>4</v>
      </c>
      <c r="X73" s="210" t="s">
        <v>319</v>
      </c>
      <c r="Y73" s="210">
        <v>1</v>
      </c>
      <c r="Z73" s="210">
        <v>50</v>
      </c>
      <c r="AA73" s="209" t="s">
        <v>69</v>
      </c>
      <c r="AB73" s="209" t="s">
        <v>306</v>
      </c>
      <c r="AC73" s="207"/>
      <c r="AD73" s="226" t="s">
        <v>318</v>
      </c>
      <c r="AE73" s="230"/>
      <c r="AF73" s="183" t="str">
        <f t="shared" si="178"/>
        <v/>
      </c>
      <c r="AG73" s="203" t="str">
        <f t="shared" si="251"/>
        <v>OK</v>
      </c>
      <c r="AH73" s="226" t="s">
        <v>318</v>
      </c>
      <c r="AI73" s="230"/>
      <c r="AJ73" s="183" t="str">
        <f t="shared" si="179"/>
        <v/>
      </c>
      <c r="AK73" s="203" t="str">
        <f t="shared" si="252"/>
        <v>OK</v>
      </c>
      <c r="AL73" s="226" t="s">
        <v>318</v>
      </c>
      <c r="AM73" s="230"/>
      <c r="AN73" s="183" t="str">
        <f t="shared" si="180"/>
        <v/>
      </c>
      <c r="AO73" s="203" t="str">
        <f t="shared" si="253"/>
        <v>OK</v>
      </c>
      <c r="AP73" s="226" t="s">
        <v>318</v>
      </c>
      <c r="AQ73" s="230"/>
      <c r="AR73" s="183" t="str">
        <f t="shared" si="181"/>
        <v/>
      </c>
      <c r="AS73" s="203" t="str">
        <f t="shared" si="254"/>
        <v>OK</v>
      </c>
      <c r="AT73" s="226" t="s">
        <v>318</v>
      </c>
      <c r="AU73" s="230"/>
      <c r="AV73" s="183" t="str">
        <f t="shared" si="182"/>
        <v/>
      </c>
      <c r="AW73" s="203" t="str">
        <f t="shared" si="255"/>
        <v>OK</v>
      </c>
      <c r="AX73" s="226" t="s">
        <v>318</v>
      </c>
      <c r="AY73" s="230"/>
      <c r="AZ73" s="183" t="str">
        <f t="shared" si="183"/>
        <v/>
      </c>
      <c r="BA73" s="203" t="str">
        <f t="shared" si="256"/>
        <v>OK</v>
      </c>
      <c r="BB73" s="226" t="s">
        <v>318</v>
      </c>
      <c r="BC73" s="230"/>
      <c r="BD73" s="183" t="str">
        <f t="shared" si="184"/>
        <v/>
      </c>
      <c r="BE73" s="203" t="str">
        <f t="shared" si="257"/>
        <v>OK</v>
      </c>
      <c r="BF73" s="226" t="s">
        <v>318</v>
      </c>
      <c r="BG73" s="230"/>
      <c r="BH73" s="183" t="str">
        <f t="shared" si="185"/>
        <v/>
      </c>
      <c r="BI73" s="203" t="str">
        <f t="shared" si="258"/>
        <v>OK</v>
      </c>
      <c r="BJ73" s="226" t="s">
        <v>318</v>
      </c>
      <c r="BK73" s="230"/>
      <c r="BL73" s="183" t="str">
        <f t="shared" si="186"/>
        <v/>
      </c>
      <c r="BM73" s="203" t="str">
        <f t="shared" si="259"/>
        <v>OK</v>
      </c>
      <c r="BN73" s="226" t="s">
        <v>318</v>
      </c>
      <c r="BO73" s="230"/>
      <c r="BP73" s="183" t="str">
        <f t="shared" si="187"/>
        <v/>
      </c>
      <c r="BQ73" s="203" t="str">
        <f t="shared" si="260"/>
        <v>OK</v>
      </c>
      <c r="BR73" s="226" t="s">
        <v>318</v>
      </c>
      <c r="BS73" s="230"/>
      <c r="BT73" s="183" t="str">
        <f t="shared" si="188"/>
        <v/>
      </c>
      <c r="BU73" s="203" t="str">
        <f t="shared" si="261"/>
        <v>OK</v>
      </c>
      <c r="BV73" s="226" t="s">
        <v>318</v>
      </c>
      <c r="BW73" s="230"/>
      <c r="BX73" s="183" t="str">
        <f t="shared" si="189"/>
        <v/>
      </c>
      <c r="BY73" s="203" t="str">
        <f t="shared" si="262"/>
        <v>OK</v>
      </c>
      <c r="BZ73" s="226" t="s">
        <v>318</v>
      </c>
      <c r="CA73" s="230"/>
      <c r="CB73" s="183" t="str">
        <f t="shared" si="190"/>
        <v/>
      </c>
      <c r="CC73" s="203" t="str">
        <f t="shared" si="232"/>
        <v>OK</v>
      </c>
      <c r="CD73" s="226" t="s">
        <v>318</v>
      </c>
      <c r="CE73" s="230"/>
      <c r="CF73" s="183" t="str">
        <f t="shared" si="191"/>
        <v/>
      </c>
      <c r="CG73" s="203" t="str">
        <f t="shared" si="233"/>
        <v>OK</v>
      </c>
      <c r="CH73" s="226" t="s">
        <v>318</v>
      </c>
      <c r="CI73" s="230"/>
      <c r="CJ73" s="183" t="str">
        <f t="shared" si="192"/>
        <v/>
      </c>
      <c r="CK73" s="203" t="str">
        <f t="shared" si="263"/>
        <v>OK</v>
      </c>
      <c r="CL73" s="226" t="s">
        <v>318</v>
      </c>
      <c r="CM73" s="230"/>
      <c r="CN73" s="183" t="str">
        <f t="shared" si="193"/>
        <v/>
      </c>
      <c r="CO73" s="203" t="str">
        <f t="shared" si="234"/>
        <v>OK</v>
      </c>
      <c r="CP73" s="226" t="s">
        <v>318</v>
      </c>
      <c r="CQ73" s="230"/>
      <c r="CR73" s="183" t="str">
        <f t="shared" si="194"/>
        <v/>
      </c>
      <c r="CS73" s="203" t="str">
        <f t="shared" si="235"/>
        <v>OK</v>
      </c>
      <c r="CT73" s="226" t="s">
        <v>318</v>
      </c>
      <c r="CU73" s="230"/>
      <c r="CV73" s="183" t="str">
        <f t="shared" si="195"/>
        <v/>
      </c>
      <c r="CW73" s="203" t="str">
        <f t="shared" si="264"/>
        <v>OK</v>
      </c>
      <c r="CX73" s="226" t="s">
        <v>318</v>
      </c>
      <c r="CY73" s="230"/>
      <c r="CZ73" s="183" t="str">
        <f t="shared" si="196"/>
        <v/>
      </c>
      <c r="DA73" s="203" t="str">
        <f t="shared" si="236"/>
        <v>OK</v>
      </c>
      <c r="DB73" s="226" t="s">
        <v>318</v>
      </c>
      <c r="DC73" s="230"/>
      <c r="DD73" s="183" t="str">
        <f t="shared" si="197"/>
        <v/>
      </c>
      <c r="DE73" s="203" t="str">
        <f t="shared" si="237"/>
        <v>OK</v>
      </c>
      <c r="DF73" s="226" t="s">
        <v>318</v>
      </c>
      <c r="DG73" s="230"/>
      <c r="DH73" s="183" t="str">
        <f t="shared" si="198"/>
        <v/>
      </c>
      <c r="DI73" s="203" t="str">
        <f t="shared" si="265"/>
        <v>OK</v>
      </c>
      <c r="DJ73" s="226" t="s">
        <v>318</v>
      </c>
      <c r="DK73" s="230"/>
      <c r="DL73" s="183" t="str">
        <f t="shared" si="199"/>
        <v/>
      </c>
      <c r="DM73" s="203" t="str">
        <f t="shared" si="238"/>
        <v>OK</v>
      </c>
      <c r="DN73" s="226" t="s">
        <v>318</v>
      </c>
      <c r="DO73" s="230"/>
      <c r="DP73" s="183" t="str">
        <f t="shared" si="200"/>
        <v/>
      </c>
      <c r="DQ73" s="203" t="str">
        <f t="shared" si="239"/>
        <v>OK</v>
      </c>
      <c r="DR73" s="226" t="s">
        <v>318</v>
      </c>
      <c r="DS73" s="230"/>
      <c r="DT73" s="183" t="str">
        <f t="shared" si="201"/>
        <v/>
      </c>
      <c r="DU73" s="203" t="str">
        <f t="shared" si="266"/>
        <v>OK</v>
      </c>
      <c r="DV73" s="226" t="s">
        <v>318</v>
      </c>
      <c r="DW73" s="230"/>
      <c r="DX73" s="183" t="str">
        <f t="shared" si="202"/>
        <v/>
      </c>
      <c r="DY73" s="203" t="str">
        <f t="shared" si="240"/>
        <v>OK</v>
      </c>
      <c r="DZ73" s="226" t="s">
        <v>318</v>
      </c>
      <c r="EA73" s="230"/>
      <c r="EB73" s="183" t="str">
        <f t="shared" si="203"/>
        <v/>
      </c>
      <c r="EC73" s="203" t="str">
        <f t="shared" si="241"/>
        <v>OK</v>
      </c>
      <c r="ED73" s="226" t="s">
        <v>318</v>
      </c>
      <c r="EE73" s="230"/>
      <c r="EF73" s="183" t="str">
        <f t="shared" si="204"/>
        <v/>
      </c>
      <c r="EG73" s="203" t="str">
        <f t="shared" si="267"/>
        <v>OK</v>
      </c>
      <c r="EH73" s="226" t="s">
        <v>318</v>
      </c>
      <c r="EI73" s="230"/>
      <c r="EJ73" s="183" t="str">
        <f t="shared" si="205"/>
        <v/>
      </c>
      <c r="EK73" s="203" t="str">
        <f t="shared" si="242"/>
        <v>OK</v>
      </c>
      <c r="EL73" s="226" t="s">
        <v>318</v>
      </c>
      <c r="EM73" s="230"/>
      <c r="EN73" s="183" t="str">
        <f t="shared" si="206"/>
        <v/>
      </c>
      <c r="EO73" s="203" t="str">
        <f t="shared" si="243"/>
        <v>OK</v>
      </c>
      <c r="EP73" s="226" t="s">
        <v>318</v>
      </c>
      <c r="EQ73" s="230"/>
      <c r="ER73" s="183" t="str">
        <f t="shared" si="207"/>
        <v/>
      </c>
      <c r="ES73" s="203" t="str">
        <f t="shared" si="268"/>
        <v>OK</v>
      </c>
      <c r="ET73" s="226" t="s">
        <v>318</v>
      </c>
      <c r="EU73" s="230"/>
      <c r="EV73" s="183" t="str">
        <f t="shared" si="208"/>
        <v/>
      </c>
      <c r="EW73" s="203" t="str">
        <f t="shared" si="244"/>
        <v>OK</v>
      </c>
      <c r="EX73" s="226" t="s">
        <v>318</v>
      </c>
      <c r="EY73" s="230"/>
      <c r="EZ73" s="183" t="str">
        <f t="shared" si="209"/>
        <v/>
      </c>
      <c r="FA73" s="203" t="str">
        <f t="shared" si="245"/>
        <v>OK</v>
      </c>
      <c r="FB73" s="226" t="s">
        <v>318</v>
      </c>
      <c r="FC73" s="230"/>
      <c r="FD73" s="183" t="str">
        <f t="shared" si="210"/>
        <v/>
      </c>
      <c r="FE73" s="203" t="str">
        <f t="shared" si="269"/>
        <v>OK</v>
      </c>
      <c r="FF73" s="226" t="s">
        <v>318</v>
      </c>
      <c r="FG73" s="230"/>
      <c r="FH73" s="183" t="str">
        <f t="shared" si="211"/>
        <v/>
      </c>
      <c r="FI73" s="203" t="str">
        <f t="shared" si="246"/>
        <v>OK</v>
      </c>
      <c r="FJ73" s="226" t="s">
        <v>318</v>
      </c>
      <c r="FK73" s="230"/>
      <c r="FL73" s="183" t="str">
        <f t="shared" si="212"/>
        <v/>
      </c>
      <c r="FM73" s="203" t="str">
        <f t="shared" si="247"/>
        <v>OK</v>
      </c>
      <c r="FN73" s="226" t="s">
        <v>318</v>
      </c>
      <c r="FO73" s="230"/>
      <c r="FP73" s="183" t="str">
        <f t="shared" si="213"/>
        <v/>
      </c>
      <c r="FQ73" s="203" t="str">
        <f t="shared" si="270"/>
        <v>OK</v>
      </c>
      <c r="FR73" s="226" t="s">
        <v>318</v>
      </c>
      <c r="FS73" s="230"/>
      <c r="FT73" s="183" t="str">
        <f t="shared" si="214"/>
        <v/>
      </c>
      <c r="FU73" s="203" t="str">
        <f t="shared" si="248"/>
        <v>OK</v>
      </c>
      <c r="FV73" s="226" t="s">
        <v>318</v>
      </c>
      <c r="FW73" s="230"/>
      <c r="FX73" s="183" t="str">
        <f t="shared" si="215"/>
        <v/>
      </c>
      <c r="FY73" s="203" t="str">
        <f t="shared" si="249"/>
        <v>OK</v>
      </c>
      <c r="FZ73" s="226" t="s">
        <v>318</v>
      </c>
      <c r="GA73" s="230"/>
      <c r="GB73" s="183" t="str">
        <f t="shared" si="216"/>
        <v/>
      </c>
      <c r="GC73" s="203" t="str">
        <f t="shared" si="271"/>
        <v>OK</v>
      </c>
      <c r="GD73" s="226" t="s">
        <v>318</v>
      </c>
      <c r="GE73" s="230"/>
      <c r="GF73" s="183" t="str">
        <f t="shared" si="217"/>
        <v/>
      </c>
      <c r="GG73" s="203" t="str">
        <f t="shared" si="272"/>
        <v>OK</v>
      </c>
      <c r="GH73" s="226" t="s">
        <v>318</v>
      </c>
      <c r="GI73" s="230"/>
      <c r="GJ73" s="183" t="str">
        <f t="shared" si="218"/>
        <v/>
      </c>
      <c r="GK73" s="203" t="str">
        <f t="shared" si="273"/>
        <v>OK</v>
      </c>
      <c r="GL73" s="226" t="s">
        <v>318</v>
      </c>
      <c r="GM73" s="230"/>
      <c r="GN73" s="183" t="str">
        <f t="shared" si="219"/>
        <v/>
      </c>
      <c r="GO73" s="203" t="str">
        <f t="shared" si="274"/>
        <v>OK</v>
      </c>
      <c r="GP73" s="226" t="s">
        <v>318</v>
      </c>
      <c r="GQ73" s="230"/>
      <c r="GR73" s="183" t="str">
        <f t="shared" si="220"/>
        <v/>
      </c>
      <c r="GS73" s="203" t="str">
        <f t="shared" si="250"/>
        <v>OK</v>
      </c>
      <c r="GT73" s="202"/>
      <c r="GU73" s="202"/>
      <c r="GV73" s="201"/>
      <c r="GW73" s="201"/>
      <c r="GX73" s="201"/>
    </row>
    <row r="74" spans="1:206">
      <c r="A74" s="200" t="s">
        <v>59</v>
      </c>
      <c r="B74" s="225">
        <f t="shared" si="221"/>
        <v>67</v>
      </c>
      <c r="C74" s="229"/>
      <c r="D74" s="229"/>
      <c r="E74" s="234" t="s">
        <v>317</v>
      </c>
      <c r="F74" s="233"/>
      <c r="G74" s="233"/>
      <c r="H74" s="232"/>
      <c r="I74" s="209"/>
      <c r="J74" s="217" t="s">
        <v>59</v>
      </c>
      <c r="K74" s="219"/>
      <c r="L74" s="219"/>
      <c r="M74" s="218"/>
      <c r="N74" s="217"/>
      <c r="O74" s="216"/>
      <c r="P74" s="212"/>
      <c r="Q74" s="212"/>
      <c r="R74" s="215"/>
      <c r="S74" s="214"/>
      <c r="T74" s="212"/>
      <c r="U74" s="213"/>
      <c r="V74" s="212"/>
      <c r="W74" s="211" t="str">
        <f t="shared" si="222"/>
        <v>2</v>
      </c>
      <c r="X74" s="210" t="s">
        <v>316</v>
      </c>
      <c r="Y74" s="210"/>
      <c r="Z74" s="210"/>
      <c r="AA74" s="209"/>
      <c r="AB74" s="209" t="s">
        <v>306</v>
      </c>
      <c r="AC74" s="207"/>
      <c r="AD74" s="206"/>
      <c r="AE74" s="230"/>
      <c r="AF74" s="183" t="str">
        <f t="shared" si="178"/>
        <v/>
      </c>
      <c r="AG74" s="203" t="str">
        <f t="shared" si="251"/>
        <v>OK</v>
      </c>
      <c r="AH74" s="206"/>
      <c r="AI74" s="230"/>
      <c r="AJ74" s="183" t="str">
        <f t="shared" si="179"/>
        <v/>
      </c>
      <c r="AK74" s="203" t="str">
        <f t="shared" si="252"/>
        <v>OK</v>
      </c>
      <c r="AL74" s="206"/>
      <c r="AM74" s="230"/>
      <c r="AN74" s="183" t="str">
        <f t="shared" si="180"/>
        <v/>
      </c>
      <c r="AO74" s="203" t="str">
        <f t="shared" si="253"/>
        <v>OK</v>
      </c>
      <c r="AP74" s="206"/>
      <c r="AQ74" s="230"/>
      <c r="AR74" s="183" t="str">
        <f t="shared" si="181"/>
        <v/>
      </c>
      <c r="AS74" s="203" t="str">
        <f t="shared" si="254"/>
        <v>OK</v>
      </c>
      <c r="AT74" s="206"/>
      <c r="AU74" s="230"/>
      <c r="AV74" s="183" t="str">
        <f t="shared" si="182"/>
        <v/>
      </c>
      <c r="AW74" s="203" t="str">
        <f t="shared" si="255"/>
        <v>OK</v>
      </c>
      <c r="AX74" s="206"/>
      <c r="AY74" s="230"/>
      <c r="AZ74" s="183" t="str">
        <f t="shared" si="183"/>
        <v/>
      </c>
      <c r="BA74" s="203" t="str">
        <f t="shared" si="256"/>
        <v>OK</v>
      </c>
      <c r="BB74" s="206"/>
      <c r="BC74" s="230"/>
      <c r="BD74" s="183" t="str">
        <f t="shared" si="184"/>
        <v/>
      </c>
      <c r="BE74" s="203" t="str">
        <f t="shared" si="257"/>
        <v>OK</v>
      </c>
      <c r="BF74" s="206"/>
      <c r="BG74" s="230"/>
      <c r="BH74" s="183" t="str">
        <f t="shared" si="185"/>
        <v/>
      </c>
      <c r="BI74" s="203" t="str">
        <f t="shared" si="258"/>
        <v>OK</v>
      </c>
      <c r="BJ74" s="206"/>
      <c r="BK74" s="230"/>
      <c r="BL74" s="183" t="str">
        <f t="shared" si="186"/>
        <v/>
      </c>
      <c r="BM74" s="203" t="str">
        <f t="shared" si="259"/>
        <v>OK</v>
      </c>
      <c r="BN74" s="206"/>
      <c r="BO74" s="230"/>
      <c r="BP74" s="183" t="str">
        <f t="shared" si="187"/>
        <v/>
      </c>
      <c r="BQ74" s="203" t="str">
        <f t="shared" si="260"/>
        <v>OK</v>
      </c>
      <c r="BR74" s="206"/>
      <c r="BS74" s="230"/>
      <c r="BT74" s="183" t="str">
        <f t="shared" si="188"/>
        <v/>
      </c>
      <c r="BU74" s="203" t="str">
        <f t="shared" si="261"/>
        <v>OK</v>
      </c>
      <c r="BV74" s="206"/>
      <c r="BW74" s="230"/>
      <c r="BX74" s="183" t="str">
        <f t="shared" si="189"/>
        <v/>
      </c>
      <c r="BY74" s="203" t="str">
        <f t="shared" si="262"/>
        <v>OK</v>
      </c>
      <c r="BZ74" s="206"/>
      <c r="CA74" s="230"/>
      <c r="CB74" s="183" t="str">
        <f t="shared" si="190"/>
        <v/>
      </c>
      <c r="CC74" s="203" t="str">
        <f t="shared" si="232"/>
        <v>OK</v>
      </c>
      <c r="CD74" s="206"/>
      <c r="CE74" s="230"/>
      <c r="CF74" s="183" t="str">
        <f t="shared" si="191"/>
        <v/>
      </c>
      <c r="CG74" s="203" t="str">
        <f t="shared" si="233"/>
        <v>OK</v>
      </c>
      <c r="CH74" s="206"/>
      <c r="CI74" s="230"/>
      <c r="CJ74" s="183" t="str">
        <f t="shared" si="192"/>
        <v/>
      </c>
      <c r="CK74" s="203" t="str">
        <f t="shared" si="263"/>
        <v>OK</v>
      </c>
      <c r="CL74" s="206"/>
      <c r="CM74" s="230"/>
      <c r="CN74" s="183" t="str">
        <f t="shared" si="193"/>
        <v/>
      </c>
      <c r="CO74" s="203" t="str">
        <f t="shared" si="234"/>
        <v>OK</v>
      </c>
      <c r="CP74" s="206"/>
      <c r="CQ74" s="230"/>
      <c r="CR74" s="183" t="str">
        <f t="shared" si="194"/>
        <v/>
      </c>
      <c r="CS74" s="203" t="str">
        <f t="shared" si="235"/>
        <v>OK</v>
      </c>
      <c r="CT74" s="206"/>
      <c r="CU74" s="230"/>
      <c r="CV74" s="183" t="str">
        <f t="shared" si="195"/>
        <v/>
      </c>
      <c r="CW74" s="203" t="str">
        <f t="shared" si="264"/>
        <v>OK</v>
      </c>
      <c r="CX74" s="206"/>
      <c r="CY74" s="230"/>
      <c r="CZ74" s="183" t="str">
        <f t="shared" si="196"/>
        <v/>
      </c>
      <c r="DA74" s="203" t="str">
        <f t="shared" si="236"/>
        <v>OK</v>
      </c>
      <c r="DB74" s="206"/>
      <c r="DC74" s="230"/>
      <c r="DD74" s="183" t="str">
        <f t="shared" si="197"/>
        <v/>
      </c>
      <c r="DE74" s="203" t="str">
        <f t="shared" si="237"/>
        <v>OK</v>
      </c>
      <c r="DF74" s="206"/>
      <c r="DG74" s="230"/>
      <c r="DH74" s="183" t="str">
        <f t="shared" si="198"/>
        <v/>
      </c>
      <c r="DI74" s="203" t="str">
        <f t="shared" si="265"/>
        <v>OK</v>
      </c>
      <c r="DJ74" s="206"/>
      <c r="DK74" s="230"/>
      <c r="DL74" s="183" t="str">
        <f t="shared" si="199"/>
        <v/>
      </c>
      <c r="DM74" s="203" t="str">
        <f t="shared" si="238"/>
        <v>OK</v>
      </c>
      <c r="DN74" s="206"/>
      <c r="DO74" s="230"/>
      <c r="DP74" s="183" t="str">
        <f t="shared" si="200"/>
        <v/>
      </c>
      <c r="DQ74" s="203" t="str">
        <f t="shared" si="239"/>
        <v>OK</v>
      </c>
      <c r="DR74" s="206"/>
      <c r="DS74" s="230"/>
      <c r="DT74" s="183" t="str">
        <f t="shared" si="201"/>
        <v/>
      </c>
      <c r="DU74" s="203" t="str">
        <f t="shared" si="266"/>
        <v>OK</v>
      </c>
      <c r="DV74" s="206"/>
      <c r="DW74" s="230"/>
      <c r="DX74" s="183" t="str">
        <f t="shared" si="202"/>
        <v/>
      </c>
      <c r="DY74" s="203" t="str">
        <f t="shared" si="240"/>
        <v>OK</v>
      </c>
      <c r="DZ74" s="206"/>
      <c r="EA74" s="230"/>
      <c r="EB74" s="183" t="str">
        <f t="shared" si="203"/>
        <v/>
      </c>
      <c r="EC74" s="203" t="str">
        <f t="shared" si="241"/>
        <v>OK</v>
      </c>
      <c r="ED74" s="206"/>
      <c r="EE74" s="230"/>
      <c r="EF74" s="183" t="str">
        <f t="shared" si="204"/>
        <v/>
      </c>
      <c r="EG74" s="203" t="str">
        <f t="shared" si="267"/>
        <v>OK</v>
      </c>
      <c r="EH74" s="206"/>
      <c r="EI74" s="230"/>
      <c r="EJ74" s="183" t="str">
        <f t="shared" si="205"/>
        <v/>
      </c>
      <c r="EK74" s="203" t="str">
        <f t="shared" si="242"/>
        <v>OK</v>
      </c>
      <c r="EL74" s="206"/>
      <c r="EM74" s="230"/>
      <c r="EN74" s="183" t="str">
        <f t="shared" si="206"/>
        <v/>
      </c>
      <c r="EO74" s="203" t="str">
        <f t="shared" si="243"/>
        <v>OK</v>
      </c>
      <c r="EP74" s="206"/>
      <c r="EQ74" s="230"/>
      <c r="ER74" s="183" t="str">
        <f t="shared" si="207"/>
        <v/>
      </c>
      <c r="ES74" s="203" t="str">
        <f t="shared" si="268"/>
        <v>OK</v>
      </c>
      <c r="ET74" s="206"/>
      <c r="EU74" s="230"/>
      <c r="EV74" s="183" t="str">
        <f t="shared" si="208"/>
        <v/>
      </c>
      <c r="EW74" s="203" t="str">
        <f t="shared" si="244"/>
        <v>OK</v>
      </c>
      <c r="EX74" s="206"/>
      <c r="EY74" s="230"/>
      <c r="EZ74" s="183" t="str">
        <f t="shared" si="209"/>
        <v/>
      </c>
      <c r="FA74" s="203" t="str">
        <f t="shared" si="245"/>
        <v>OK</v>
      </c>
      <c r="FB74" s="206"/>
      <c r="FC74" s="230"/>
      <c r="FD74" s="183" t="str">
        <f t="shared" si="210"/>
        <v/>
      </c>
      <c r="FE74" s="203" t="str">
        <f t="shared" si="269"/>
        <v>OK</v>
      </c>
      <c r="FF74" s="206"/>
      <c r="FG74" s="230"/>
      <c r="FH74" s="183" t="str">
        <f t="shared" si="211"/>
        <v/>
      </c>
      <c r="FI74" s="203" t="str">
        <f t="shared" si="246"/>
        <v>OK</v>
      </c>
      <c r="FJ74" s="206"/>
      <c r="FK74" s="230"/>
      <c r="FL74" s="183" t="str">
        <f t="shared" si="212"/>
        <v/>
      </c>
      <c r="FM74" s="203" t="str">
        <f t="shared" si="247"/>
        <v>OK</v>
      </c>
      <c r="FN74" s="206"/>
      <c r="FO74" s="230"/>
      <c r="FP74" s="183" t="str">
        <f t="shared" si="213"/>
        <v/>
      </c>
      <c r="FQ74" s="203" t="str">
        <f t="shared" si="270"/>
        <v>OK</v>
      </c>
      <c r="FR74" s="206"/>
      <c r="FS74" s="230"/>
      <c r="FT74" s="183" t="str">
        <f t="shared" si="214"/>
        <v/>
      </c>
      <c r="FU74" s="203" t="str">
        <f t="shared" si="248"/>
        <v>OK</v>
      </c>
      <c r="FV74" s="206"/>
      <c r="FW74" s="230"/>
      <c r="FX74" s="183" t="str">
        <f t="shared" si="215"/>
        <v/>
      </c>
      <c r="FY74" s="203" t="str">
        <f t="shared" si="249"/>
        <v>OK</v>
      </c>
      <c r="FZ74" s="206"/>
      <c r="GA74" s="230"/>
      <c r="GB74" s="183" t="str">
        <f t="shared" si="216"/>
        <v/>
      </c>
      <c r="GC74" s="203" t="str">
        <f t="shared" si="271"/>
        <v>OK</v>
      </c>
      <c r="GD74" s="206"/>
      <c r="GE74" s="230"/>
      <c r="GF74" s="183" t="str">
        <f t="shared" si="217"/>
        <v/>
      </c>
      <c r="GG74" s="203" t="str">
        <f t="shared" si="272"/>
        <v>OK</v>
      </c>
      <c r="GH74" s="206"/>
      <c r="GI74" s="230"/>
      <c r="GJ74" s="183" t="str">
        <f t="shared" si="218"/>
        <v/>
      </c>
      <c r="GK74" s="203" t="str">
        <f t="shared" si="273"/>
        <v>OK</v>
      </c>
      <c r="GL74" s="206"/>
      <c r="GM74" s="230"/>
      <c r="GN74" s="183" t="str">
        <f t="shared" si="219"/>
        <v/>
      </c>
      <c r="GO74" s="203" t="str">
        <f t="shared" si="274"/>
        <v>OK</v>
      </c>
      <c r="GP74" s="206"/>
      <c r="GQ74" s="230"/>
      <c r="GR74" s="183" t="str">
        <f t="shared" si="220"/>
        <v/>
      </c>
      <c r="GS74" s="203" t="str">
        <f t="shared" si="250"/>
        <v>OK</v>
      </c>
      <c r="GT74" s="202"/>
      <c r="GU74" s="202"/>
      <c r="GV74" s="201"/>
      <c r="GW74" s="201"/>
      <c r="GX74" s="201"/>
    </row>
    <row r="75" spans="1:206">
      <c r="A75" s="200" t="s">
        <v>59</v>
      </c>
      <c r="B75" s="225">
        <f t="shared" si="221"/>
        <v>68</v>
      </c>
      <c r="C75" s="229"/>
      <c r="D75" s="229"/>
      <c r="E75" s="228"/>
      <c r="F75" s="222" t="s">
        <v>315</v>
      </c>
      <c r="G75" s="221"/>
      <c r="H75" s="220"/>
      <c r="I75" s="209"/>
      <c r="J75" s="217" t="s">
        <v>61</v>
      </c>
      <c r="K75" s="219"/>
      <c r="L75" s="219"/>
      <c r="M75" s="218"/>
      <c r="N75" s="217"/>
      <c r="O75" s="216"/>
      <c r="P75" s="212"/>
      <c r="Q75" s="212"/>
      <c r="R75" s="215"/>
      <c r="S75" s="214"/>
      <c r="T75" s="212"/>
      <c r="U75" s="213"/>
      <c r="V75" s="212"/>
      <c r="W75" s="211" t="str">
        <f t="shared" si="222"/>
        <v>3</v>
      </c>
      <c r="X75" s="210" t="s">
        <v>314</v>
      </c>
      <c r="Y75" s="210">
        <v>8</v>
      </c>
      <c r="Z75" s="210">
        <v>8</v>
      </c>
      <c r="AA75" s="209" t="s">
        <v>54</v>
      </c>
      <c r="AB75" s="209" t="s">
        <v>306</v>
      </c>
      <c r="AC75" s="207"/>
      <c r="AD75" s="206" t="s">
        <v>313</v>
      </c>
      <c r="AE75" s="230"/>
      <c r="AF75" s="183" t="str">
        <f t="shared" si="178"/>
        <v/>
      </c>
      <c r="AG75" s="203" t="str">
        <f t="shared" si="251"/>
        <v>OK</v>
      </c>
      <c r="AH75" s="206" t="s">
        <v>313</v>
      </c>
      <c r="AI75" s="230"/>
      <c r="AJ75" s="183" t="str">
        <f t="shared" si="179"/>
        <v/>
      </c>
      <c r="AK75" s="203" t="str">
        <f t="shared" si="252"/>
        <v>OK</v>
      </c>
      <c r="AL75" s="206" t="s">
        <v>313</v>
      </c>
      <c r="AM75" s="230"/>
      <c r="AN75" s="183" t="str">
        <f t="shared" si="180"/>
        <v/>
      </c>
      <c r="AO75" s="203" t="str">
        <f t="shared" si="253"/>
        <v>OK</v>
      </c>
      <c r="AP75" s="206" t="s">
        <v>313</v>
      </c>
      <c r="AQ75" s="230"/>
      <c r="AR75" s="183" t="str">
        <f t="shared" si="181"/>
        <v/>
      </c>
      <c r="AS75" s="203" t="str">
        <f t="shared" si="254"/>
        <v>OK</v>
      </c>
      <c r="AT75" s="206" t="s">
        <v>313</v>
      </c>
      <c r="AU75" s="230"/>
      <c r="AV75" s="183" t="str">
        <f t="shared" si="182"/>
        <v/>
      </c>
      <c r="AW75" s="203" t="str">
        <f t="shared" si="255"/>
        <v>OK</v>
      </c>
      <c r="AX75" s="206" t="s">
        <v>313</v>
      </c>
      <c r="AY75" s="230"/>
      <c r="AZ75" s="183" t="str">
        <f t="shared" si="183"/>
        <v/>
      </c>
      <c r="BA75" s="203" t="str">
        <f t="shared" si="256"/>
        <v>OK</v>
      </c>
      <c r="BB75" s="206" t="s">
        <v>313</v>
      </c>
      <c r="BC75" s="230"/>
      <c r="BD75" s="183" t="str">
        <f t="shared" si="184"/>
        <v/>
      </c>
      <c r="BE75" s="203" t="str">
        <f t="shared" si="257"/>
        <v>OK</v>
      </c>
      <c r="BF75" s="206" t="s">
        <v>313</v>
      </c>
      <c r="BG75" s="230"/>
      <c r="BH75" s="183" t="str">
        <f t="shared" si="185"/>
        <v/>
      </c>
      <c r="BI75" s="203" t="str">
        <f t="shared" si="258"/>
        <v>OK</v>
      </c>
      <c r="BJ75" s="206" t="s">
        <v>313</v>
      </c>
      <c r="BK75" s="230"/>
      <c r="BL75" s="183" t="str">
        <f t="shared" si="186"/>
        <v/>
      </c>
      <c r="BM75" s="203" t="str">
        <f t="shared" si="259"/>
        <v>OK</v>
      </c>
      <c r="BN75" s="206" t="s">
        <v>313</v>
      </c>
      <c r="BO75" s="230"/>
      <c r="BP75" s="183" t="str">
        <f t="shared" si="187"/>
        <v/>
      </c>
      <c r="BQ75" s="203" t="str">
        <f t="shared" si="260"/>
        <v>OK</v>
      </c>
      <c r="BR75" s="206" t="s">
        <v>313</v>
      </c>
      <c r="BS75" s="230"/>
      <c r="BT75" s="183" t="str">
        <f t="shared" si="188"/>
        <v/>
      </c>
      <c r="BU75" s="203" t="str">
        <f t="shared" si="261"/>
        <v>OK</v>
      </c>
      <c r="BV75" s="206" t="s">
        <v>313</v>
      </c>
      <c r="BW75" s="230"/>
      <c r="BX75" s="183" t="str">
        <f t="shared" si="189"/>
        <v/>
      </c>
      <c r="BY75" s="203" t="str">
        <f t="shared" si="262"/>
        <v>OK</v>
      </c>
      <c r="BZ75" s="206" t="s">
        <v>313</v>
      </c>
      <c r="CA75" s="230"/>
      <c r="CB75" s="183" t="str">
        <f t="shared" si="190"/>
        <v/>
      </c>
      <c r="CC75" s="203" t="str">
        <f t="shared" si="232"/>
        <v>OK</v>
      </c>
      <c r="CD75" s="206" t="s">
        <v>313</v>
      </c>
      <c r="CE75" s="230"/>
      <c r="CF75" s="183" t="str">
        <f t="shared" si="191"/>
        <v/>
      </c>
      <c r="CG75" s="203" t="str">
        <f t="shared" si="233"/>
        <v>OK</v>
      </c>
      <c r="CH75" s="206" t="s">
        <v>313</v>
      </c>
      <c r="CI75" s="230"/>
      <c r="CJ75" s="183" t="str">
        <f t="shared" si="192"/>
        <v/>
      </c>
      <c r="CK75" s="203" t="str">
        <f t="shared" si="263"/>
        <v>OK</v>
      </c>
      <c r="CL75" s="206" t="s">
        <v>313</v>
      </c>
      <c r="CM75" s="230"/>
      <c r="CN75" s="183" t="str">
        <f t="shared" si="193"/>
        <v/>
      </c>
      <c r="CO75" s="203" t="str">
        <f t="shared" si="234"/>
        <v>OK</v>
      </c>
      <c r="CP75" s="206" t="s">
        <v>313</v>
      </c>
      <c r="CQ75" s="230"/>
      <c r="CR75" s="183" t="str">
        <f t="shared" si="194"/>
        <v/>
      </c>
      <c r="CS75" s="203" t="str">
        <f t="shared" si="235"/>
        <v>OK</v>
      </c>
      <c r="CT75" s="206" t="s">
        <v>313</v>
      </c>
      <c r="CU75" s="230"/>
      <c r="CV75" s="183" t="str">
        <f t="shared" si="195"/>
        <v/>
      </c>
      <c r="CW75" s="203" t="str">
        <f t="shared" si="264"/>
        <v>OK</v>
      </c>
      <c r="CX75" s="206" t="s">
        <v>313</v>
      </c>
      <c r="CY75" s="230"/>
      <c r="CZ75" s="183" t="str">
        <f t="shared" si="196"/>
        <v/>
      </c>
      <c r="DA75" s="203" t="str">
        <f t="shared" si="236"/>
        <v>OK</v>
      </c>
      <c r="DB75" s="206" t="s">
        <v>313</v>
      </c>
      <c r="DC75" s="230"/>
      <c r="DD75" s="183" t="str">
        <f t="shared" si="197"/>
        <v/>
      </c>
      <c r="DE75" s="203" t="str">
        <f t="shared" si="237"/>
        <v>OK</v>
      </c>
      <c r="DF75" s="206" t="s">
        <v>313</v>
      </c>
      <c r="DG75" s="230"/>
      <c r="DH75" s="183" t="str">
        <f t="shared" si="198"/>
        <v/>
      </c>
      <c r="DI75" s="203" t="str">
        <f t="shared" si="265"/>
        <v>OK</v>
      </c>
      <c r="DJ75" s="206" t="s">
        <v>313</v>
      </c>
      <c r="DK75" s="230"/>
      <c r="DL75" s="183" t="str">
        <f t="shared" si="199"/>
        <v/>
      </c>
      <c r="DM75" s="203" t="str">
        <f t="shared" si="238"/>
        <v>OK</v>
      </c>
      <c r="DN75" s="206" t="s">
        <v>313</v>
      </c>
      <c r="DO75" s="230"/>
      <c r="DP75" s="183" t="str">
        <f t="shared" si="200"/>
        <v/>
      </c>
      <c r="DQ75" s="203" t="str">
        <f t="shared" si="239"/>
        <v>OK</v>
      </c>
      <c r="DR75" s="206" t="s">
        <v>313</v>
      </c>
      <c r="DS75" s="230"/>
      <c r="DT75" s="183" t="str">
        <f t="shared" si="201"/>
        <v/>
      </c>
      <c r="DU75" s="203" t="str">
        <f t="shared" si="266"/>
        <v>OK</v>
      </c>
      <c r="DV75" s="206" t="s">
        <v>313</v>
      </c>
      <c r="DW75" s="230"/>
      <c r="DX75" s="183" t="str">
        <f t="shared" si="202"/>
        <v/>
      </c>
      <c r="DY75" s="203" t="str">
        <f t="shared" si="240"/>
        <v>OK</v>
      </c>
      <c r="DZ75" s="206" t="s">
        <v>313</v>
      </c>
      <c r="EA75" s="230"/>
      <c r="EB75" s="183" t="str">
        <f t="shared" si="203"/>
        <v/>
      </c>
      <c r="EC75" s="203" t="str">
        <f t="shared" si="241"/>
        <v>OK</v>
      </c>
      <c r="ED75" s="206" t="s">
        <v>313</v>
      </c>
      <c r="EE75" s="230"/>
      <c r="EF75" s="183" t="str">
        <f t="shared" si="204"/>
        <v/>
      </c>
      <c r="EG75" s="203" t="str">
        <f t="shared" si="267"/>
        <v>OK</v>
      </c>
      <c r="EH75" s="206" t="s">
        <v>313</v>
      </c>
      <c r="EI75" s="230"/>
      <c r="EJ75" s="183" t="str">
        <f t="shared" si="205"/>
        <v/>
      </c>
      <c r="EK75" s="203" t="str">
        <f t="shared" si="242"/>
        <v>OK</v>
      </c>
      <c r="EL75" s="206" t="s">
        <v>313</v>
      </c>
      <c r="EM75" s="230"/>
      <c r="EN75" s="183" t="str">
        <f t="shared" si="206"/>
        <v/>
      </c>
      <c r="EO75" s="203" t="str">
        <f t="shared" si="243"/>
        <v>OK</v>
      </c>
      <c r="EP75" s="206" t="s">
        <v>313</v>
      </c>
      <c r="EQ75" s="230"/>
      <c r="ER75" s="183" t="str">
        <f t="shared" si="207"/>
        <v/>
      </c>
      <c r="ES75" s="203" t="str">
        <f t="shared" si="268"/>
        <v>OK</v>
      </c>
      <c r="ET75" s="206" t="s">
        <v>313</v>
      </c>
      <c r="EU75" s="230"/>
      <c r="EV75" s="183" t="str">
        <f t="shared" si="208"/>
        <v/>
      </c>
      <c r="EW75" s="203" t="str">
        <f t="shared" si="244"/>
        <v>OK</v>
      </c>
      <c r="EX75" s="206" t="s">
        <v>313</v>
      </c>
      <c r="EY75" s="230"/>
      <c r="EZ75" s="183" t="str">
        <f t="shared" si="209"/>
        <v/>
      </c>
      <c r="FA75" s="203" t="str">
        <f t="shared" si="245"/>
        <v>OK</v>
      </c>
      <c r="FB75" s="206" t="s">
        <v>313</v>
      </c>
      <c r="FC75" s="230"/>
      <c r="FD75" s="183" t="str">
        <f t="shared" si="210"/>
        <v/>
      </c>
      <c r="FE75" s="203" t="str">
        <f t="shared" si="269"/>
        <v>OK</v>
      </c>
      <c r="FF75" s="206" t="s">
        <v>313</v>
      </c>
      <c r="FG75" s="230"/>
      <c r="FH75" s="183" t="str">
        <f t="shared" si="211"/>
        <v/>
      </c>
      <c r="FI75" s="203" t="str">
        <f t="shared" si="246"/>
        <v>OK</v>
      </c>
      <c r="FJ75" s="206" t="s">
        <v>313</v>
      </c>
      <c r="FK75" s="230"/>
      <c r="FL75" s="183" t="str">
        <f t="shared" si="212"/>
        <v/>
      </c>
      <c r="FM75" s="203" t="str">
        <f t="shared" si="247"/>
        <v>OK</v>
      </c>
      <c r="FN75" s="206" t="s">
        <v>313</v>
      </c>
      <c r="FO75" s="230"/>
      <c r="FP75" s="183" t="str">
        <f t="shared" si="213"/>
        <v/>
      </c>
      <c r="FQ75" s="203" t="str">
        <f t="shared" si="270"/>
        <v>OK</v>
      </c>
      <c r="FR75" s="206" t="s">
        <v>313</v>
      </c>
      <c r="FS75" s="230"/>
      <c r="FT75" s="183" t="str">
        <f t="shared" si="214"/>
        <v/>
      </c>
      <c r="FU75" s="203" t="str">
        <f t="shared" si="248"/>
        <v>OK</v>
      </c>
      <c r="FV75" s="206" t="s">
        <v>313</v>
      </c>
      <c r="FW75" s="230"/>
      <c r="FX75" s="183" t="str">
        <f t="shared" si="215"/>
        <v/>
      </c>
      <c r="FY75" s="203" t="str">
        <f t="shared" si="249"/>
        <v>OK</v>
      </c>
      <c r="FZ75" s="206" t="s">
        <v>313</v>
      </c>
      <c r="GA75" s="230"/>
      <c r="GB75" s="183" t="str">
        <f t="shared" si="216"/>
        <v/>
      </c>
      <c r="GC75" s="203" t="str">
        <f t="shared" si="271"/>
        <v>OK</v>
      </c>
      <c r="GD75" s="206" t="s">
        <v>313</v>
      </c>
      <c r="GE75" s="230"/>
      <c r="GF75" s="183" t="str">
        <f t="shared" si="217"/>
        <v/>
      </c>
      <c r="GG75" s="203" t="str">
        <f t="shared" si="272"/>
        <v>OK</v>
      </c>
      <c r="GH75" s="206" t="s">
        <v>313</v>
      </c>
      <c r="GI75" s="230"/>
      <c r="GJ75" s="183" t="str">
        <f t="shared" si="218"/>
        <v/>
      </c>
      <c r="GK75" s="203" t="str">
        <f t="shared" si="273"/>
        <v>OK</v>
      </c>
      <c r="GL75" s="206" t="s">
        <v>313</v>
      </c>
      <c r="GM75" s="230"/>
      <c r="GN75" s="183" t="str">
        <f t="shared" si="219"/>
        <v/>
      </c>
      <c r="GO75" s="203" t="str">
        <f t="shared" si="274"/>
        <v>OK</v>
      </c>
      <c r="GP75" s="206" t="s">
        <v>313</v>
      </c>
      <c r="GQ75" s="230"/>
      <c r="GR75" s="183" t="str">
        <f t="shared" si="220"/>
        <v/>
      </c>
      <c r="GS75" s="203" t="str">
        <f t="shared" si="250"/>
        <v>OK</v>
      </c>
      <c r="GT75" s="202"/>
      <c r="GU75" s="202"/>
      <c r="GV75" s="201"/>
      <c r="GW75" s="201"/>
      <c r="GX75" s="201"/>
    </row>
    <row r="76" spans="1:206">
      <c r="A76" s="200" t="s">
        <v>59</v>
      </c>
      <c r="B76" s="225">
        <f t="shared" si="221"/>
        <v>69</v>
      </c>
      <c r="C76" s="229"/>
      <c r="D76" s="229"/>
      <c r="E76" s="228"/>
      <c r="F76" s="222" t="s">
        <v>312</v>
      </c>
      <c r="G76" s="221"/>
      <c r="H76" s="220"/>
      <c r="I76" s="209"/>
      <c r="J76" s="217" t="s">
        <v>61</v>
      </c>
      <c r="K76" s="219"/>
      <c r="L76" s="219"/>
      <c r="M76" s="218"/>
      <c r="N76" s="217"/>
      <c r="O76" s="216"/>
      <c r="P76" s="212"/>
      <c r="Q76" s="212"/>
      <c r="R76" s="215"/>
      <c r="S76" s="214"/>
      <c r="T76" s="212"/>
      <c r="U76" s="213"/>
      <c r="V76" s="212"/>
      <c r="W76" s="211" t="str">
        <f t="shared" si="222"/>
        <v>3</v>
      </c>
      <c r="X76" s="210" t="s">
        <v>311</v>
      </c>
      <c r="Y76" s="210">
        <v>10</v>
      </c>
      <c r="Z76" s="210">
        <v>10</v>
      </c>
      <c r="AA76" s="209" t="s">
        <v>54</v>
      </c>
      <c r="AB76" s="209" t="s">
        <v>306</v>
      </c>
      <c r="AC76" s="207"/>
      <c r="AD76" s="231"/>
      <c r="AE76" s="230"/>
      <c r="AF76" s="183" t="str">
        <f t="shared" si="178"/>
        <v/>
      </c>
      <c r="AG76" s="203" t="str">
        <f t="shared" si="251"/>
        <v>OK</v>
      </c>
      <c r="AH76" s="231"/>
      <c r="AI76" s="230"/>
      <c r="AJ76" s="183" t="str">
        <f t="shared" si="179"/>
        <v/>
      </c>
      <c r="AK76" s="203" t="str">
        <f t="shared" si="252"/>
        <v>OK</v>
      </c>
      <c r="AL76" s="231"/>
      <c r="AM76" s="230"/>
      <c r="AN76" s="183" t="str">
        <f t="shared" si="180"/>
        <v/>
      </c>
      <c r="AO76" s="203" t="str">
        <f t="shared" si="253"/>
        <v>OK</v>
      </c>
      <c r="AP76" s="231"/>
      <c r="AQ76" s="230"/>
      <c r="AR76" s="183" t="str">
        <f t="shared" si="181"/>
        <v/>
      </c>
      <c r="AS76" s="203" t="str">
        <f t="shared" si="254"/>
        <v>OK</v>
      </c>
      <c r="AT76" s="231"/>
      <c r="AU76" s="230"/>
      <c r="AV76" s="183" t="str">
        <f t="shared" si="182"/>
        <v/>
      </c>
      <c r="AW76" s="203" t="str">
        <f t="shared" si="255"/>
        <v>OK</v>
      </c>
      <c r="AX76" s="231"/>
      <c r="AY76" s="230"/>
      <c r="AZ76" s="183" t="str">
        <f t="shared" si="183"/>
        <v/>
      </c>
      <c r="BA76" s="203" t="str">
        <f t="shared" si="256"/>
        <v>OK</v>
      </c>
      <c r="BB76" s="231"/>
      <c r="BC76" s="230"/>
      <c r="BD76" s="183" t="str">
        <f t="shared" si="184"/>
        <v/>
      </c>
      <c r="BE76" s="203" t="str">
        <f t="shared" si="257"/>
        <v>OK</v>
      </c>
      <c r="BF76" s="231"/>
      <c r="BG76" s="230"/>
      <c r="BH76" s="183" t="str">
        <f t="shared" si="185"/>
        <v/>
      </c>
      <c r="BI76" s="203" t="str">
        <f t="shared" si="258"/>
        <v>OK</v>
      </c>
      <c r="BJ76" s="231"/>
      <c r="BK76" s="230"/>
      <c r="BL76" s="183" t="str">
        <f t="shared" si="186"/>
        <v/>
      </c>
      <c r="BM76" s="203" t="str">
        <f t="shared" si="259"/>
        <v>OK</v>
      </c>
      <c r="BN76" s="231"/>
      <c r="BO76" s="230"/>
      <c r="BP76" s="183" t="str">
        <f t="shared" si="187"/>
        <v/>
      </c>
      <c r="BQ76" s="203" t="str">
        <f t="shared" si="260"/>
        <v>OK</v>
      </c>
      <c r="BR76" s="231"/>
      <c r="BS76" s="230"/>
      <c r="BT76" s="183" t="str">
        <f t="shared" si="188"/>
        <v/>
      </c>
      <c r="BU76" s="203" t="str">
        <f t="shared" si="261"/>
        <v>OK</v>
      </c>
      <c r="BV76" s="231"/>
      <c r="BW76" s="230"/>
      <c r="BX76" s="183" t="str">
        <f t="shared" si="189"/>
        <v/>
      </c>
      <c r="BY76" s="203" t="str">
        <f t="shared" si="262"/>
        <v>OK</v>
      </c>
      <c r="BZ76" s="231"/>
      <c r="CA76" s="230"/>
      <c r="CB76" s="183" t="str">
        <f t="shared" si="190"/>
        <v/>
      </c>
      <c r="CC76" s="203" t="str">
        <f t="shared" si="232"/>
        <v>OK</v>
      </c>
      <c r="CD76" s="231"/>
      <c r="CE76" s="230"/>
      <c r="CF76" s="183" t="str">
        <f t="shared" si="191"/>
        <v/>
      </c>
      <c r="CG76" s="203" t="str">
        <f t="shared" si="233"/>
        <v>OK</v>
      </c>
      <c r="CH76" s="231"/>
      <c r="CI76" s="230"/>
      <c r="CJ76" s="183" t="str">
        <f t="shared" si="192"/>
        <v/>
      </c>
      <c r="CK76" s="203" t="str">
        <f t="shared" si="263"/>
        <v>OK</v>
      </c>
      <c r="CL76" s="231"/>
      <c r="CM76" s="230"/>
      <c r="CN76" s="183" t="str">
        <f t="shared" si="193"/>
        <v/>
      </c>
      <c r="CO76" s="203" t="str">
        <f t="shared" si="234"/>
        <v>OK</v>
      </c>
      <c r="CP76" s="231"/>
      <c r="CQ76" s="230"/>
      <c r="CR76" s="183" t="str">
        <f t="shared" si="194"/>
        <v/>
      </c>
      <c r="CS76" s="203" t="str">
        <f t="shared" si="235"/>
        <v>OK</v>
      </c>
      <c r="CT76" s="231"/>
      <c r="CU76" s="230"/>
      <c r="CV76" s="183" t="str">
        <f t="shared" si="195"/>
        <v/>
      </c>
      <c r="CW76" s="203" t="str">
        <f t="shared" si="264"/>
        <v>OK</v>
      </c>
      <c r="CX76" s="231"/>
      <c r="CY76" s="230"/>
      <c r="CZ76" s="183" t="str">
        <f t="shared" si="196"/>
        <v/>
      </c>
      <c r="DA76" s="203" t="str">
        <f t="shared" si="236"/>
        <v>OK</v>
      </c>
      <c r="DB76" s="231"/>
      <c r="DC76" s="230"/>
      <c r="DD76" s="183" t="str">
        <f t="shared" si="197"/>
        <v/>
      </c>
      <c r="DE76" s="203" t="str">
        <f t="shared" si="237"/>
        <v>OK</v>
      </c>
      <c r="DF76" s="231"/>
      <c r="DG76" s="230"/>
      <c r="DH76" s="183" t="str">
        <f t="shared" si="198"/>
        <v/>
      </c>
      <c r="DI76" s="203" t="str">
        <f t="shared" si="265"/>
        <v>OK</v>
      </c>
      <c r="DJ76" s="231"/>
      <c r="DK76" s="230"/>
      <c r="DL76" s="183" t="str">
        <f t="shared" si="199"/>
        <v/>
      </c>
      <c r="DM76" s="203" t="str">
        <f t="shared" si="238"/>
        <v>OK</v>
      </c>
      <c r="DN76" s="231"/>
      <c r="DO76" s="230"/>
      <c r="DP76" s="183" t="str">
        <f t="shared" si="200"/>
        <v/>
      </c>
      <c r="DQ76" s="203" t="str">
        <f t="shared" si="239"/>
        <v>OK</v>
      </c>
      <c r="DR76" s="231"/>
      <c r="DS76" s="230"/>
      <c r="DT76" s="183" t="str">
        <f t="shared" si="201"/>
        <v/>
      </c>
      <c r="DU76" s="203" t="str">
        <f t="shared" si="266"/>
        <v>OK</v>
      </c>
      <c r="DV76" s="231"/>
      <c r="DW76" s="230"/>
      <c r="DX76" s="183" t="str">
        <f t="shared" si="202"/>
        <v/>
      </c>
      <c r="DY76" s="203" t="str">
        <f t="shared" si="240"/>
        <v>OK</v>
      </c>
      <c r="DZ76" s="231"/>
      <c r="EA76" s="230"/>
      <c r="EB76" s="183" t="str">
        <f t="shared" si="203"/>
        <v/>
      </c>
      <c r="EC76" s="203" t="str">
        <f t="shared" si="241"/>
        <v>OK</v>
      </c>
      <c r="ED76" s="231"/>
      <c r="EE76" s="230"/>
      <c r="EF76" s="183" t="str">
        <f t="shared" si="204"/>
        <v/>
      </c>
      <c r="EG76" s="203" t="str">
        <f t="shared" si="267"/>
        <v>OK</v>
      </c>
      <c r="EH76" s="231"/>
      <c r="EI76" s="230"/>
      <c r="EJ76" s="183" t="str">
        <f t="shared" si="205"/>
        <v/>
      </c>
      <c r="EK76" s="203" t="str">
        <f t="shared" si="242"/>
        <v>OK</v>
      </c>
      <c r="EL76" s="231"/>
      <c r="EM76" s="230"/>
      <c r="EN76" s="183" t="str">
        <f t="shared" si="206"/>
        <v/>
      </c>
      <c r="EO76" s="203" t="str">
        <f t="shared" si="243"/>
        <v>OK</v>
      </c>
      <c r="EP76" s="231"/>
      <c r="EQ76" s="230"/>
      <c r="ER76" s="183" t="str">
        <f t="shared" si="207"/>
        <v/>
      </c>
      <c r="ES76" s="203" t="str">
        <f t="shared" si="268"/>
        <v>OK</v>
      </c>
      <c r="ET76" s="231"/>
      <c r="EU76" s="230"/>
      <c r="EV76" s="183" t="str">
        <f t="shared" si="208"/>
        <v/>
      </c>
      <c r="EW76" s="203" t="str">
        <f t="shared" si="244"/>
        <v>OK</v>
      </c>
      <c r="EX76" s="231"/>
      <c r="EY76" s="230"/>
      <c r="EZ76" s="183" t="str">
        <f t="shared" si="209"/>
        <v/>
      </c>
      <c r="FA76" s="203" t="str">
        <f t="shared" si="245"/>
        <v>OK</v>
      </c>
      <c r="FB76" s="231"/>
      <c r="FC76" s="230"/>
      <c r="FD76" s="183" t="str">
        <f t="shared" si="210"/>
        <v/>
      </c>
      <c r="FE76" s="203" t="str">
        <f t="shared" si="269"/>
        <v>OK</v>
      </c>
      <c r="FF76" s="231"/>
      <c r="FG76" s="230"/>
      <c r="FH76" s="183" t="str">
        <f t="shared" si="211"/>
        <v/>
      </c>
      <c r="FI76" s="203" t="str">
        <f t="shared" si="246"/>
        <v>OK</v>
      </c>
      <c r="FJ76" s="231"/>
      <c r="FK76" s="230"/>
      <c r="FL76" s="183" t="str">
        <f t="shared" si="212"/>
        <v/>
      </c>
      <c r="FM76" s="203" t="str">
        <f t="shared" si="247"/>
        <v>OK</v>
      </c>
      <c r="FN76" s="231"/>
      <c r="FO76" s="230"/>
      <c r="FP76" s="183" t="str">
        <f t="shared" si="213"/>
        <v/>
      </c>
      <c r="FQ76" s="203" t="str">
        <f t="shared" si="270"/>
        <v>OK</v>
      </c>
      <c r="FR76" s="231"/>
      <c r="FS76" s="230"/>
      <c r="FT76" s="183" t="str">
        <f t="shared" si="214"/>
        <v/>
      </c>
      <c r="FU76" s="203" t="str">
        <f t="shared" si="248"/>
        <v>OK</v>
      </c>
      <c r="FV76" s="231"/>
      <c r="FW76" s="230"/>
      <c r="FX76" s="183" t="str">
        <f t="shared" si="215"/>
        <v/>
      </c>
      <c r="FY76" s="203" t="str">
        <f t="shared" si="249"/>
        <v>OK</v>
      </c>
      <c r="FZ76" s="231"/>
      <c r="GA76" s="230"/>
      <c r="GB76" s="183" t="str">
        <f t="shared" si="216"/>
        <v/>
      </c>
      <c r="GC76" s="203" t="str">
        <f t="shared" si="271"/>
        <v>OK</v>
      </c>
      <c r="GD76" s="231"/>
      <c r="GE76" s="230"/>
      <c r="GF76" s="183" t="str">
        <f t="shared" si="217"/>
        <v/>
      </c>
      <c r="GG76" s="203" t="str">
        <f t="shared" si="272"/>
        <v>OK</v>
      </c>
      <c r="GH76" s="231"/>
      <c r="GI76" s="230"/>
      <c r="GJ76" s="183" t="str">
        <f t="shared" si="218"/>
        <v/>
      </c>
      <c r="GK76" s="203" t="str">
        <f t="shared" si="273"/>
        <v>OK</v>
      </c>
      <c r="GL76" s="231"/>
      <c r="GM76" s="230"/>
      <c r="GN76" s="183" t="str">
        <f t="shared" si="219"/>
        <v/>
      </c>
      <c r="GO76" s="203" t="str">
        <f t="shared" si="274"/>
        <v>OK</v>
      </c>
      <c r="GP76" s="231"/>
      <c r="GQ76" s="230"/>
      <c r="GR76" s="183" t="str">
        <f t="shared" si="220"/>
        <v/>
      </c>
      <c r="GS76" s="203" t="str">
        <f t="shared" si="250"/>
        <v>OK</v>
      </c>
      <c r="GT76" s="202"/>
      <c r="GU76" s="202"/>
      <c r="GV76" s="201"/>
      <c r="GW76" s="201"/>
      <c r="GX76" s="201"/>
    </row>
    <row r="77" spans="1:206" ht="38.25">
      <c r="A77" s="200" t="s">
        <v>59</v>
      </c>
      <c r="B77" s="225">
        <f t="shared" si="221"/>
        <v>70</v>
      </c>
      <c r="C77" s="229"/>
      <c r="D77" s="229"/>
      <c r="E77" s="223"/>
      <c r="F77" s="222" t="s">
        <v>310</v>
      </c>
      <c r="G77" s="221"/>
      <c r="H77" s="220"/>
      <c r="I77" s="209"/>
      <c r="J77" s="217" t="s">
        <v>59</v>
      </c>
      <c r="K77" s="219"/>
      <c r="L77" s="219"/>
      <c r="M77" s="218" t="s">
        <v>309</v>
      </c>
      <c r="N77" s="217" t="s">
        <v>308</v>
      </c>
      <c r="O77" s="216"/>
      <c r="P77" s="212"/>
      <c r="Q77" s="212"/>
      <c r="R77" s="215"/>
      <c r="S77" s="214"/>
      <c r="T77" s="212"/>
      <c r="U77" s="213"/>
      <c r="V77" s="212"/>
      <c r="W77" s="211" t="str">
        <f t="shared" si="222"/>
        <v>3</v>
      </c>
      <c r="X77" s="210" t="s">
        <v>307</v>
      </c>
      <c r="Y77" s="210">
        <v>1</v>
      </c>
      <c r="Z77" s="210">
        <v>1</v>
      </c>
      <c r="AA77" s="209" t="s">
        <v>54</v>
      </c>
      <c r="AB77" s="209" t="s">
        <v>306</v>
      </c>
      <c r="AC77" s="207"/>
      <c r="AD77" s="231" t="s">
        <v>57</v>
      </c>
      <c r="AE77" s="230"/>
      <c r="AF77" s="183" t="str">
        <f t="shared" si="178"/>
        <v/>
      </c>
      <c r="AG77" s="203" t="str">
        <f t="shared" si="251"/>
        <v>OK</v>
      </c>
      <c r="AH77" s="231" t="s">
        <v>57</v>
      </c>
      <c r="AI77" s="230"/>
      <c r="AJ77" s="183" t="str">
        <f t="shared" si="179"/>
        <v/>
      </c>
      <c r="AK77" s="203" t="str">
        <f t="shared" si="252"/>
        <v>OK</v>
      </c>
      <c r="AL77" s="231" t="s">
        <v>57</v>
      </c>
      <c r="AM77" s="230"/>
      <c r="AN77" s="183" t="str">
        <f t="shared" si="180"/>
        <v/>
      </c>
      <c r="AO77" s="203" t="str">
        <f t="shared" si="253"/>
        <v>OK</v>
      </c>
      <c r="AP77" s="231" t="s">
        <v>57</v>
      </c>
      <c r="AQ77" s="230"/>
      <c r="AR77" s="183" t="str">
        <f t="shared" si="181"/>
        <v/>
      </c>
      <c r="AS77" s="203" t="str">
        <f t="shared" si="254"/>
        <v>OK</v>
      </c>
      <c r="AT77" s="231" t="s">
        <v>57</v>
      </c>
      <c r="AU77" s="230"/>
      <c r="AV77" s="183" t="str">
        <f t="shared" si="182"/>
        <v/>
      </c>
      <c r="AW77" s="203" t="str">
        <f t="shared" si="255"/>
        <v>OK</v>
      </c>
      <c r="AX77" s="231" t="s">
        <v>57</v>
      </c>
      <c r="AY77" s="230"/>
      <c r="AZ77" s="183" t="str">
        <f t="shared" si="183"/>
        <v/>
      </c>
      <c r="BA77" s="203" t="str">
        <f t="shared" si="256"/>
        <v>OK</v>
      </c>
      <c r="BB77" s="231" t="s">
        <v>57</v>
      </c>
      <c r="BC77" s="230"/>
      <c r="BD77" s="183" t="str">
        <f t="shared" si="184"/>
        <v/>
      </c>
      <c r="BE77" s="203" t="str">
        <f t="shared" si="257"/>
        <v>OK</v>
      </c>
      <c r="BF77" s="231" t="s">
        <v>57</v>
      </c>
      <c r="BG77" s="230"/>
      <c r="BH77" s="183" t="str">
        <f t="shared" si="185"/>
        <v/>
      </c>
      <c r="BI77" s="203" t="str">
        <f t="shared" si="258"/>
        <v>OK</v>
      </c>
      <c r="BJ77" s="231" t="s">
        <v>57</v>
      </c>
      <c r="BK77" s="230"/>
      <c r="BL77" s="183" t="str">
        <f t="shared" si="186"/>
        <v/>
      </c>
      <c r="BM77" s="203" t="str">
        <f t="shared" si="259"/>
        <v>OK</v>
      </c>
      <c r="BN77" s="231" t="s">
        <v>57</v>
      </c>
      <c r="BO77" s="230"/>
      <c r="BP77" s="183" t="str">
        <f t="shared" si="187"/>
        <v/>
      </c>
      <c r="BQ77" s="203" t="str">
        <f t="shared" si="260"/>
        <v>OK</v>
      </c>
      <c r="BR77" s="231" t="s">
        <v>57</v>
      </c>
      <c r="BS77" s="230"/>
      <c r="BT77" s="183" t="str">
        <f t="shared" si="188"/>
        <v/>
      </c>
      <c r="BU77" s="203" t="str">
        <f t="shared" si="261"/>
        <v>OK</v>
      </c>
      <c r="BV77" s="231" t="s">
        <v>57</v>
      </c>
      <c r="BW77" s="230"/>
      <c r="BX77" s="183" t="str">
        <f t="shared" si="189"/>
        <v/>
      </c>
      <c r="BY77" s="203" t="str">
        <f t="shared" si="262"/>
        <v>OK</v>
      </c>
      <c r="BZ77" s="231" t="s">
        <v>57</v>
      </c>
      <c r="CA77" s="230"/>
      <c r="CB77" s="183" t="str">
        <f t="shared" si="190"/>
        <v/>
      </c>
      <c r="CC77" s="203" t="str">
        <f t="shared" si="232"/>
        <v>OK</v>
      </c>
      <c r="CD77" s="231" t="s">
        <v>57</v>
      </c>
      <c r="CE77" s="230"/>
      <c r="CF77" s="183" t="str">
        <f t="shared" si="191"/>
        <v/>
      </c>
      <c r="CG77" s="203" t="str">
        <f t="shared" si="233"/>
        <v>OK</v>
      </c>
      <c r="CH77" s="231" t="s">
        <v>57</v>
      </c>
      <c r="CI77" s="230"/>
      <c r="CJ77" s="183" t="str">
        <f t="shared" si="192"/>
        <v/>
      </c>
      <c r="CK77" s="203" t="str">
        <f t="shared" si="263"/>
        <v>OK</v>
      </c>
      <c r="CL77" s="231" t="s">
        <v>57</v>
      </c>
      <c r="CM77" s="230"/>
      <c r="CN77" s="183" t="str">
        <f t="shared" si="193"/>
        <v/>
      </c>
      <c r="CO77" s="203" t="str">
        <f t="shared" si="234"/>
        <v>OK</v>
      </c>
      <c r="CP77" s="231" t="s">
        <v>57</v>
      </c>
      <c r="CQ77" s="230"/>
      <c r="CR77" s="183" t="str">
        <f t="shared" si="194"/>
        <v/>
      </c>
      <c r="CS77" s="203" t="str">
        <f t="shared" si="235"/>
        <v>OK</v>
      </c>
      <c r="CT77" s="231" t="s">
        <v>57</v>
      </c>
      <c r="CU77" s="230"/>
      <c r="CV77" s="183" t="str">
        <f t="shared" si="195"/>
        <v/>
      </c>
      <c r="CW77" s="203" t="str">
        <f t="shared" si="264"/>
        <v>OK</v>
      </c>
      <c r="CX77" s="231" t="s">
        <v>57</v>
      </c>
      <c r="CY77" s="230"/>
      <c r="CZ77" s="183" t="str">
        <f t="shared" si="196"/>
        <v/>
      </c>
      <c r="DA77" s="203" t="str">
        <f t="shared" si="236"/>
        <v>OK</v>
      </c>
      <c r="DB77" s="231" t="s">
        <v>57</v>
      </c>
      <c r="DC77" s="230"/>
      <c r="DD77" s="183" t="str">
        <f t="shared" si="197"/>
        <v/>
      </c>
      <c r="DE77" s="203" t="str">
        <f t="shared" si="237"/>
        <v>OK</v>
      </c>
      <c r="DF77" s="231" t="s">
        <v>57</v>
      </c>
      <c r="DG77" s="230"/>
      <c r="DH77" s="183" t="str">
        <f t="shared" si="198"/>
        <v/>
      </c>
      <c r="DI77" s="203" t="str">
        <f t="shared" si="265"/>
        <v>OK</v>
      </c>
      <c r="DJ77" s="231" t="s">
        <v>57</v>
      </c>
      <c r="DK77" s="230"/>
      <c r="DL77" s="183" t="str">
        <f t="shared" si="199"/>
        <v/>
      </c>
      <c r="DM77" s="203" t="str">
        <f t="shared" si="238"/>
        <v>OK</v>
      </c>
      <c r="DN77" s="231" t="s">
        <v>57</v>
      </c>
      <c r="DO77" s="230"/>
      <c r="DP77" s="183" t="str">
        <f t="shared" si="200"/>
        <v/>
      </c>
      <c r="DQ77" s="203" t="str">
        <f t="shared" si="239"/>
        <v>OK</v>
      </c>
      <c r="DR77" s="231" t="s">
        <v>57</v>
      </c>
      <c r="DS77" s="230"/>
      <c r="DT77" s="183" t="str">
        <f t="shared" si="201"/>
        <v/>
      </c>
      <c r="DU77" s="203" t="str">
        <f t="shared" si="266"/>
        <v>OK</v>
      </c>
      <c r="DV77" s="231" t="s">
        <v>57</v>
      </c>
      <c r="DW77" s="230"/>
      <c r="DX77" s="183" t="str">
        <f t="shared" si="202"/>
        <v/>
      </c>
      <c r="DY77" s="203" t="str">
        <f t="shared" si="240"/>
        <v>OK</v>
      </c>
      <c r="DZ77" s="231" t="s">
        <v>57</v>
      </c>
      <c r="EA77" s="230"/>
      <c r="EB77" s="183" t="str">
        <f t="shared" si="203"/>
        <v/>
      </c>
      <c r="EC77" s="203" t="str">
        <f t="shared" si="241"/>
        <v>OK</v>
      </c>
      <c r="ED77" s="231" t="s">
        <v>57</v>
      </c>
      <c r="EE77" s="230"/>
      <c r="EF77" s="183" t="str">
        <f t="shared" si="204"/>
        <v/>
      </c>
      <c r="EG77" s="203" t="str">
        <f t="shared" si="267"/>
        <v>OK</v>
      </c>
      <c r="EH77" s="231" t="s">
        <v>57</v>
      </c>
      <c r="EI77" s="230"/>
      <c r="EJ77" s="183" t="str">
        <f t="shared" si="205"/>
        <v/>
      </c>
      <c r="EK77" s="203" t="str">
        <f t="shared" si="242"/>
        <v>OK</v>
      </c>
      <c r="EL77" s="231" t="s">
        <v>57</v>
      </c>
      <c r="EM77" s="230"/>
      <c r="EN77" s="183" t="str">
        <f t="shared" si="206"/>
        <v/>
      </c>
      <c r="EO77" s="203" t="str">
        <f t="shared" si="243"/>
        <v>OK</v>
      </c>
      <c r="EP77" s="231" t="s">
        <v>57</v>
      </c>
      <c r="EQ77" s="230"/>
      <c r="ER77" s="183" t="str">
        <f t="shared" si="207"/>
        <v/>
      </c>
      <c r="ES77" s="203" t="str">
        <f t="shared" si="268"/>
        <v>OK</v>
      </c>
      <c r="ET77" s="231" t="s">
        <v>57</v>
      </c>
      <c r="EU77" s="230"/>
      <c r="EV77" s="183" t="str">
        <f t="shared" si="208"/>
        <v/>
      </c>
      <c r="EW77" s="203" t="str">
        <f t="shared" si="244"/>
        <v>OK</v>
      </c>
      <c r="EX77" s="231" t="s">
        <v>57</v>
      </c>
      <c r="EY77" s="230"/>
      <c r="EZ77" s="183" t="str">
        <f t="shared" si="209"/>
        <v/>
      </c>
      <c r="FA77" s="203" t="str">
        <f t="shared" si="245"/>
        <v>OK</v>
      </c>
      <c r="FB77" s="231" t="s">
        <v>57</v>
      </c>
      <c r="FC77" s="230"/>
      <c r="FD77" s="183" t="str">
        <f t="shared" si="210"/>
        <v/>
      </c>
      <c r="FE77" s="203" t="str">
        <f t="shared" si="269"/>
        <v>OK</v>
      </c>
      <c r="FF77" s="231" t="s">
        <v>57</v>
      </c>
      <c r="FG77" s="230"/>
      <c r="FH77" s="183" t="str">
        <f t="shared" si="211"/>
        <v/>
      </c>
      <c r="FI77" s="203" t="str">
        <f t="shared" si="246"/>
        <v>OK</v>
      </c>
      <c r="FJ77" s="231" t="s">
        <v>57</v>
      </c>
      <c r="FK77" s="230"/>
      <c r="FL77" s="183" t="str">
        <f t="shared" si="212"/>
        <v/>
      </c>
      <c r="FM77" s="203" t="str">
        <f t="shared" si="247"/>
        <v>OK</v>
      </c>
      <c r="FN77" s="231" t="s">
        <v>57</v>
      </c>
      <c r="FO77" s="230"/>
      <c r="FP77" s="183" t="str">
        <f t="shared" si="213"/>
        <v/>
      </c>
      <c r="FQ77" s="203" t="str">
        <f t="shared" si="270"/>
        <v>OK</v>
      </c>
      <c r="FR77" s="231" t="s">
        <v>57</v>
      </c>
      <c r="FS77" s="230"/>
      <c r="FT77" s="183" t="str">
        <f t="shared" si="214"/>
        <v/>
      </c>
      <c r="FU77" s="203" t="str">
        <f t="shared" si="248"/>
        <v>OK</v>
      </c>
      <c r="FV77" s="231" t="s">
        <v>57</v>
      </c>
      <c r="FW77" s="230"/>
      <c r="FX77" s="183" t="str">
        <f t="shared" si="215"/>
        <v/>
      </c>
      <c r="FY77" s="203" t="str">
        <f t="shared" si="249"/>
        <v>OK</v>
      </c>
      <c r="FZ77" s="231" t="s">
        <v>57</v>
      </c>
      <c r="GA77" s="230"/>
      <c r="GB77" s="183" t="str">
        <f t="shared" si="216"/>
        <v/>
      </c>
      <c r="GC77" s="203" t="str">
        <f t="shared" si="271"/>
        <v>OK</v>
      </c>
      <c r="GD77" s="231" t="s">
        <v>57</v>
      </c>
      <c r="GE77" s="230"/>
      <c r="GF77" s="183" t="str">
        <f t="shared" si="217"/>
        <v/>
      </c>
      <c r="GG77" s="203" t="str">
        <f t="shared" si="272"/>
        <v>OK</v>
      </c>
      <c r="GH77" s="231" t="s">
        <v>57</v>
      </c>
      <c r="GI77" s="230"/>
      <c r="GJ77" s="183" t="str">
        <f t="shared" si="218"/>
        <v/>
      </c>
      <c r="GK77" s="203" t="str">
        <f t="shared" si="273"/>
        <v>OK</v>
      </c>
      <c r="GL77" s="231" t="s">
        <v>57</v>
      </c>
      <c r="GM77" s="230"/>
      <c r="GN77" s="183" t="str">
        <f t="shared" si="219"/>
        <v/>
      </c>
      <c r="GO77" s="203" t="str">
        <f t="shared" si="274"/>
        <v>OK</v>
      </c>
      <c r="GP77" s="231" t="s">
        <v>57</v>
      </c>
      <c r="GQ77" s="230"/>
      <c r="GR77" s="183" t="str">
        <f t="shared" si="220"/>
        <v/>
      </c>
      <c r="GS77" s="203" t="str">
        <f t="shared" si="250"/>
        <v>OK</v>
      </c>
      <c r="GT77" s="202"/>
      <c r="GU77" s="202"/>
      <c r="GV77" s="201"/>
      <c r="GW77" s="201"/>
      <c r="GX77" s="201"/>
    </row>
    <row r="78" spans="1:206" ht="38.25">
      <c r="A78" s="200" t="s">
        <v>298</v>
      </c>
      <c r="B78" s="225">
        <f t="shared" si="221"/>
        <v>71</v>
      </c>
      <c r="C78" s="229"/>
      <c r="D78" s="229"/>
      <c r="E78" s="222" t="s">
        <v>67</v>
      </c>
      <c r="F78" s="221"/>
      <c r="G78" s="221"/>
      <c r="H78" s="220"/>
      <c r="I78" s="209"/>
      <c r="J78" s="217" t="s">
        <v>23</v>
      </c>
      <c r="K78" s="219"/>
      <c r="L78" s="219"/>
      <c r="M78" s="236" t="s">
        <v>305</v>
      </c>
      <c r="N78" s="217"/>
      <c r="O78" s="216"/>
      <c r="P78" s="212"/>
      <c r="Q78" s="212"/>
      <c r="R78" s="215"/>
      <c r="S78" s="214"/>
      <c r="T78" s="212"/>
      <c r="U78" s="213"/>
      <c r="V78" s="212"/>
      <c r="W78" s="211" t="str">
        <f t="shared" si="222"/>
        <v>2</v>
      </c>
      <c r="X78" s="224" t="s">
        <v>56</v>
      </c>
      <c r="Y78" s="224">
        <v>4</v>
      </c>
      <c r="Z78" s="224">
        <v>4</v>
      </c>
      <c r="AA78" s="208" t="s">
        <v>54</v>
      </c>
      <c r="AB78" s="208" t="s">
        <v>14</v>
      </c>
      <c r="AC78" s="207"/>
      <c r="AD78" s="231"/>
      <c r="AE78" s="205"/>
      <c r="AF78" s="235" t="s">
        <v>304</v>
      </c>
      <c r="AG78" s="203" t="str">
        <f t="shared" si="251"/>
        <v>NG</v>
      </c>
      <c r="AH78" s="231"/>
      <c r="AI78" s="205"/>
      <c r="AJ78" s="235" t="s">
        <v>304</v>
      </c>
      <c r="AK78" s="203" t="str">
        <f t="shared" si="252"/>
        <v>NG</v>
      </c>
      <c r="AL78" s="231"/>
      <c r="AM78" s="205"/>
      <c r="AN78" s="235" t="s">
        <v>304</v>
      </c>
      <c r="AO78" s="203" t="str">
        <f t="shared" si="253"/>
        <v>NG</v>
      </c>
      <c r="AP78" s="231"/>
      <c r="AQ78" s="205"/>
      <c r="AR78" s="235" t="s">
        <v>304</v>
      </c>
      <c r="AS78" s="203" t="str">
        <f t="shared" si="254"/>
        <v>NG</v>
      </c>
      <c r="AT78" s="231"/>
      <c r="AU78" s="205"/>
      <c r="AV78" s="235" t="s">
        <v>304</v>
      </c>
      <c r="AW78" s="203" t="str">
        <f t="shared" si="255"/>
        <v>NG</v>
      </c>
      <c r="AX78" s="231"/>
      <c r="AY78" s="205"/>
      <c r="AZ78" s="235" t="s">
        <v>304</v>
      </c>
      <c r="BA78" s="203" t="str">
        <f t="shared" si="256"/>
        <v>NG</v>
      </c>
      <c r="BB78" s="231"/>
      <c r="BC78" s="205"/>
      <c r="BD78" s="235" t="s">
        <v>304</v>
      </c>
      <c r="BE78" s="203" t="str">
        <f t="shared" si="257"/>
        <v>NG</v>
      </c>
      <c r="BF78" s="231"/>
      <c r="BG78" s="205"/>
      <c r="BH78" s="235" t="s">
        <v>304</v>
      </c>
      <c r="BI78" s="203" t="str">
        <f t="shared" si="258"/>
        <v>NG</v>
      </c>
      <c r="BJ78" s="231"/>
      <c r="BK78" s="205"/>
      <c r="BL78" s="235" t="s">
        <v>304</v>
      </c>
      <c r="BM78" s="203" t="str">
        <f t="shared" si="259"/>
        <v>NG</v>
      </c>
      <c r="BN78" s="231"/>
      <c r="BO78" s="205"/>
      <c r="BP78" s="235" t="s">
        <v>304</v>
      </c>
      <c r="BQ78" s="203" t="str">
        <f t="shared" si="260"/>
        <v>NG</v>
      </c>
      <c r="BR78" s="231"/>
      <c r="BS78" s="205"/>
      <c r="BT78" s="235" t="s">
        <v>304</v>
      </c>
      <c r="BU78" s="203" t="str">
        <f t="shared" si="261"/>
        <v>NG</v>
      </c>
      <c r="BV78" s="231"/>
      <c r="BW78" s="205"/>
      <c r="BX78" s="235" t="s">
        <v>304</v>
      </c>
      <c r="BY78" s="203" t="str">
        <f t="shared" si="262"/>
        <v>NG</v>
      </c>
      <c r="BZ78" s="231"/>
      <c r="CA78" s="205"/>
      <c r="CB78" s="235" t="s">
        <v>304</v>
      </c>
      <c r="CC78" s="203" t="str">
        <f t="shared" si="232"/>
        <v>NG</v>
      </c>
      <c r="CD78" s="231"/>
      <c r="CE78" s="205"/>
      <c r="CF78" s="235" t="s">
        <v>304</v>
      </c>
      <c r="CG78" s="203" t="str">
        <f t="shared" si="233"/>
        <v>NG</v>
      </c>
      <c r="CH78" s="231"/>
      <c r="CI78" s="205"/>
      <c r="CJ78" s="235" t="s">
        <v>304</v>
      </c>
      <c r="CK78" s="203" t="str">
        <f t="shared" si="263"/>
        <v>NG</v>
      </c>
      <c r="CL78" s="231"/>
      <c r="CM78" s="205"/>
      <c r="CN78" s="235" t="s">
        <v>304</v>
      </c>
      <c r="CO78" s="203" t="str">
        <f t="shared" si="234"/>
        <v>NG</v>
      </c>
      <c r="CP78" s="231"/>
      <c r="CQ78" s="205"/>
      <c r="CR78" s="235" t="s">
        <v>304</v>
      </c>
      <c r="CS78" s="203" t="str">
        <f t="shared" si="235"/>
        <v>NG</v>
      </c>
      <c r="CT78" s="231"/>
      <c r="CU78" s="205"/>
      <c r="CV78" s="235" t="s">
        <v>304</v>
      </c>
      <c r="CW78" s="203" t="str">
        <f t="shared" si="264"/>
        <v>NG</v>
      </c>
      <c r="CX78" s="231"/>
      <c r="CY78" s="205"/>
      <c r="CZ78" s="235" t="s">
        <v>304</v>
      </c>
      <c r="DA78" s="203" t="str">
        <f t="shared" si="236"/>
        <v>NG</v>
      </c>
      <c r="DB78" s="231"/>
      <c r="DC78" s="205"/>
      <c r="DD78" s="235" t="s">
        <v>304</v>
      </c>
      <c r="DE78" s="203" t="str">
        <f t="shared" si="237"/>
        <v>NG</v>
      </c>
      <c r="DF78" s="231"/>
      <c r="DG78" s="205"/>
      <c r="DH78" s="235" t="s">
        <v>304</v>
      </c>
      <c r="DI78" s="203" t="str">
        <f t="shared" si="265"/>
        <v>NG</v>
      </c>
      <c r="DJ78" s="231"/>
      <c r="DK78" s="205"/>
      <c r="DL78" s="235" t="s">
        <v>304</v>
      </c>
      <c r="DM78" s="203" t="str">
        <f t="shared" si="238"/>
        <v>NG</v>
      </c>
      <c r="DN78" s="231"/>
      <c r="DO78" s="205"/>
      <c r="DP78" s="235" t="s">
        <v>304</v>
      </c>
      <c r="DQ78" s="203" t="str">
        <f t="shared" si="239"/>
        <v>NG</v>
      </c>
      <c r="DR78" s="231"/>
      <c r="DS78" s="205"/>
      <c r="DT78" s="235" t="s">
        <v>304</v>
      </c>
      <c r="DU78" s="203" t="str">
        <f t="shared" si="266"/>
        <v>NG</v>
      </c>
      <c r="DV78" s="231"/>
      <c r="DW78" s="205"/>
      <c r="DX78" s="235" t="s">
        <v>304</v>
      </c>
      <c r="DY78" s="203" t="str">
        <f t="shared" si="240"/>
        <v>NG</v>
      </c>
      <c r="DZ78" s="231"/>
      <c r="EA78" s="205"/>
      <c r="EB78" s="235" t="s">
        <v>304</v>
      </c>
      <c r="EC78" s="203" t="str">
        <f t="shared" si="241"/>
        <v>NG</v>
      </c>
      <c r="ED78" s="231"/>
      <c r="EE78" s="205"/>
      <c r="EF78" s="235" t="s">
        <v>304</v>
      </c>
      <c r="EG78" s="203" t="str">
        <f t="shared" si="267"/>
        <v>NG</v>
      </c>
      <c r="EH78" s="231"/>
      <c r="EI78" s="205"/>
      <c r="EJ78" s="235" t="s">
        <v>304</v>
      </c>
      <c r="EK78" s="203" t="str">
        <f t="shared" si="242"/>
        <v>NG</v>
      </c>
      <c r="EL78" s="231"/>
      <c r="EM78" s="205"/>
      <c r="EN78" s="235" t="s">
        <v>304</v>
      </c>
      <c r="EO78" s="203" t="str">
        <f t="shared" si="243"/>
        <v>NG</v>
      </c>
      <c r="EP78" s="231"/>
      <c r="EQ78" s="205"/>
      <c r="ER78" s="235" t="s">
        <v>304</v>
      </c>
      <c r="ES78" s="203" t="str">
        <f t="shared" si="268"/>
        <v>NG</v>
      </c>
      <c r="ET78" s="231"/>
      <c r="EU78" s="205"/>
      <c r="EV78" s="235" t="s">
        <v>304</v>
      </c>
      <c r="EW78" s="203" t="str">
        <f t="shared" si="244"/>
        <v>NG</v>
      </c>
      <c r="EX78" s="231"/>
      <c r="EY78" s="205"/>
      <c r="EZ78" s="235" t="s">
        <v>304</v>
      </c>
      <c r="FA78" s="203" t="str">
        <f t="shared" si="245"/>
        <v>NG</v>
      </c>
      <c r="FB78" s="231"/>
      <c r="FC78" s="205"/>
      <c r="FD78" s="235" t="s">
        <v>304</v>
      </c>
      <c r="FE78" s="203" t="str">
        <f t="shared" si="269"/>
        <v>NG</v>
      </c>
      <c r="FF78" s="231"/>
      <c r="FG78" s="205"/>
      <c r="FH78" s="235" t="s">
        <v>304</v>
      </c>
      <c r="FI78" s="203" t="str">
        <f t="shared" si="246"/>
        <v>NG</v>
      </c>
      <c r="FJ78" s="231"/>
      <c r="FK78" s="205"/>
      <c r="FL78" s="235" t="s">
        <v>304</v>
      </c>
      <c r="FM78" s="203" t="str">
        <f t="shared" si="247"/>
        <v>NG</v>
      </c>
      <c r="FN78" s="231"/>
      <c r="FO78" s="205"/>
      <c r="FP78" s="235" t="s">
        <v>304</v>
      </c>
      <c r="FQ78" s="203" t="str">
        <f t="shared" si="270"/>
        <v>NG</v>
      </c>
      <c r="FR78" s="231"/>
      <c r="FS78" s="205"/>
      <c r="FT78" s="235" t="s">
        <v>304</v>
      </c>
      <c r="FU78" s="203" t="str">
        <f t="shared" si="248"/>
        <v>NG</v>
      </c>
      <c r="FV78" s="231"/>
      <c r="FW78" s="205"/>
      <c r="FX78" s="235" t="s">
        <v>304</v>
      </c>
      <c r="FY78" s="203" t="str">
        <f t="shared" si="249"/>
        <v>NG</v>
      </c>
      <c r="FZ78" s="231"/>
      <c r="GA78" s="205"/>
      <c r="GB78" s="235" t="s">
        <v>304</v>
      </c>
      <c r="GC78" s="203" t="str">
        <f t="shared" si="271"/>
        <v>NG</v>
      </c>
      <c r="GD78" s="231"/>
      <c r="GE78" s="205"/>
      <c r="GF78" s="235" t="s">
        <v>304</v>
      </c>
      <c r="GG78" s="203" t="str">
        <f t="shared" si="272"/>
        <v>NG</v>
      </c>
      <c r="GH78" s="231"/>
      <c r="GI78" s="205"/>
      <c r="GJ78" s="235" t="s">
        <v>304</v>
      </c>
      <c r="GK78" s="203" t="str">
        <f t="shared" si="273"/>
        <v>NG</v>
      </c>
      <c r="GL78" s="231"/>
      <c r="GM78" s="205"/>
      <c r="GN78" s="235" t="s">
        <v>304</v>
      </c>
      <c r="GO78" s="203" t="str">
        <f t="shared" si="274"/>
        <v>NG</v>
      </c>
      <c r="GP78" s="231"/>
      <c r="GQ78" s="205"/>
      <c r="GR78" s="235" t="s">
        <v>304</v>
      </c>
      <c r="GS78" s="203" t="str">
        <f t="shared" si="250"/>
        <v>NG</v>
      </c>
      <c r="GT78" s="202"/>
      <c r="GU78" s="202"/>
      <c r="GV78" s="201"/>
      <c r="GW78" s="201"/>
      <c r="GX78" s="201"/>
    </row>
    <row r="79" spans="1:206">
      <c r="A79" s="200" t="s">
        <v>298</v>
      </c>
      <c r="B79" s="225">
        <f t="shared" si="221"/>
        <v>72</v>
      </c>
      <c r="C79" s="229"/>
      <c r="D79" s="229"/>
      <c r="E79" s="234" t="s">
        <v>303</v>
      </c>
      <c r="F79" s="233"/>
      <c r="G79" s="233"/>
      <c r="H79" s="232"/>
      <c r="I79" s="209"/>
      <c r="J79" s="217" t="s">
        <v>23</v>
      </c>
      <c r="K79" s="219"/>
      <c r="L79" s="219"/>
      <c r="M79" s="218"/>
      <c r="N79" s="217"/>
      <c r="O79" s="216"/>
      <c r="P79" s="212"/>
      <c r="Q79" s="212"/>
      <c r="R79" s="215"/>
      <c r="S79" s="214"/>
      <c r="T79" s="212"/>
      <c r="U79" s="213"/>
      <c r="V79" s="212"/>
      <c r="W79" s="211" t="str">
        <f t="shared" si="222"/>
        <v>2</v>
      </c>
      <c r="X79" s="210" t="s">
        <v>302</v>
      </c>
      <c r="Y79" s="210"/>
      <c r="Z79" s="210"/>
      <c r="AA79" s="209"/>
      <c r="AB79" s="208" t="s">
        <v>14</v>
      </c>
      <c r="AC79" s="207"/>
      <c r="AD79" s="231"/>
      <c r="AE79" s="230"/>
      <c r="AF79" s="183" t="str">
        <f>IF($AB79="I","",IF($AA79="","",IF(AD79="","",AD79)))</f>
        <v/>
      </c>
      <c r="AG79" s="203" t="str">
        <f t="shared" si="251"/>
        <v>OK</v>
      </c>
      <c r="AH79" s="231"/>
      <c r="AI79" s="230"/>
      <c r="AJ79" s="183" t="str">
        <f>IF($AB79="I","",IF($AA79="","",IF(AH79="","",AH79)))</f>
        <v/>
      </c>
      <c r="AK79" s="203" t="str">
        <f t="shared" si="252"/>
        <v>OK</v>
      </c>
      <c r="AL79" s="231"/>
      <c r="AM79" s="230"/>
      <c r="AN79" s="183" t="str">
        <f>IF($AB79="I","",IF($AA79="","",IF(AL79="","",AL79)))</f>
        <v/>
      </c>
      <c r="AO79" s="203" t="str">
        <f t="shared" si="253"/>
        <v>OK</v>
      </c>
      <c r="AP79" s="231"/>
      <c r="AQ79" s="230"/>
      <c r="AR79" s="183" t="str">
        <f>IF($AB79="I","",IF($AA79="","",IF(AP79="","",AP79)))</f>
        <v/>
      </c>
      <c r="AS79" s="203" t="str">
        <f t="shared" si="254"/>
        <v>OK</v>
      </c>
      <c r="AT79" s="231"/>
      <c r="AU79" s="230"/>
      <c r="AV79" s="183" t="str">
        <f>IF($AB79="I","",IF($AA79="","",IF(AT79="","",AT79)))</f>
        <v/>
      </c>
      <c r="AW79" s="203" t="str">
        <f t="shared" si="255"/>
        <v>OK</v>
      </c>
      <c r="AX79" s="231"/>
      <c r="AY79" s="230"/>
      <c r="AZ79" s="183" t="str">
        <f>IF($AB79="I","",IF($AA79="","",IF(AX79="","",AX79)))</f>
        <v/>
      </c>
      <c r="BA79" s="203" t="str">
        <f t="shared" si="256"/>
        <v>OK</v>
      </c>
      <c r="BB79" s="231"/>
      <c r="BC79" s="230"/>
      <c r="BD79" s="183" t="str">
        <f>IF($AB79="I","",IF($AA79="","",IF(BB79="","",BB79)))</f>
        <v/>
      </c>
      <c r="BE79" s="203" t="str">
        <f t="shared" si="257"/>
        <v>OK</v>
      </c>
      <c r="BF79" s="231"/>
      <c r="BG79" s="230"/>
      <c r="BH79" s="183" t="str">
        <f>IF($AB79="I","",IF($AA79="","",IF(BF79="","",BF79)))</f>
        <v/>
      </c>
      <c r="BI79" s="203" t="str">
        <f t="shared" si="258"/>
        <v>OK</v>
      </c>
      <c r="BJ79" s="231"/>
      <c r="BK79" s="230"/>
      <c r="BL79" s="183" t="str">
        <f>IF($AB79="I","",IF($AA79="","",IF(BJ79="","",BJ79)))</f>
        <v/>
      </c>
      <c r="BM79" s="203" t="str">
        <f t="shared" si="259"/>
        <v>OK</v>
      </c>
      <c r="BN79" s="231"/>
      <c r="BO79" s="230"/>
      <c r="BP79" s="183" t="str">
        <f>IF($AB79="I","",IF($AA79="","",IF(BN79="","",BN79)))</f>
        <v/>
      </c>
      <c r="BQ79" s="203" t="str">
        <f t="shared" si="260"/>
        <v>OK</v>
      </c>
      <c r="BR79" s="231"/>
      <c r="BS79" s="230"/>
      <c r="BT79" s="183" t="str">
        <f>IF($AB79="I","",IF($AA79="","",IF(BR79="","",BR79)))</f>
        <v/>
      </c>
      <c r="BU79" s="203" t="str">
        <f t="shared" si="261"/>
        <v>OK</v>
      </c>
      <c r="BV79" s="231"/>
      <c r="BW79" s="230"/>
      <c r="BX79" s="183" t="str">
        <f>IF($AB79="I","",IF($AA79="","",IF(BV79="","",BV79)))</f>
        <v/>
      </c>
      <c r="BY79" s="203" t="str">
        <f t="shared" si="262"/>
        <v>OK</v>
      </c>
      <c r="BZ79" s="231"/>
      <c r="CA79" s="230"/>
      <c r="CB79" s="183" t="str">
        <f>IF($AB79="I","",IF($AA79="","",IF(BZ79="","",BZ79)))</f>
        <v/>
      </c>
      <c r="CC79" s="203" t="str">
        <f t="shared" si="232"/>
        <v>OK</v>
      </c>
      <c r="CD79" s="231"/>
      <c r="CE79" s="230"/>
      <c r="CF79" s="183" t="str">
        <f>IF($AB79="I","",IF($AA79="","",IF(CD79="","",CD79)))</f>
        <v/>
      </c>
      <c r="CG79" s="203" t="str">
        <f t="shared" si="233"/>
        <v>OK</v>
      </c>
      <c r="CH79" s="231"/>
      <c r="CI79" s="230"/>
      <c r="CJ79" s="183" t="str">
        <f>IF($AB79="I","",IF($AA79="","",IF(CH79="","",CH79)))</f>
        <v/>
      </c>
      <c r="CK79" s="203" t="str">
        <f t="shared" si="263"/>
        <v>OK</v>
      </c>
      <c r="CL79" s="231"/>
      <c r="CM79" s="230"/>
      <c r="CN79" s="183" t="str">
        <f>IF($AB79="I","",IF($AA79="","",IF(CL79="","",CL79)))</f>
        <v/>
      </c>
      <c r="CO79" s="203" t="str">
        <f t="shared" si="234"/>
        <v>OK</v>
      </c>
      <c r="CP79" s="231"/>
      <c r="CQ79" s="230"/>
      <c r="CR79" s="183" t="str">
        <f>IF($AB79="I","",IF($AA79="","",IF(CP79="","",CP79)))</f>
        <v/>
      </c>
      <c r="CS79" s="203" t="str">
        <f t="shared" si="235"/>
        <v>OK</v>
      </c>
      <c r="CT79" s="231"/>
      <c r="CU79" s="230"/>
      <c r="CV79" s="183" t="str">
        <f>IF($AB79="I","",IF($AA79="","",IF(CT79="","",CT79)))</f>
        <v/>
      </c>
      <c r="CW79" s="203" t="str">
        <f t="shared" si="264"/>
        <v>OK</v>
      </c>
      <c r="CX79" s="231"/>
      <c r="CY79" s="230"/>
      <c r="CZ79" s="183" t="str">
        <f>IF($AB79="I","",IF($AA79="","",IF(CX79="","",CX79)))</f>
        <v/>
      </c>
      <c r="DA79" s="203" t="str">
        <f t="shared" si="236"/>
        <v>OK</v>
      </c>
      <c r="DB79" s="231"/>
      <c r="DC79" s="230"/>
      <c r="DD79" s="183" t="str">
        <f>IF($AB79="I","",IF($AA79="","",IF(DB79="","",DB79)))</f>
        <v/>
      </c>
      <c r="DE79" s="203" t="str">
        <f t="shared" si="237"/>
        <v>OK</v>
      </c>
      <c r="DF79" s="231"/>
      <c r="DG79" s="230"/>
      <c r="DH79" s="183" t="str">
        <f>IF($AB79="I","",IF($AA79="","",IF(DF79="","",DF79)))</f>
        <v/>
      </c>
      <c r="DI79" s="203" t="str">
        <f t="shared" si="265"/>
        <v>OK</v>
      </c>
      <c r="DJ79" s="231"/>
      <c r="DK79" s="230"/>
      <c r="DL79" s="183" t="str">
        <f>IF($AB79="I","",IF($AA79="","",IF(DJ79="","",DJ79)))</f>
        <v/>
      </c>
      <c r="DM79" s="203" t="str">
        <f t="shared" si="238"/>
        <v>OK</v>
      </c>
      <c r="DN79" s="231"/>
      <c r="DO79" s="230"/>
      <c r="DP79" s="183" t="str">
        <f>IF($AB79="I","",IF($AA79="","",IF(DN79="","",DN79)))</f>
        <v/>
      </c>
      <c r="DQ79" s="203" t="str">
        <f t="shared" si="239"/>
        <v>OK</v>
      </c>
      <c r="DR79" s="231"/>
      <c r="DS79" s="230"/>
      <c r="DT79" s="183" t="str">
        <f>IF($AB79="I","",IF($AA79="","",IF(DR79="","",DR79)))</f>
        <v/>
      </c>
      <c r="DU79" s="203" t="str">
        <f t="shared" si="266"/>
        <v>OK</v>
      </c>
      <c r="DV79" s="231"/>
      <c r="DW79" s="230"/>
      <c r="DX79" s="183" t="str">
        <f>IF($AB79="I","",IF($AA79="","",IF(DV79="","",DV79)))</f>
        <v/>
      </c>
      <c r="DY79" s="203" t="str">
        <f t="shared" si="240"/>
        <v>OK</v>
      </c>
      <c r="DZ79" s="231"/>
      <c r="EA79" s="230"/>
      <c r="EB79" s="183" t="str">
        <f>IF($AB79="I","",IF($AA79="","",IF(DZ79="","",DZ79)))</f>
        <v/>
      </c>
      <c r="EC79" s="203" t="str">
        <f t="shared" si="241"/>
        <v>OK</v>
      </c>
      <c r="ED79" s="231"/>
      <c r="EE79" s="230"/>
      <c r="EF79" s="183" t="str">
        <f>IF($AB79="I","",IF($AA79="","",IF(ED79="","",ED79)))</f>
        <v/>
      </c>
      <c r="EG79" s="203" t="str">
        <f t="shared" si="267"/>
        <v>OK</v>
      </c>
      <c r="EH79" s="231"/>
      <c r="EI79" s="230"/>
      <c r="EJ79" s="183" t="str">
        <f>IF($AB79="I","",IF($AA79="","",IF(EH79="","",EH79)))</f>
        <v/>
      </c>
      <c r="EK79" s="203" t="str">
        <f t="shared" si="242"/>
        <v>OK</v>
      </c>
      <c r="EL79" s="231"/>
      <c r="EM79" s="230"/>
      <c r="EN79" s="183" t="str">
        <f>IF($AB79="I","",IF($AA79="","",IF(EL79="","",EL79)))</f>
        <v/>
      </c>
      <c r="EO79" s="203" t="str">
        <f t="shared" si="243"/>
        <v>OK</v>
      </c>
      <c r="EP79" s="231"/>
      <c r="EQ79" s="230"/>
      <c r="ER79" s="183" t="str">
        <f>IF($AB79="I","",IF($AA79="","",IF(EP79="","",EP79)))</f>
        <v/>
      </c>
      <c r="ES79" s="203" t="str">
        <f t="shared" si="268"/>
        <v>OK</v>
      </c>
      <c r="ET79" s="231"/>
      <c r="EU79" s="230"/>
      <c r="EV79" s="183" t="str">
        <f>IF($AB79="I","",IF($AA79="","",IF(ET79="","",ET79)))</f>
        <v/>
      </c>
      <c r="EW79" s="203" t="str">
        <f t="shared" si="244"/>
        <v>OK</v>
      </c>
      <c r="EX79" s="231"/>
      <c r="EY79" s="230"/>
      <c r="EZ79" s="183" t="str">
        <f>IF($AB79="I","",IF($AA79="","",IF(EX79="","",EX79)))</f>
        <v/>
      </c>
      <c r="FA79" s="203" t="str">
        <f t="shared" si="245"/>
        <v>OK</v>
      </c>
      <c r="FB79" s="231"/>
      <c r="FC79" s="230"/>
      <c r="FD79" s="183" t="str">
        <f>IF($AB79="I","",IF($AA79="","",IF(FB79="","",FB79)))</f>
        <v/>
      </c>
      <c r="FE79" s="203" t="str">
        <f t="shared" si="269"/>
        <v>OK</v>
      </c>
      <c r="FF79" s="231"/>
      <c r="FG79" s="230"/>
      <c r="FH79" s="183" t="str">
        <f>IF($AB79="I","",IF($AA79="","",IF(FF79="","",FF79)))</f>
        <v/>
      </c>
      <c r="FI79" s="203" t="str">
        <f t="shared" si="246"/>
        <v>OK</v>
      </c>
      <c r="FJ79" s="231"/>
      <c r="FK79" s="230"/>
      <c r="FL79" s="183" t="str">
        <f>IF($AB79="I","",IF($AA79="","",IF(FJ79="","",FJ79)))</f>
        <v/>
      </c>
      <c r="FM79" s="203" t="str">
        <f t="shared" si="247"/>
        <v>OK</v>
      </c>
      <c r="FN79" s="231"/>
      <c r="FO79" s="230"/>
      <c r="FP79" s="183" t="str">
        <f>IF($AB79="I","",IF($AA79="","",IF(FN79="","",FN79)))</f>
        <v/>
      </c>
      <c r="FQ79" s="203" t="str">
        <f t="shared" si="270"/>
        <v>OK</v>
      </c>
      <c r="FR79" s="231"/>
      <c r="FS79" s="230"/>
      <c r="FT79" s="183" t="str">
        <f>IF($AB79="I","",IF($AA79="","",IF(FR79="","",FR79)))</f>
        <v/>
      </c>
      <c r="FU79" s="203" t="str">
        <f t="shared" si="248"/>
        <v>OK</v>
      </c>
      <c r="FV79" s="231"/>
      <c r="FW79" s="230"/>
      <c r="FX79" s="183" t="str">
        <f>IF($AB79="I","",IF($AA79="","",IF(FV79="","",FV79)))</f>
        <v/>
      </c>
      <c r="FY79" s="203" t="str">
        <f t="shared" si="249"/>
        <v>OK</v>
      </c>
      <c r="FZ79" s="231"/>
      <c r="GA79" s="230"/>
      <c r="GB79" s="183" t="str">
        <f>IF($AB79="I","",IF($AA79="","",IF(FZ79="","",FZ79)))</f>
        <v/>
      </c>
      <c r="GC79" s="203" t="str">
        <f t="shared" si="271"/>
        <v>OK</v>
      </c>
      <c r="GD79" s="231"/>
      <c r="GE79" s="230"/>
      <c r="GF79" s="183" t="str">
        <f>IF($AB79="I","",IF($AA79="","",IF(GD79="","",GD79)))</f>
        <v/>
      </c>
      <c r="GG79" s="203" t="str">
        <f t="shared" si="272"/>
        <v>OK</v>
      </c>
      <c r="GH79" s="231"/>
      <c r="GI79" s="230"/>
      <c r="GJ79" s="183" t="str">
        <f>IF($AB79="I","",IF($AA79="","",IF(GH79="","",GH79)))</f>
        <v/>
      </c>
      <c r="GK79" s="203" t="str">
        <f t="shared" si="273"/>
        <v>OK</v>
      </c>
      <c r="GL79" s="231"/>
      <c r="GM79" s="230"/>
      <c r="GN79" s="183" t="str">
        <f>IF($AB79="I","",IF($AA79="","",IF(GL79="","",GL79)))</f>
        <v/>
      </c>
      <c r="GO79" s="203" t="str">
        <f t="shared" si="274"/>
        <v>OK</v>
      </c>
      <c r="GP79" s="231"/>
      <c r="GQ79" s="230"/>
      <c r="GR79" s="183" t="str">
        <f>IF($AB79="I","",IF($AA79="","",IF(GP79="","",GP79)))</f>
        <v/>
      </c>
      <c r="GS79" s="203" t="str">
        <f t="shared" si="250"/>
        <v>OK</v>
      </c>
      <c r="GT79" s="202"/>
      <c r="GU79" s="202"/>
      <c r="GV79" s="201"/>
      <c r="GW79" s="201"/>
      <c r="GX79" s="201"/>
    </row>
    <row r="80" spans="1:206">
      <c r="A80" s="200"/>
      <c r="B80" s="225">
        <f t="shared" si="221"/>
        <v>73</v>
      </c>
      <c r="C80" s="229"/>
      <c r="D80" s="229"/>
      <c r="E80" s="228"/>
      <c r="F80" s="222" t="s">
        <v>301</v>
      </c>
      <c r="G80" s="221"/>
      <c r="H80" s="220"/>
      <c r="I80" s="209"/>
      <c r="J80" s="217" t="s">
        <v>23</v>
      </c>
      <c r="K80" s="219"/>
      <c r="L80" s="219"/>
      <c r="M80" s="218" t="s">
        <v>300</v>
      </c>
      <c r="N80" s="217"/>
      <c r="O80" s="216"/>
      <c r="P80" s="212"/>
      <c r="Q80" s="212"/>
      <c r="R80" s="215"/>
      <c r="S80" s="214"/>
      <c r="T80" s="212"/>
      <c r="U80" s="213"/>
      <c r="V80" s="212"/>
      <c r="W80" s="211" t="str">
        <f t="shared" si="222"/>
        <v>3</v>
      </c>
      <c r="X80" s="218" t="s">
        <v>299</v>
      </c>
      <c r="Y80" s="210">
        <v>1</v>
      </c>
      <c r="Z80" s="210">
        <v>10</v>
      </c>
      <c r="AA80" s="209">
        <v>9</v>
      </c>
      <c r="AB80" s="227" t="s">
        <v>14</v>
      </c>
      <c r="AC80" s="207"/>
      <c r="AD80" s="226"/>
      <c r="AE80" s="205"/>
      <c r="AF80" s="204" t="s">
        <v>294</v>
      </c>
      <c r="AG80" s="203" t="str">
        <f t="shared" si="251"/>
        <v>NG</v>
      </c>
      <c r="AH80" s="226"/>
      <c r="AI80" s="205"/>
      <c r="AJ80" s="204" t="s">
        <v>294</v>
      </c>
      <c r="AK80" s="203" t="str">
        <f t="shared" si="252"/>
        <v>NG</v>
      </c>
      <c r="AL80" s="226"/>
      <c r="AM80" s="205"/>
      <c r="AN80" s="204" t="s">
        <v>294</v>
      </c>
      <c r="AO80" s="203" t="str">
        <f t="shared" si="253"/>
        <v>NG</v>
      </c>
      <c r="AP80" s="226"/>
      <c r="AQ80" s="205"/>
      <c r="AR80" s="204" t="s">
        <v>294</v>
      </c>
      <c r="AS80" s="203" t="str">
        <f t="shared" si="254"/>
        <v>NG</v>
      </c>
      <c r="AT80" s="226"/>
      <c r="AU80" s="205"/>
      <c r="AV80" s="204" t="s">
        <v>294</v>
      </c>
      <c r="AW80" s="203" t="str">
        <f t="shared" si="255"/>
        <v>NG</v>
      </c>
      <c r="AX80" s="226"/>
      <c r="AY80" s="205"/>
      <c r="AZ80" s="204" t="s">
        <v>294</v>
      </c>
      <c r="BA80" s="203" t="str">
        <f t="shared" si="256"/>
        <v>NG</v>
      </c>
      <c r="BB80" s="226"/>
      <c r="BC80" s="205"/>
      <c r="BD80" s="204" t="s">
        <v>294</v>
      </c>
      <c r="BE80" s="203" t="str">
        <f t="shared" si="257"/>
        <v>NG</v>
      </c>
      <c r="BF80" s="226"/>
      <c r="BG80" s="205"/>
      <c r="BH80" s="204" t="s">
        <v>294</v>
      </c>
      <c r="BI80" s="203" t="str">
        <f t="shared" si="258"/>
        <v>NG</v>
      </c>
      <c r="BJ80" s="226"/>
      <c r="BK80" s="205"/>
      <c r="BL80" s="204" t="s">
        <v>294</v>
      </c>
      <c r="BM80" s="203" t="str">
        <f t="shared" si="259"/>
        <v>NG</v>
      </c>
      <c r="BN80" s="226"/>
      <c r="BO80" s="205"/>
      <c r="BP80" s="204" t="s">
        <v>294</v>
      </c>
      <c r="BQ80" s="203" t="str">
        <f t="shared" si="260"/>
        <v>NG</v>
      </c>
      <c r="BR80" s="226"/>
      <c r="BS80" s="205"/>
      <c r="BT80" s="204" t="s">
        <v>294</v>
      </c>
      <c r="BU80" s="203" t="str">
        <f t="shared" si="261"/>
        <v>NG</v>
      </c>
      <c r="BV80" s="226"/>
      <c r="BW80" s="205"/>
      <c r="BX80" s="204" t="s">
        <v>294</v>
      </c>
      <c r="BY80" s="203" t="str">
        <f t="shared" si="262"/>
        <v>NG</v>
      </c>
      <c r="BZ80" s="226"/>
      <c r="CA80" s="205"/>
      <c r="CB80" s="204" t="s">
        <v>294</v>
      </c>
      <c r="CC80" s="203" t="str">
        <f t="shared" si="232"/>
        <v>NG</v>
      </c>
      <c r="CD80" s="226"/>
      <c r="CE80" s="205"/>
      <c r="CF80" s="204" t="s">
        <v>294</v>
      </c>
      <c r="CG80" s="203" t="str">
        <f t="shared" si="233"/>
        <v>NG</v>
      </c>
      <c r="CH80" s="226"/>
      <c r="CI80" s="205"/>
      <c r="CJ80" s="204" t="s">
        <v>294</v>
      </c>
      <c r="CK80" s="203" t="str">
        <f t="shared" si="263"/>
        <v>NG</v>
      </c>
      <c r="CL80" s="226"/>
      <c r="CM80" s="205"/>
      <c r="CN80" s="204" t="s">
        <v>294</v>
      </c>
      <c r="CO80" s="203" t="str">
        <f t="shared" si="234"/>
        <v>NG</v>
      </c>
      <c r="CP80" s="226"/>
      <c r="CQ80" s="205"/>
      <c r="CR80" s="204" t="s">
        <v>294</v>
      </c>
      <c r="CS80" s="203" t="str">
        <f t="shared" si="235"/>
        <v>NG</v>
      </c>
      <c r="CT80" s="226"/>
      <c r="CU80" s="205"/>
      <c r="CV80" s="204" t="s">
        <v>294</v>
      </c>
      <c r="CW80" s="203" t="str">
        <f t="shared" si="264"/>
        <v>NG</v>
      </c>
      <c r="CX80" s="226"/>
      <c r="CY80" s="205"/>
      <c r="CZ80" s="204" t="s">
        <v>294</v>
      </c>
      <c r="DA80" s="203" t="str">
        <f t="shared" si="236"/>
        <v>NG</v>
      </c>
      <c r="DB80" s="226"/>
      <c r="DC80" s="205"/>
      <c r="DD80" s="204" t="s">
        <v>294</v>
      </c>
      <c r="DE80" s="203" t="str">
        <f t="shared" si="237"/>
        <v>NG</v>
      </c>
      <c r="DF80" s="226"/>
      <c r="DG80" s="205"/>
      <c r="DH80" s="204" t="s">
        <v>294</v>
      </c>
      <c r="DI80" s="203" t="str">
        <f t="shared" si="265"/>
        <v>NG</v>
      </c>
      <c r="DJ80" s="226"/>
      <c r="DK80" s="205"/>
      <c r="DL80" s="204" t="s">
        <v>294</v>
      </c>
      <c r="DM80" s="203" t="str">
        <f t="shared" si="238"/>
        <v>NG</v>
      </c>
      <c r="DN80" s="226"/>
      <c r="DO80" s="205"/>
      <c r="DP80" s="204" t="s">
        <v>294</v>
      </c>
      <c r="DQ80" s="203" t="str">
        <f t="shared" si="239"/>
        <v>NG</v>
      </c>
      <c r="DR80" s="226"/>
      <c r="DS80" s="205"/>
      <c r="DT80" s="204" t="s">
        <v>294</v>
      </c>
      <c r="DU80" s="203" t="str">
        <f t="shared" si="266"/>
        <v>NG</v>
      </c>
      <c r="DV80" s="226"/>
      <c r="DW80" s="205"/>
      <c r="DX80" s="204" t="s">
        <v>294</v>
      </c>
      <c r="DY80" s="203" t="str">
        <f t="shared" si="240"/>
        <v>NG</v>
      </c>
      <c r="DZ80" s="226"/>
      <c r="EA80" s="205"/>
      <c r="EB80" s="204" t="s">
        <v>294</v>
      </c>
      <c r="EC80" s="203" t="str">
        <f t="shared" si="241"/>
        <v>NG</v>
      </c>
      <c r="ED80" s="226"/>
      <c r="EE80" s="205"/>
      <c r="EF80" s="204" t="s">
        <v>294</v>
      </c>
      <c r="EG80" s="203" t="str">
        <f t="shared" si="267"/>
        <v>NG</v>
      </c>
      <c r="EH80" s="226"/>
      <c r="EI80" s="205"/>
      <c r="EJ80" s="204" t="s">
        <v>294</v>
      </c>
      <c r="EK80" s="203" t="str">
        <f t="shared" si="242"/>
        <v>NG</v>
      </c>
      <c r="EL80" s="226"/>
      <c r="EM80" s="205"/>
      <c r="EN80" s="204" t="s">
        <v>294</v>
      </c>
      <c r="EO80" s="203" t="str">
        <f t="shared" si="243"/>
        <v>NG</v>
      </c>
      <c r="EP80" s="226"/>
      <c r="EQ80" s="205"/>
      <c r="ER80" s="204" t="s">
        <v>294</v>
      </c>
      <c r="ES80" s="203" t="str">
        <f t="shared" si="268"/>
        <v>NG</v>
      </c>
      <c r="ET80" s="226"/>
      <c r="EU80" s="205"/>
      <c r="EV80" s="204" t="s">
        <v>294</v>
      </c>
      <c r="EW80" s="203" t="str">
        <f t="shared" si="244"/>
        <v>NG</v>
      </c>
      <c r="EX80" s="226"/>
      <c r="EY80" s="205"/>
      <c r="EZ80" s="204" t="s">
        <v>294</v>
      </c>
      <c r="FA80" s="203" t="str">
        <f t="shared" si="245"/>
        <v>NG</v>
      </c>
      <c r="FB80" s="226"/>
      <c r="FC80" s="205"/>
      <c r="FD80" s="204" t="s">
        <v>294</v>
      </c>
      <c r="FE80" s="203" t="str">
        <f t="shared" si="269"/>
        <v>NG</v>
      </c>
      <c r="FF80" s="226"/>
      <c r="FG80" s="205"/>
      <c r="FH80" s="204" t="s">
        <v>294</v>
      </c>
      <c r="FI80" s="203" t="str">
        <f t="shared" si="246"/>
        <v>NG</v>
      </c>
      <c r="FJ80" s="226"/>
      <c r="FK80" s="205"/>
      <c r="FL80" s="204" t="s">
        <v>294</v>
      </c>
      <c r="FM80" s="203" t="str">
        <f t="shared" si="247"/>
        <v>NG</v>
      </c>
      <c r="FN80" s="226"/>
      <c r="FO80" s="205"/>
      <c r="FP80" s="204" t="s">
        <v>294</v>
      </c>
      <c r="FQ80" s="203" t="str">
        <f t="shared" si="270"/>
        <v>NG</v>
      </c>
      <c r="FR80" s="226"/>
      <c r="FS80" s="205"/>
      <c r="FT80" s="204" t="s">
        <v>294</v>
      </c>
      <c r="FU80" s="203" t="str">
        <f t="shared" si="248"/>
        <v>NG</v>
      </c>
      <c r="FV80" s="226"/>
      <c r="FW80" s="205"/>
      <c r="FX80" s="204" t="s">
        <v>294</v>
      </c>
      <c r="FY80" s="203" t="str">
        <f t="shared" si="249"/>
        <v>NG</v>
      </c>
      <c r="FZ80" s="226"/>
      <c r="GA80" s="205"/>
      <c r="GB80" s="204" t="s">
        <v>294</v>
      </c>
      <c r="GC80" s="203" t="str">
        <f t="shared" si="271"/>
        <v>NG</v>
      </c>
      <c r="GD80" s="226"/>
      <c r="GE80" s="205"/>
      <c r="GF80" s="204" t="s">
        <v>294</v>
      </c>
      <c r="GG80" s="203" t="str">
        <f t="shared" si="272"/>
        <v>NG</v>
      </c>
      <c r="GH80" s="226"/>
      <c r="GI80" s="205"/>
      <c r="GJ80" s="204" t="s">
        <v>294</v>
      </c>
      <c r="GK80" s="203" t="str">
        <f t="shared" si="273"/>
        <v>NG</v>
      </c>
      <c r="GL80" s="226"/>
      <c r="GM80" s="205"/>
      <c r="GN80" s="204" t="s">
        <v>294</v>
      </c>
      <c r="GO80" s="203" t="str">
        <f t="shared" si="274"/>
        <v>NG</v>
      </c>
      <c r="GP80" s="226"/>
      <c r="GQ80" s="205"/>
      <c r="GR80" s="204" t="s">
        <v>294</v>
      </c>
      <c r="GS80" s="203" t="str">
        <f t="shared" si="250"/>
        <v>NG</v>
      </c>
      <c r="GT80" s="202"/>
      <c r="GU80" s="202"/>
      <c r="GV80" s="201"/>
      <c r="GW80" s="201"/>
      <c r="GX80" s="201"/>
    </row>
    <row r="81" spans="1:206">
      <c r="A81" s="200" t="s">
        <v>298</v>
      </c>
      <c r="B81" s="225">
        <f t="shared" si="221"/>
        <v>74</v>
      </c>
      <c r="C81" s="224"/>
      <c r="D81" s="224"/>
      <c r="E81" s="223"/>
      <c r="F81" s="222" t="s">
        <v>297</v>
      </c>
      <c r="G81" s="221"/>
      <c r="H81" s="220"/>
      <c r="I81" s="209"/>
      <c r="J81" s="217" t="s">
        <v>23</v>
      </c>
      <c r="K81" s="219"/>
      <c r="L81" s="219"/>
      <c r="M81" s="218" t="s">
        <v>296</v>
      </c>
      <c r="N81" s="217"/>
      <c r="O81" s="216"/>
      <c r="P81" s="212"/>
      <c r="Q81" s="212"/>
      <c r="R81" s="215"/>
      <c r="S81" s="214"/>
      <c r="T81" s="212"/>
      <c r="U81" s="213"/>
      <c r="V81" s="212"/>
      <c r="W81" s="211" t="str">
        <f t="shared" si="222"/>
        <v>3</v>
      </c>
      <c r="X81" s="210" t="s">
        <v>295</v>
      </c>
      <c r="Y81" s="210">
        <v>9</v>
      </c>
      <c r="Z81" s="210">
        <v>9</v>
      </c>
      <c r="AA81" s="209" t="s">
        <v>54</v>
      </c>
      <c r="AB81" s="208" t="s">
        <v>14</v>
      </c>
      <c r="AC81" s="207"/>
      <c r="AD81" s="206"/>
      <c r="AE81" s="205"/>
      <c r="AF81" s="204" t="s">
        <v>294</v>
      </c>
      <c r="AG81" s="203" t="str">
        <f t="shared" si="251"/>
        <v>NG</v>
      </c>
      <c r="AH81" s="206"/>
      <c r="AI81" s="205"/>
      <c r="AJ81" s="204" t="s">
        <v>294</v>
      </c>
      <c r="AK81" s="203" t="str">
        <f t="shared" si="252"/>
        <v>NG</v>
      </c>
      <c r="AL81" s="206"/>
      <c r="AM81" s="205"/>
      <c r="AN81" s="204" t="s">
        <v>294</v>
      </c>
      <c r="AO81" s="203" t="str">
        <f t="shared" si="253"/>
        <v>NG</v>
      </c>
      <c r="AP81" s="206"/>
      <c r="AQ81" s="205"/>
      <c r="AR81" s="204" t="s">
        <v>294</v>
      </c>
      <c r="AS81" s="203" t="str">
        <f t="shared" si="254"/>
        <v>NG</v>
      </c>
      <c r="AT81" s="206"/>
      <c r="AU81" s="205"/>
      <c r="AV81" s="204" t="s">
        <v>294</v>
      </c>
      <c r="AW81" s="203" t="str">
        <f t="shared" si="255"/>
        <v>NG</v>
      </c>
      <c r="AX81" s="206"/>
      <c r="AY81" s="205"/>
      <c r="AZ81" s="204" t="s">
        <v>294</v>
      </c>
      <c r="BA81" s="203" t="str">
        <f t="shared" si="256"/>
        <v>NG</v>
      </c>
      <c r="BB81" s="206"/>
      <c r="BC81" s="205"/>
      <c r="BD81" s="204" t="s">
        <v>294</v>
      </c>
      <c r="BE81" s="203" t="str">
        <f t="shared" si="257"/>
        <v>NG</v>
      </c>
      <c r="BF81" s="206"/>
      <c r="BG81" s="205"/>
      <c r="BH81" s="204" t="s">
        <v>294</v>
      </c>
      <c r="BI81" s="203" t="str">
        <f t="shared" si="258"/>
        <v>NG</v>
      </c>
      <c r="BJ81" s="206"/>
      <c r="BK81" s="205"/>
      <c r="BL81" s="204" t="s">
        <v>294</v>
      </c>
      <c r="BM81" s="203" t="str">
        <f t="shared" si="259"/>
        <v>NG</v>
      </c>
      <c r="BN81" s="206"/>
      <c r="BO81" s="205"/>
      <c r="BP81" s="204" t="s">
        <v>294</v>
      </c>
      <c r="BQ81" s="203" t="str">
        <f t="shared" si="260"/>
        <v>NG</v>
      </c>
      <c r="BR81" s="206"/>
      <c r="BS81" s="205"/>
      <c r="BT81" s="204" t="s">
        <v>294</v>
      </c>
      <c r="BU81" s="203" t="str">
        <f t="shared" si="261"/>
        <v>NG</v>
      </c>
      <c r="BV81" s="206"/>
      <c r="BW81" s="205"/>
      <c r="BX81" s="204" t="s">
        <v>294</v>
      </c>
      <c r="BY81" s="203" t="str">
        <f t="shared" si="262"/>
        <v>NG</v>
      </c>
      <c r="BZ81" s="206"/>
      <c r="CA81" s="205"/>
      <c r="CB81" s="204" t="s">
        <v>294</v>
      </c>
      <c r="CC81" s="203" t="str">
        <f t="shared" si="232"/>
        <v>NG</v>
      </c>
      <c r="CD81" s="206"/>
      <c r="CE81" s="205"/>
      <c r="CF81" s="204" t="s">
        <v>294</v>
      </c>
      <c r="CG81" s="203" t="str">
        <f t="shared" si="233"/>
        <v>NG</v>
      </c>
      <c r="CH81" s="206"/>
      <c r="CI81" s="205"/>
      <c r="CJ81" s="204" t="s">
        <v>294</v>
      </c>
      <c r="CK81" s="203" t="str">
        <f t="shared" si="263"/>
        <v>NG</v>
      </c>
      <c r="CL81" s="206"/>
      <c r="CM81" s="205"/>
      <c r="CN81" s="204" t="s">
        <v>294</v>
      </c>
      <c r="CO81" s="203" t="str">
        <f t="shared" si="234"/>
        <v>NG</v>
      </c>
      <c r="CP81" s="206"/>
      <c r="CQ81" s="205"/>
      <c r="CR81" s="204" t="s">
        <v>294</v>
      </c>
      <c r="CS81" s="203" t="str">
        <f t="shared" si="235"/>
        <v>NG</v>
      </c>
      <c r="CT81" s="206"/>
      <c r="CU81" s="205"/>
      <c r="CV81" s="204" t="s">
        <v>294</v>
      </c>
      <c r="CW81" s="203" t="str">
        <f t="shared" si="264"/>
        <v>NG</v>
      </c>
      <c r="CX81" s="206"/>
      <c r="CY81" s="205"/>
      <c r="CZ81" s="204" t="s">
        <v>294</v>
      </c>
      <c r="DA81" s="203" t="str">
        <f t="shared" si="236"/>
        <v>NG</v>
      </c>
      <c r="DB81" s="206"/>
      <c r="DC81" s="205"/>
      <c r="DD81" s="204" t="s">
        <v>294</v>
      </c>
      <c r="DE81" s="203" t="str">
        <f t="shared" si="237"/>
        <v>NG</v>
      </c>
      <c r="DF81" s="206"/>
      <c r="DG81" s="205"/>
      <c r="DH81" s="204" t="s">
        <v>294</v>
      </c>
      <c r="DI81" s="203" t="str">
        <f t="shared" si="265"/>
        <v>NG</v>
      </c>
      <c r="DJ81" s="206"/>
      <c r="DK81" s="205"/>
      <c r="DL81" s="204" t="s">
        <v>294</v>
      </c>
      <c r="DM81" s="203" t="str">
        <f t="shared" si="238"/>
        <v>NG</v>
      </c>
      <c r="DN81" s="206"/>
      <c r="DO81" s="205"/>
      <c r="DP81" s="204" t="s">
        <v>294</v>
      </c>
      <c r="DQ81" s="203" t="str">
        <f t="shared" si="239"/>
        <v>NG</v>
      </c>
      <c r="DR81" s="206"/>
      <c r="DS81" s="205"/>
      <c r="DT81" s="204" t="s">
        <v>294</v>
      </c>
      <c r="DU81" s="203" t="str">
        <f t="shared" si="266"/>
        <v>NG</v>
      </c>
      <c r="DV81" s="206"/>
      <c r="DW81" s="205"/>
      <c r="DX81" s="204" t="s">
        <v>294</v>
      </c>
      <c r="DY81" s="203" t="str">
        <f t="shared" si="240"/>
        <v>NG</v>
      </c>
      <c r="DZ81" s="206"/>
      <c r="EA81" s="205"/>
      <c r="EB81" s="204" t="s">
        <v>294</v>
      </c>
      <c r="EC81" s="203" t="str">
        <f t="shared" si="241"/>
        <v>NG</v>
      </c>
      <c r="ED81" s="206"/>
      <c r="EE81" s="205"/>
      <c r="EF81" s="204" t="s">
        <v>294</v>
      </c>
      <c r="EG81" s="203" t="str">
        <f t="shared" si="267"/>
        <v>NG</v>
      </c>
      <c r="EH81" s="206"/>
      <c r="EI81" s="205"/>
      <c r="EJ81" s="204" t="s">
        <v>294</v>
      </c>
      <c r="EK81" s="203" t="str">
        <f t="shared" si="242"/>
        <v>NG</v>
      </c>
      <c r="EL81" s="206"/>
      <c r="EM81" s="205"/>
      <c r="EN81" s="204" t="s">
        <v>294</v>
      </c>
      <c r="EO81" s="203" t="str">
        <f t="shared" si="243"/>
        <v>NG</v>
      </c>
      <c r="EP81" s="206"/>
      <c r="EQ81" s="205"/>
      <c r="ER81" s="204" t="s">
        <v>294</v>
      </c>
      <c r="ES81" s="203" t="str">
        <f t="shared" si="268"/>
        <v>NG</v>
      </c>
      <c r="ET81" s="206"/>
      <c r="EU81" s="205"/>
      <c r="EV81" s="204" t="s">
        <v>294</v>
      </c>
      <c r="EW81" s="203" t="str">
        <f t="shared" si="244"/>
        <v>NG</v>
      </c>
      <c r="EX81" s="206"/>
      <c r="EY81" s="205"/>
      <c r="EZ81" s="204" t="s">
        <v>294</v>
      </c>
      <c r="FA81" s="203" t="str">
        <f t="shared" si="245"/>
        <v>NG</v>
      </c>
      <c r="FB81" s="206"/>
      <c r="FC81" s="205"/>
      <c r="FD81" s="204" t="s">
        <v>294</v>
      </c>
      <c r="FE81" s="203" t="str">
        <f t="shared" si="269"/>
        <v>NG</v>
      </c>
      <c r="FF81" s="206"/>
      <c r="FG81" s="205"/>
      <c r="FH81" s="204" t="s">
        <v>294</v>
      </c>
      <c r="FI81" s="203" t="str">
        <f t="shared" si="246"/>
        <v>NG</v>
      </c>
      <c r="FJ81" s="206"/>
      <c r="FK81" s="205"/>
      <c r="FL81" s="204" t="s">
        <v>294</v>
      </c>
      <c r="FM81" s="203" t="str">
        <f t="shared" si="247"/>
        <v>NG</v>
      </c>
      <c r="FN81" s="206"/>
      <c r="FO81" s="205"/>
      <c r="FP81" s="204" t="s">
        <v>294</v>
      </c>
      <c r="FQ81" s="203" t="str">
        <f t="shared" si="270"/>
        <v>NG</v>
      </c>
      <c r="FR81" s="206"/>
      <c r="FS81" s="205"/>
      <c r="FT81" s="204" t="s">
        <v>294</v>
      </c>
      <c r="FU81" s="203" t="str">
        <f t="shared" si="248"/>
        <v>NG</v>
      </c>
      <c r="FV81" s="206"/>
      <c r="FW81" s="205"/>
      <c r="FX81" s="204" t="s">
        <v>294</v>
      </c>
      <c r="FY81" s="203" t="str">
        <f t="shared" si="249"/>
        <v>NG</v>
      </c>
      <c r="FZ81" s="206"/>
      <c r="GA81" s="205"/>
      <c r="GB81" s="204" t="s">
        <v>294</v>
      </c>
      <c r="GC81" s="203" t="str">
        <f t="shared" si="271"/>
        <v>NG</v>
      </c>
      <c r="GD81" s="206"/>
      <c r="GE81" s="205"/>
      <c r="GF81" s="204" t="s">
        <v>294</v>
      </c>
      <c r="GG81" s="203" t="str">
        <f t="shared" si="272"/>
        <v>NG</v>
      </c>
      <c r="GH81" s="206"/>
      <c r="GI81" s="205"/>
      <c r="GJ81" s="204" t="s">
        <v>294</v>
      </c>
      <c r="GK81" s="203" t="str">
        <f t="shared" si="273"/>
        <v>NG</v>
      </c>
      <c r="GL81" s="206"/>
      <c r="GM81" s="205"/>
      <c r="GN81" s="204" t="s">
        <v>294</v>
      </c>
      <c r="GO81" s="203" t="str">
        <f t="shared" si="274"/>
        <v>NG</v>
      </c>
      <c r="GP81" s="206"/>
      <c r="GQ81" s="205"/>
      <c r="GR81" s="204" t="s">
        <v>294</v>
      </c>
      <c r="GS81" s="203" t="str">
        <f t="shared" si="250"/>
        <v>NG</v>
      </c>
      <c r="GT81" s="202"/>
      <c r="GU81" s="202"/>
      <c r="GV81" s="201"/>
      <c r="GW81" s="201"/>
      <c r="GX81" s="201"/>
    </row>
    <row r="82" spans="1:206" ht="13.15" thickBot="1">
      <c r="A82" s="200"/>
      <c r="B82" s="199"/>
      <c r="C82" s="198"/>
      <c r="D82" s="197"/>
      <c r="E82" s="197"/>
      <c r="F82" s="197"/>
      <c r="G82" s="197"/>
      <c r="H82" s="196"/>
      <c r="I82" s="195"/>
      <c r="J82" s="195"/>
      <c r="K82" s="187"/>
      <c r="L82" s="187"/>
      <c r="M82" s="186"/>
      <c r="N82" s="187"/>
      <c r="O82" s="194"/>
      <c r="P82" s="193"/>
      <c r="Q82" s="192"/>
      <c r="R82" s="191"/>
      <c r="S82" s="192"/>
      <c r="T82" s="192"/>
      <c r="U82" s="191"/>
      <c r="V82" s="190"/>
      <c r="W82" s="189"/>
      <c r="X82" s="188"/>
      <c r="Y82" s="188"/>
      <c r="Z82" s="188"/>
      <c r="AA82" s="187"/>
      <c r="AB82" s="187"/>
      <c r="AC82" s="186"/>
      <c r="AD82" s="185"/>
      <c r="AE82" s="184"/>
      <c r="AF82" s="183"/>
      <c r="AG82" s="182"/>
      <c r="AH82" s="185"/>
      <c r="AI82" s="184"/>
      <c r="AJ82" s="183"/>
      <c r="AK82" s="182"/>
      <c r="AL82" s="185"/>
      <c r="AM82" s="184"/>
      <c r="AN82" s="183"/>
      <c r="AO82" s="182"/>
      <c r="AP82" s="185"/>
      <c r="AQ82" s="184"/>
      <c r="AR82" s="183"/>
      <c r="AS82" s="182"/>
      <c r="AT82" s="185"/>
      <c r="AU82" s="184"/>
      <c r="AV82" s="183"/>
      <c r="AW82" s="182"/>
      <c r="AX82" s="185"/>
      <c r="AY82" s="184"/>
      <c r="AZ82" s="183"/>
      <c r="BA82" s="182"/>
      <c r="BB82" s="185"/>
      <c r="BC82" s="184"/>
      <c r="BD82" s="183"/>
      <c r="BE82" s="182"/>
      <c r="BF82" s="185"/>
      <c r="BG82" s="184"/>
      <c r="BH82" s="183"/>
      <c r="BI82" s="182"/>
      <c r="BJ82" s="185"/>
      <c r="BK82" s="184"/>
      <c r="BL82" s="183"/>
      <c r="BM82" s="182"/>
      <c r="BN82" s="185"/>
      <c r="BO82" s="184"/>
      <c r="BP82" s="183"/>
      <c r="BQ82" s="182"/>
      <c r="BR82" s="185"/>
      <c r="BS82" s="184"/>
      <c r="BT82" s="183"/>
      <c r="BU82" s="182"/>
      <c r="BV82" s="185"/>
      <c r="BW82" s="184"/>
      <c r="BX82" s="183"/>
      <c r="BY82" s="182"/>
      <c r="BZ82" s="185"/>
      <c r="CA82" s="184"/>
      <c r="CB82" s="183"/>
      <c r="CC82" s="182"/>
      <c r="CD82" s="185"/>
      <c r="CE82" s="184"/>
      <c r="CF82" s="183"/>
      <c r="CG82" s="182"/>
      <c r="CH82" s="185"/>
      <c r="CI82" s="184"/>
      <c r="CJ82" s="183"/>
      <c r="CK82" s="182"/>
      <c r="CL82" s="185"/>
      <c r="CM82" s="184"/>
      <c r="CN82" s="183"/>
      <c r="CO82" s="182"/>
      <c r="CP82" s="185"/>
      <c r="CQ82" s="184"/>
      <c r="CR82" s="183"/>
      <c r="CS82" s="182"/>
      <c r="CT82" s="185"/>
      <c r="CU82" s="184"/>
      <c r="CV82" s="183"/>
      <c r="CW82" s="182"/>
      <c r="CX82" s="185"/>
      <c r="CY82" s="184"/>
      <c r="CZ82" s="183"/>
      <c r="DA82" s="182"/>
      <c r="DB82" s="185"/>
      <c r="DC82" s="184"/>
      <c r="DD82" s="183"/>
      <c r="DE82" s="182"/>
      <c r="DF82" s="185"/>
      <c r="DG82" s="184"/>
      <c r="DH82" s="183"/>
      <c r="DI82" s="182"/>
      <c r="DJ82" s="185"/>
      <c r="DK82" s="184"/>
      <c r="DL82" s="183"/>
      <c r="DM82" s="182"/>
      <c r="DN82" s="185"/>
      <c r="DO82" s="184"/>
      <c r="DP82" s="183"/>
      <c r="DQ82" s="182"/>
      <c r="DR82" s="185"/>
      <c r="DS82" s="184"/>
      <c r="DT82" s="183"/>
      <c r="DU82" s="182"/>
      <c r="DV82" s="185"/>
      <c r="DW82" s="184"/>
      <c r="DX82" s="183"/>
      <c r="DY82" s="182"/>
      <c r="DZ82" s="185"/>
      <c r="EA82" s="184"/>
      <c r="EB82" s="183"/>
      <c r="EC82" s="182"/>
      <c r="ED82" s="185"/>
      <c r="EE82" s="184"/>
      <c r="EF82" s="183"/>
      <c r="EG82" s="182"/>
      <c r="EH82" s="185"/>
      <c r="EI82" s="184"/>
      <c r="EJ82" s="183"/>
      <c r="EK82" s="182"/>
      <c r="EL82" s="185"/>
      <c r="EM82" s="184"/>
      <c r="EN82" s="183"/>
      <c r="EO82" s="182"/>
      <c r="EP82" s="185"/>
      <c r="EQ82" s="184"/>
      <c r="ER82" s="183"/>
      <c r="ES82" s="182"/>
      <c r="ET82" s="185"/>
      <c r="EU82" s="184"/>
      <c r="EV82" s="183"/>
      <c r="EW82" s="182"/>
      <c r="EX82" s="185"/>
      <c r="EY82" s="184"/>
      <c r="EZ82" s="183"/>
      <c r="FA82" s="182"/>
      <c r="FB82" s="185"/>
      <c r="FC82" s="184"/>
      <c r="FD82" s="183"/>
      <c r="FE82" s="182"/>
      <c r="FF82" s="185"/>
      <c r="FG82" s="184"/>
      <c r="FH82" s="183"/>
      <c r="FI82" s="182"/>
      <c r="FJ82" s="185"/>
      <c r="FK82" s="184"/>
      <c r="FL82" s="183"/>
      <c r="FM82" s="182"/>
      <c r="FN82" s="185"/>
      <c r="FO82" s="184"/>
      <c r="FP82" s="183"/>
      <c r="FQ82" s="182"/>
      <c r="FR82" s="185"/>
      <c r="FS82" s="184"/>
      <c r="FT82" s="183"/>
      <c r="FU82" s="182"/>
      <c r="FV82" s="185"/>
      <c r="FW82" s="184"/>
      <c r="FX82" s="183"/>
      <c r="FY82" s="182"/>
      <c r="FZ82" s="185"/>
      <c r="GA82" s="184"/>
      <c r="GB82" s="183"/>
      <c r="GC82" s="182"/>
      <c r="GD82" s="185"/>
      <c r="GE82" s="184"/>
      <c r="GF82" s="183"/>
      <c r="GG82" s="182"/>
      <c r="GH82" s="185"/>
      <c r="GI82" s="184"/>
      <c r="GJ82" s="183"/>
      <c r="GK82" s="182"/>
      <c r="GL82" s="185"/>
      <c r="GM82" s="184"/>
      <c r="GN82" s="183"/>
      <c r="GO82" s="182"/>
      <c r="GP82" s="185"/>
      <c r="GQ82" s="184"/>
      <c r="GR82" s="183"/>
      <c r="GS82" s="182"/>
      <c r="GT82" s="181"/>
      <c r="GU82" s="180"/>
      <c r="GV82" s="173"/>
      <c r="GW82" s="173"/>
      <c r="GX82" s="173"/>
    </row>
    <row r="83" spans="1:206">
      <c r="A83" s="173"/>
      <c r="B83" s="177"/>
      <c r="C83" s="177"/>
      <c r="D83" s="175"/>
      <c r="E83" s="175"/>
      <c r="F83" s="173"/>
      <c r="G83" s="173"/>
      <c r="H83" s="173"/>
      <c r="I83" s="173"/>
      <c r="J83" s="173"/>
      <c r="K83" s="173"/>
      <c r="L83" s="173"/>
      <c r="M83" s="173"/>
      <c r="N83" s="173"/>
      <c r="O83" s="175"/>
      <c r="P83" s="175"/>
      <c r="Q83" s="175"/>
      <c r="R83" s="175"/>
      <c r="S83" s="175"/>
      <c r="T83" s="175"/>
      <c r="U83" s="175"/>
      <c r="V83" s="175"/>
      <c r="W83" s="175"/>
      <c r="X83" s="175"/>
      <c r="Y83" s="175"/>
      <c r="Z83" s="173"/>
      <c r="AA83" s="175"/>
      <c r="AB83" s="173"/>
      <c r="AC83" s="173"/>
      <c r="AD83" s="179"/>
      <c r="AE83" s="179"/>
      <c r="AF83" s="179"/>
      <c r="AG83" s="178"/>
      <c r="AH83" s="179"/>
      <c r="AI83" s="179"/>
      <c r="AJ83" s="179"/>
      <c r="AK83" s="178"/>
      <c r="AL83" s="179"/>
      <c r="AM83" s="179"/>
      <c r="AN83" s="179"/>
      <c r="AO83" s="178"/>
      <c r="AP83" s="179"/>
      <c r="AQ83" s="179"/>
      <c r="AR83" s="179"/>
      <c r="AS83" s="178"/>
      <c r="AT83" s="179"/>
      <c r="AU83" s="179"/>
      <c r="AV83" s="179"/>
      <c r="AW83" s="178"/>
      <c r="AX83" s="179"/>
      <c r="AY83" s="179"/>
      <c r="AZ83" s="179"/>
      <c r="BA83" s="178"/>
      <c r="BB83" s="179"/>
      <c r="BC83" s="179"/>
      <c r="BD83" s="179"/>
      <c r="BE83" s="178"/>
      <c r="BF83" s="179"/>
      <c r="BG83" s="179"/>
      <c r="BH83" s="179"/>
      <c r="BI83" s="178"/>
      <c r="BJ83" s="179"/>
      <c r="BK83" s="179"/>
      <c r="BL83" s="179"/>
      <c r="BM83" s="178"/>
      <c r="BN83" s="179"/>
      <c r="BO83" s="179"/>
      <c r="BP83" s="179"/>
      <c r="BQ83" s="178"/>
      <c r="BR83" s="179"/>
      <c r="BS83" s="179"/>
      <c r="BT83" s="179"/>
      <c r="BU83" s="178"/>
      <c r="BV83" s="179"/>
      <c r="BW83" s="179"/>
      <c r="BX83" s="179"/>
      <c r="BY83" s="178"/>
      <c r="BZ83" s="179"/>
      <c r="CA83" s="179"/>
      <c r="CB83" s="179"/>
      <c r="CC83" s="178"/>
      <c r="CD83" s="179"/>
      <c r="CE83" s="179"/>
      <c r="CF83" s="179"/>
      <c r="CG83" s="178"/>
      <c r="CH83" s="179"/>
      <c r="CI83" s="179"/>
      <c r="CJ83" s="179"/>
      <c r="CK83" s="178"/>
      <c r="CL83" s="179"/>
      <c r="CM83" s="179"/>
      <c r="CN83" s="179"/>
      <c r="CO83" s="178"/>
      <c r="CP83" s="179"/>
      <c r="CQ83" s="179"/>
      <c r="CR83" s="179"/>
      <c r="CS83" s="178"/>
      <c r="CT83" s="179"/>
      <c r="CU83" s="179"/>
      <c r="CV83" s="179"/>
      <c r="CW83" s="178"/>
      <c r="CX83" s="179"/>
      <c r="CY83" s="179"/>
      <c r="CZ83" s="179"/>
      <c r="DA83" s="178"/>
      <c r="DB83" s="179"/>
      <c r="DC83" s="179"/>
      <c r="DD83" s="179"/>
      <c r="DE83" s="178"/>
      <c r="DF83" s="179"/>
      <c r="DG83" s="179"/>
      <c r="DH83" s="179"/>
      <c r="DI83" s="178"/>
      <c r="DJ83" s="179"/>
      <c r="DK83" s="179"/>
      <c r="DL83" s="179"/>
      <c r="DM83" s="178"/>
      <c r="DN83" s="179"/>
      <c r="DO83" s="179"/>
      <c r="DP83" s="179"/>
      <c r="DQ83" s="178"/>
      <c r="DR83" s="179"/>
      <c r="DS83" s="179"/>
      <c r="DT83" s="179"/>
      <c r="DU83" s="178"/>
      <c r="DV83" s="179"/>
      <c r="DW83" s="179"/>
      <c r="DX83" s="179"/>
      <c r="DY83" s="178"/>
      <c r="DZ83" s="179"/>
      <c r="EA83" s="179"/>
      <c r="EB83" s="179"/>
      <c r="EC83" s="178"/>
      <c r="ED83" s="179"/>
      <c r="EE83" s="179"/>
      <c r="EF83" s="179"/>
      <c r="EG83" s="178"/>
      <c r="EH83" s="179"/>
      <c r="EI83" s="179"/>
      <c r="EJ83" s="179"/>
      <c r="EK83" s="178"/>
      <c r="EL83" s="179"/>
      <c r="EM83" s="179"/>
      <c r="EN83" s="179"/>
      <c r="EO83" s="178"/>
      <c r="EP83" s="179"/>
      <c r="EQ83" s="179"/>
      <c r="ER83" s="179"/>
      <c r="ES83" s="178"/>
      <c r="ET83" s="179"/>
      <c r="EU83" s="179"/>
      <c r="EV83" s="179"/>
      <c r="EW83" s="178"/>
      <c r="EX83" s="179"/>
      <c r="EY83" s="179"/>
      <c r="EZ83" s="179"/>
      <c r="FA83" s="178"/>
      <c r="FB83" s="179"/>
      <c r="FC83" s="179"/>
      <c r="FD83" s="179"/>
      <c r="FE83" s="178"/>
      <c r="FF83" s="179"/>
      <c r="FG83" s="179"/>
      <c r="FH83" s="179"/>
      <c r="FI83" s="178"/>
      <c r="FJ83" s="179"/>
      <c r="FK83" s="179"/>
      <c r="FL83" s="179"/>
      <c r="FM83" s="178"/>
      <c r="FN83" s="179"/>
      <c r="FO83" s="179"/>
      <c r="FP83" s="179"/>
      <c r="FQ83" s="178"/>
      <c r="FR83" s="179"/>
      <c r="FS83" s="179"/>
      <c r="FT83" s="179"/>
      <c r="FU83" s="178"/>
      <c r="FV83" s="179"/>
      <c r="FW83" s="179"/>
      <c r="FX83" s="179"/>
      <c r="FY83" s="178"/>
      <c r="FZ83" s="179"/>
      <c r="GA83" s="179"/>
      <c r="GB83" s="179"/>
      <c r="GC83" s="178"/>
      <c r="GD83" s="179"/>
      <c r="GE83" s="179"/>
      <c r="GF83" s="179"/>
      <c r="GG83" s="178"/>
      <c r="GH83" s="179"/>
      <c r="GI83" s="179"/>
      <c r="GJ83" s="179"/>
      <c r="GK83" s="178"/>
      <c r="GL83" s="179"/>
      <c r="GM83" s="179"/>
      <c r="GN83" s="179"/>
      <c r="GO83" s="178"/>
      <c r="GP83" s="179"/>
      <c r="GQ83" s="179"/>
      <c r="GR83" s="179"/>
      <c r="GS83" s="178"/>
      <c r="GT83" s="178"/>
      <c r="GU83" s="178"/>
      <c r="GV83" s="173"/>
      <c r="GW83" s="173"/>
      <c r="GX83" s="173"/>
    </row>
    <row r="84" spans="1:206">
      <c r="A84" s="173"/>
      <c r="B84" s="177"/>
      <c r="C84" s="177"/>
      <c r="D84" s="176"/>
      <c r="E84" s="175"/>
      <c r="F84" s="173"/>
      <c r="G84" s="173"/>
      <c r="H84" s="173"/>
      <c r="I84" s="173"/>
      <c r="J84" s="173"/>
      <c r="K84" s="173"/>
      <c r="L84" s="173"/>
      <c r="M84" s="173"/>
      <c r="N84" s="173"/>
      <c r="O84" s="175"/>
      <c r="P84" s="175"/>
      <c r="Q84" s="175"/>
      <c r="R84" s="175"/>
      <c r="S84" s="175"/>
      <c r="T84" s="175"/>
      <c r="U84" s="175"/>
      <c r="V84" s="175"/>
      <c r="W84" s="175"/>
      <c r="X84" s="175"/>
      <c r="Y84" s="175"/>
      <c r="Z84" s="173"/>
      <c r="AA84" s="175"/>
      <c r="AB84" s="173"/>
      <c r="AC84" s="173"/>
      <c r="AD84" s="174"/>
      <c r="AE84" s="174"/>
      <c r="AF84" s="174"/>
      <c r="AG84" s="174"/>
      <c r="AH84" s="174"/>
      <c r="AI84" s="174"/>
      <c r="AJ84" s="174"/>
      <c r="AK84" s="174"/>
      <c r="AL84" s="174"/>
      <c r="AM84" s="174"/>
      <c r="AN84" s="174"/>
      <c r="AO84" s="174"/>
      <c r="AP84" s="174"/>
      <c r="AQ84" s="174"/>
      <c r="AR84" s="174"/>
      <c r="AS84" s="174"/>
      <c r="AT84" s="174"/>
      <c r="AU84" s="174"/>
      <c r="AV84" s="174"/>
      <c r="AW84" s="174"/>
      <c r="AX84" s="174"/>
      <c r="AY84" s="174"/>
      <c r="AZ84" s="174"/>
      <c r="BA84" s="174"/>
      <c r="BB84" s="174"/>
      <c r="BC84" s="174"/>
      <c r="BD84" s="174"/>
      <c r="BE84" s="174"/>
      <c r="BF84" s="174"/>
      <c r="BG84" s="174"/>
      <c r="BH84" s="174"/>
      <c r="BI84" s="174"/>
      <c r="BJ84" s="174"/>
      <c r="BK84" s="174"/>
      <c r="BL84" s="174"/>
      <c r="BM84" s="174"/>
      <c r="BN84" s="174"/>
      <c r="BO84" s="174"/>
      <c r="BP84" s="174"/>
      <c r="BQ84" s="174"/>
      <c r="BR84" s="174"/>
      <c r="BS84" s="174"/>
      <c r="BT84" s="174"/>
      <c r="BU84" s="174"/>
      <c r="BV84" s="174"/>
      <c r="BW84" s="174"/>
      <c r="BX84" s="174"/>
      <c r="BY84" s="174"/>
      <c r="BZ84" s="174"/>
      <c r="CA84" s="174"/>
      <c r="CB84" s="174"/>
      <c r="CC84" s="174"/>
      <c r="CD84" s="174"/>
      <c r="CE84" s="174"/>
      <c r="CF84" s="174"/>
      <c r="CG84" s="174"/>
      <c r="CH84" s="174"/>
      <c r="CI84" s="174"/>
      <c r="CJ84" s="174"/>
      <c r="CK84" s="174"/>
      <c r="CL84" s="174"/>
      <c r="CM84" s="174"/>
      <c r="CN84" s="174"/>
      <c r="CO84" s="174"/>
      <c r="CP84" s="174"/>
      <c r="CQ84" s="174"/>
      <c r="CR84" s="174"/>
      <c r="CS84" s="174"/>
      <c r="CT84" s="174"/>
      <c r="CU84" s="174"/>
      <c r="CV84" s="174"/>
      <c r="CW84" s="174"/>
      <c r="CX84" s="174"/>
      <c r="CY84" s="174"/>
      <c r="CZ84" s="174"/>
      <c r="DA84" s="174"/>
      <c r="DB84" s="174"/>
      <c r="DC84" s="174"/>
      <c r="DD84" s="174"/>
      <c r="DE84" s="174"/>
      <c r="DF84" s="174"/>
      <c r="DG84" s="174"/>
      <c r="DH84" s="174"/>
      <c r="DI84" s="174"/>
      <c r="DJ84" s="174"/>
      <c r="DK84" s="174"/>
      <c r="DL84" s="174"/>
      <c r="DM84" s="174"/>
      <c r="DN84" s="174"/>
      <c r="DO84" s="174"/>
      <c r="DP84" s="174"/>
      <c r="DQ84" s="174"/>
      <c r="DR84" s="174"/>
      <c r="DS84" s="174"/>
      <c r="DT84" s="174"/>
      <c r="DU84" s="174"/>
      <c r="DV84" s="174"/>
      <c r="DW84" s="174"/>
      <c r="DX84" s="174"/>
      <c r="DY84" s="174"/>
      <c r="DZ84" s="174"/>
      <c r="EA84" s="174"/>
      <c r="EB84" s="174"/>
      <c r="EC84" s="174"/>
      <c r="ED84" s="174"/>
      <c r="EE84" s="174"/>
      <c r="EF84" s="174"/>
      <c r="EG84" s="174"/>
      <c r="EH84" s="174"/>
      <c r="EI84" s="174"/>
      <c r="EJ84" s="174"/>
      <c r="EK84" s="174"/>
      <c r="EL84" s="174"/>
      <c r="EM84" s="174"/>
      <c r="EN84" s="174"/>
      <c r="EO84" s="174"/>
      <c r="EP84" s="174"/>
      <c r="EQ84" s="174"/>
      <c r="ER84" s="174"/>
      <c r="ES84" s="174"/>
      <c r="ET84" s="174"/>
      <c r="EU84" s="174"/>
      <c r="EV84" s="174"/>
      <c r="EW84" s="174"/>
      <c r="EX84" s="174"/>
      <c r="EY84" s="174"/>
      <c r="EZ84" s="174"/>
      <c r="FA84" s="174"/>
      <c r="FB84" s="174"/>
      <c r="FC84" s="174"/>
      <c r="FD84" s="174"/>
      <c r="FE84" s="174"/>
      <c r="FF84" s="174"/>
      <c r="FG84" s="174"/>
      <c r="FH84" s="174"/>
      <c r="FI84" s="174"/>
      <c r="FJ84" s="174"/>
      <c r="FK84" s="174"/>
      <c r="FL84" s="174"/>
      <c r="FM84" s="174"/>
      <c r="FN84" s="174"/>
      <c r="FO84" s="174"/>
      <c r="FP84" s="174"/>
      <c r="FQ84" s="174"/>
      <c r="FR84" s="174"/>
      <c r="FS84" s="174"/>
      <c r="FT84" s="174"/>
      <c r="FU84" s="174"/>
      <c r="FV84" s="174"/>
      <c r="FW84" s="174"/>
      <c r="FX84" s="174"/>
      <c r="FY84" s="174"/>
      <c r="FZ84" s="174"/>
      <c r="GA84" s="174"/>
      <c r="GB84" s="174"/>
      <c r="GC84" s="174"/>
      <c r="GD84" s="174"/>
      <c r="GE84" s="174"/>
      <c r="GF84" s="174"/>
      <c r="GG84" s="174"/>
      <c r="GH84" s="174"/>
      <c r="GI84" s="174"/>
      <c r="GJ84" s="174"/>
      <c r="GK84" s="174"/>
      <c r="GL84" s="174"/>
      <c r="GM84" s="174"/>
      <c r="GN84" s="174"/>
      <c r="GO84" s="174"/>
      <c r="GP84" s="174"/>
      <c r="GQ84" s="174"/>
      <c r="GR84" s="174"/>
      <c r="GS84" s="174"/>
      <c r="GT84" s="174"/>
      <c r="GU84" s="174"/>
      <c r="GV84" s="173"/>
      <c r="GW84" s="173"/>
      <c r="GX84" s="173"/>
    </row>
    <row r="85" spans="1:206">
      <c r="A85" s="173"/>
      <c r="B85" s="177"/>
      <c r="C85" s="177"/>
      <c r="D85" s="176"/>
      <c r="E85" s="175"/>
      <c r="F85" s="173"/>
      <c r="G85" s="173"/>
      <c r="H85" s="173"/>
      <c r="I85" s="173"/>
      <c r="J85" s="173"/>
      <c r="K85" s="173"/>
      <c r="L85" s="173"/>
      <c r="M85" s="173"/>
      <c r="N85" s="173"/>
      <c r="O85" s="175"/>
      <c r="P85" s="175"/>
      <c r="Q85" s="175"/>
      <c r="R85" s="175"/>
      <c r="S85" s="175"/>
      <c r="T85" s="175"/>
      <c r="U85" s="175"/>
      <c r="V85" s="175"/>
      <c r="W85" s="175"/>
      <c r="X85" s="175"/>
      <c r="Y85" s="175"/>
      <c r="Z85" s="173"/>
      <c r="AA85" s="175"/>
      <c r="AB85" s="173"/>
      <c r="AC85" s="173"/>
      <c r="AD85" s="174"/>
      <c r="AE85" s="174"/>
      <c r="AF85" s="174"/>
      <c r="AG85" s="174"/>
      <c r="AH85" s="174"/>
      <c r="AI85" s="174"/>
      <c r="AJ85" s="174"/>
      <c r="AK85" s="174"/>
      <c r="AL85" s="174"/>
      <c r="AM85" s="174"/>
      <c r="AN85" s="174"/>
      <c r="AO85" s="174"/>
      <c r="AP85" s="174"/>
      <c r="AQ85" s="174"/>
      <c r="AR85" s="174"/>
      <c r="AS85" s="174"/>
      <c r="AT85" s="174"/>
      <c r="AU85" s="174"/>
      <c r="AV85" s="174"/>
      <c r="AW85" s="174"/>
      <c r="AX85" s="174"/>
      <c r="AY85" s="174"/>
      <c r="AZ85" s="174"/>
      <c r="BA85" s="174"/>
      <c r="BB85" s="174"/>
      <c r="BC85" s="174"/>
      <c r="BD85" s="174"/>
      <c r="BE85" s="174"/>
      <c r="BF85" s="174"/>
      <c r="BG85" s="174"/>
      <c r="BH85" s="174"/>
      <c r="BI85" s="174"/>
      <c r="BJ85" s="174"/>
      <c r="BK85" s="174"/>
      <c r="BL85" s="174"/>
      <c r="BM85" s="174"/>
      <c r="BN85" s="174"/>
      <c r="BO85" s="174"/>
      <c r="BP85" s="174"/>
      <c r="BQ85" s="174"/>
      <c r="BR85" s="174"/>
      <c r="BS85" s="174"/>
      <c r="BT85" s="174"/>
      <c r="BU85" s="174"/>
      <c r="BV85" s="174"/>
      <c r="BW85" s="174"/>
      <c r="BX85" s="174"/>
      <c r="BY85" s="174"/>
      <c r="BZ85" s="174"/>
      <c r="CA85" s="174"/>
      <c r="CB85" s="174"/>
      <c r="CC85" s="174"/>
      <c r="CD85" s="174"/>
      <c r="CE85" s="174"/>
      <c r="CF85" s="174"/>
      <c r="CG85" s="174"/>
      <c r="CH85" s="174"/>
      <c r="CI85" s="174"/>
      <c r="CJ85" s="174"/>
      <c r="CK85" s="174"/>
      <c r="CL85" s="174"/>
      <c r="CM85" s="174"/>
      <c r="CN85" s="174"/>
      <c r="CO85" s="174"/>
      <c r="CP85" s="174"/>
      <c r="CQ85" s="174"/>
      <c r="CR85" s="174"/>
      <c r="CS85" s="174"/>
      <c r="CT85" s="174"/>
      <c r="CU85" s="174"/>
      <c r="CV85" s="174"/>
      <c r="CW85" s="174"/>
      <c r="CX85" s="174"/>
      <c r="CY85" s="174"/>
      <c r="CZ85" s="174"/>
      <c r="DA85" s="174"/>
      <c r="DB85" s="174"/>
      <c r="DC85" s="174"/>
      <c r="DD85" s="174"/>
      <c r="DE85" s="174"/>
      <c r="DF85" s="174"/>
      <c r="DG85" s="174"/>
      <c r="DH85" s="174"/>
      <c r="DI85" s="174"/>
      <c r="DJ85" s="174"/>
      <c r="DK85" s="174"/>
      <c r="DL85" s="174"/>
      <c r="DM85" s="174"/>
      <c r="DN85" s="174"/>
      <c r="DO85" s="174"/>
      <c r="DP85" s="174"/>
      <c r="DQ85" s="174"/>
      <c r="DR85" s="174"/>
      <c r="DS85" s="174"/>
      <c r="DT85" s="174"/>
      <c r="DU85" s="174"/>
      <c r="DV85" s="174"/>
      <c r="DW85" s="174"/>
      <c r="DX85" s="174"/>
      <c r="DY85" s="174"/>
      <c r="DZ85" s="174"/>
      <c r="EA85" s="174"/>
      <c r="EB85" s="174"/>
      <c r="EC85" s="174"/>
      <c r="ED85" s="174"/>
      <c r="EE85" s="174"/>
      <c r="EF85" s="174"/>
      <c r="EG85" s="174"/>
      <c r="EH85" s="174"/>
      <c r="EI85" s="174"/>
      <c r="EJ85" s="174"/>
      <c r="EK85" s="174"/>
      <c r="EL85" s="174"/>
      <c r="EM85" s="174"/>
      <c r="EN85" s="174"/>
      <c r="EO85" s="174"/>
      <c r="EP85" s="174"/>
      <c r="EQ85" s="174"/>
      <c r="ER85" s="174"/>
      <c r="ES85" s="174"/>
      <c r="ET85" s="174"/>
      <c r="EU85" s="174"/>
      <c r="EV85" s="174"/>
      <c r="EW85" s="174"/>
      <c r="EX85" s="174"/>
      <c r="EY85" s="174"/>
      <c r="EZ85" s="174"/>
      <c r="FA85" s="174"/>
      <c r="FB85" s="174"/>
      <c r="FC85" s="174"/>
      <c r="FD85" s="174"/>
      <c r="FE85" s="174"/>
      <c r="FF85" s="174"/>
      <c r="FG85" s="174"/>
      <c r="FH85" s="174"/>
      <c r="FI85" s="174"/>
      <c r="FJ85" s="174"/>
      <c r="FK85" s="174"/>
      <c r="FL85" s="174"/>
      <c r="FM85" s="174"/>
      <c r="FN85" s="174"/>
      <c r="FO85" s="174"/>
      <c r="FP85" s="174"/>
      <c r="FQ85" s="174"/>
      <c r="FR85" s="174"/>
      <c r="FS85" s="174"/>
      <c r="FT85" s="174"/>
      <c r="FU85" s="174"/>
      <c r="FV85" s="174"/>
      <c r="FW85" s="174"/>
      <c r="FX85" s="174"/>
      <c r="FY85" s="174"/>
      <c r="FZ85" s="174"/>
      <c r="GA85" s="174"/>
      <c r="GB85" s="174"/>
      <c r="GC85" s="174"/>
      <c r="GD85" s="174"/>
      <c r="GE85" s="174"/>
      <c r="GF85" s="174"/>
      <c r="GG85" s="174"/>
      <c r="GH85" s="174"/>
      <c r="GI85" s="174"/>
      <c r="GJ85" s="174"/>
      <c r="GK85" s="174"/>
      <c r="GL85" s="174"/>
      <c r="GM85" s="174"/>
      <c r="GN85" s="174"/>
      <c r="GO85" s="174"/>
      <c r="GP85" s="174"/>
      <c r="GQ85" s="174"/>
      <c r="GR85" s="174"/>
      <c r="GS85" s="174"/>
      <c r="GT85" s="174"/>
      <c r="GU85" s="174"/>
      <c r="GV85" s="173"/>
      <c r="GW85" s="173"/>
      <c r="GX85" s="173"/>
    </row>
  </sheetData>
  <mergeCells count="57">
    <mergeCell ref="C7:H7"/>
    <mergeCell ref="B3:K3"/>
    <mergeCell ref="L3:W3"/>
    <mergeCell ref="B4:K4"/>
    <mergeCell ref="L4:W4"/>
    <mergeCell ref="B6:O6"/>
    <mergeCell ref="P6:V6"/>
    <mergeCell ref="W6:AC6"/>
    <mergeCell ref="B1:Z1"/>
    <mergeCell ref="B2:E2"/>
    <mergeCell ref="F2:H2"/>
    <mergeCell ref="I2:K2"/>
    <mergeCell ref="P2:S2"/>
    <mergeCell ref="T2:V2"/>
    <mergeCell ref="BV6:BY6"/>
    <mergeCell ref="AD6:AG6"/>
    <mergeCell ref="AH6:AK6"/>
    <mergeCell ref="AL6:AO6"/>
    <mergeCell ref="AP6:AS6"/>
    <mergeCell ref="AT6:AW6"/>
    <mergeCell ref="AX6:BA6"/>
    <mergeCell ref="BB6:BE6"/>
    <mergeCell ref="BF6:BI6"/>
    <mergeCell ref="BJ6:BM6"/>
    <mergeCell ref="BN6:BQ6"/>
    <mergeCell ref="BR6:BU6"/>
    <mergeCell ref="DR6:DU6"/>
    <mergeCell ref="BZ6:CC6"/>
    <mergeCell ref="CD6:CG6"/>
    <mergeCell ref="CH6:CK6"/>
    <mergeCell ref="CL6:CO6"/>
    <mergeCell ref="CP6:CS6"/>
    <mergeCell ref="CT6:CW6"/>
    <mergeCell ref="CX6:DA6"/>
    <mergeCell ref="DB6:DE6"/>
    <mergeCell ref="DF6:DI6"/>
    <mergeCell ref="DJ6:DM6"/>
    <mergeCell ref="DN6:DQ6"/>
    <mergeCell ref="FN6:FQ6"/>
    <mergeCell ref="DV6:DY6"/>
    <mergeCell ref="DZ6:EC6"/>
    <mergeCell ref="ED6:EG6"/>
    <mergeCell ref="EH6:EK6"/>
    <mergeCell ref="EL6:EO6"/>
    <mergeCell ref="EP6:ES6"/>
    <mergeCell ref="ET6:EW6"/>
    <mergeCell ref="EX6:FA6"/>
    <mergeCell ref="FB6:FE6"/>
    <mergeCell ref="FF6:FI6"/>
    <mergeCell ref="FJ6:FM6"/>
    <mergeCell ref="GP6:GS6"/>
    <mergeCell ref="FR6:FU6"/>
    <mergeCell ref="FV6:FY6"/>
    <mergeCell ref="FZ6:GC6"/>
    <mergeCell ref="GD6:GG6"/>
    <mergeCell ref="GH6:GK6"/>
    <mergeCell ref="GL6:GO6"/>
  </mergeCells>
  <phoneticPr fontId="3"/>
  <conditionalFormatting sqref="AG8:AG10">
    <cfRule type="expression" dxfId="4598" priority="4745" stopIfTrue="1">
      <formula>IF(AG8="-",TRUE,FALSE)</formula>
    </cfRule>
    <cfRule type="expression" dxfId="4597" priority="4746" stopIfTrue="1">
      <formula>IF(OR(AG8="OK"),FALSE,TRUE)</formula>
    </cfRule>
  </conditionalFormatting>
  <conditionalFormatting sqref="AD8:AD10">
    <cfRule type="expression" dxfId="4596" priority="4744" stopIfTrue="1">
      <formula>IF(AE$8="判定対象外",TRUE,FALSE)</formula>
    </cfRule>
  </conditionalFormatting>
  <conditionalFormatting sqref="AE8:AE10">
    <cfRule type="expression" dxfId="4595" priority="4743" stopIfTrue="1">
      <formula>IF(AE$8="判定対象外",TRUE,FALSE)</formula>
    </cfRule>
  </conditionalFormatting>
  <conditionalFormatting sqref="AF8:AF10">
    <cfRule type="expression" dxfId="4594" priority="4742" stopIfTrue="1">
      <formula>IF(AE$8="判定対象外",TRUE,FALSE)</formula>
    </cfRule>
  </conditionalFormatting>
  <conditionalFormatting sqref="AG11:AG56 AG71:AG81">
    <cfRule type="expression" dxfId="4593" priority="4739" stopIfTrue="1">
      <formula>IF(AG11="-",TRUE,FALSE)</formula>
    </cfRule>
    <cfRule type="expression" dxfId="4592" priority="4740" stopIfTrue="1">
      <formula>IF(OR(AG11="OK"),FALSE,TRUE)</formula>
    </cfRule>
  </conditionalFormatting>
  <conditionalFormatting sqref="AF11:AF56 AF71:AF81">
    <cfRule type="expression" dxfId="4591" priority="4738" stopIfTrue="1">
      <formula>IF(AE$8="判定対象外",TRUE,FALSE)</formula>
    </cfRule>
  </conditionalFormatting>
  <conditionalFormatting sqref="AD72:AD81 AD21:AD46">
    <cfRule type="expression" dxfId="4590" priority="4737" stopIfTrue="1">
      <formula>IF(AE$8="判定対象外",TRUE,FALSE)</formula>
    </cfRule>
  </conditionalFormatting>
  <conditionalFormatting sqref="AD29:AD32">
    <cfRule type="expression" dxfId="4589" priority="4736" stopIfTrue="1">
      <formula>IF(AE$8="判定対象外",TRUE,FALSE)</formula>
    </cfRule>
  </conditionalFormatting>
  <conditionalFormatting sqref="AD42:AD44">
    <cfRule type="expression" dxfId="4588" priority="4735" stopIfTrue="1">
      <formula>IF(AE$8="判定対象外",TRUE,FALSE)</formula>
    </cfRule>
  </conditionalFormatting>
  <conditionalFormatting sqref="AD46">
    <cfRule type="expression" dxfId="4587" priority="4734" stopIfTrue="1">
      <formula>IF(AE$8="判定対象外",TRUE,FALSE)</formula>
    </cfRule>
  </conditionalFormatting>
  <conditionalFormatting sqref="AD42:AD44">
    <cfRule type="expression" dxfId="4586" priority="4733" stopIfTrue="1">
      <formula>IF(AE$8="判定対象外",TRUE,FALSE)</formula>
    </cfRule>
  </conditionalFormatting>
  <conditionalFormatting sqref="AD42:AD44">
    <cfRule type="expression" dxfId="4585" priority="4732" stopIfTrue="1">
      <formula>IF(AE$8="判定対象外",TRUE,FALSE)</formula>
    </cfRule>
  </conditionalFormatting>
  <conditionalFormatting sqref="AD42:AD44">
    <cfRule type="expression" dxfId="4584" priority="4731" stopIfTrue="1">
      <formula>IF(AE$8="判定対象外",TRUE,FALSE)</formula>
    </cfRule>
  </conditionalFormatting>
  <conditionalFormatting sqref="AD42:AD44">
    <cfRule type="expression" dxfId="4583" priority="4730" stopIfTrue="1">
      <formula>IF(AE$8="判定対象外",TRUE,FALSE)</formula>
    </cfRule>
  </conditionalFormatting>
  <conditionalFormatting sqref="AD42:AD44">
    <cfRule type="expression" dxfId="4582" priority="4729" stopIfTrue="1">
      <formula>IF(AE$8="判定対象外",TRUE,FALSE)</formula>
    </cfRule>
  </conditionalFormatting>
  <conditionalFormatting sqref="AD42:AD44">
    <cfRule type="expression" dxfId="4581" priority="4728" stopIfTrue="1">
      <formula>IF(AE$8="判定対象外",TRUE,FALSE)</formula>
    </cfRule>
  </conditionalFormatting>
  <conditionalFormatting sqref="AD42:AD44">
    <cfRule type="expression" dxfId="4580" priority="4727" stopIfTrue="1">
      <formula>IF(AE$8="判定対象外",TRUE,FALSE)</formula>
    </cfRule>
  </conditionalFormatting>
  <conditionalFormatting sqref="AD38">
    <cfRule type="expression" dxfId="4579" priority="4741" stopIfTrue="1">
      <formula>IF(#REF!="判定対象外",TRUE,FALSE)</formula>
    </cfRule>
  </conditionalFormatting>
  <conditionalFormatting sqref="AE11:AE56 AE71:AE81">
    <cfRule type="expression" dxfId="4578" priority="4726" stopIfTrue="1">
      <formula>IF(AE$8="判定対象外",TRUE,FALSE)</formula>
    </cfRule>
  </conditionalFormatting>
  <conditionalFormatting sqref="AD48">
    <cfRule type="expression" dxfId="4577" priority="4725" stopIfTrue="1">
      <formula>IF(AE$8="判定対象外",TRUE,FALSE)</formula>
    </cfRule>
  </conditionalFormatting>
  <conditionalFormatting sqref="AD51">
    <cfRule type="expression" dxfId="4576" priority="4724" stopIfTrue="1">
      <formula>IF(AE$8="判定対象外",TRUE,FALSE)</formula>
    </cfRule>
  </conditionalFormatting>
  <conditionalFormatting sqref="AD52 AD55 AD58 AD61 AD64 AD67 AD70">
    <cfRule type="expression" dxfId="4575" priority="4723" stopIfTrue="1">
      <formula>IF(AE$8="判定対象外",TRUE,FALSE)</formula>
    </cfRule>
  </conditionalFormatting>
  <conditionalFormatting sqref="AD11:AD20">
    <cfRule type="expression" dxfId="4574" priority="4722" stopIfTrue="1">
      <formula>IF(AE$8="判定対象外",TRUE,FALSE)</formula>
    </cfRule>
  </conditionalFormatting>
  <conditionalFormatting sqref="AD16:AD18">
    <cfRule type="expression" dxfId="4573" priority="4721" stopIfTrue="1">
      <formula>IF(AE$8="判定対象外",TRUE,FALSE)</formula>
    </cfRule>
  </conditionalFormatting>
  <conditionalFormatting sqref="AD20">
    <cfRule type="expression" dxfId="4572" priority="4720" stopIfTrue="1">
      <formula>IF(AE$8="判定対象外",TRUE,FALSE)</formula>
    </cfRule>
  </conditionalFormatting>
  <conditionalFormatting sqref="AD16:AD20">
    <cfRule type="expression" dxfId="4571" priority="4719" stopIfTrue="1">
      <formula>IF(AE$8="判定対象外",TRUE,FALSE)</formula>
    </cfRule>
  </conditionalFormatting>
  <conditionalFormatting sqref="AD11:AD20">
    <cfRule type="expression" dxfId="4570" priority="4718" stopIfTrue="1">
      <formula>IF(AE$8="判定対象外",TRUE,FALSE)</formula>
    </cfRule>
  </conditionalFormatting>
  <conditionalFormatting sqref="AD16:AD18">
    <cfRule type="expression" dxfId="4569" priority="4717" stopIfTrue="1">
      <formula>IF(AE$8="判定対象外",TRUE,FALSE)</formula>
    </cfRule>
  </conditionalFormatting>
  <conditionalFormatting sqref="AD20">
    <cfRule type="expression" dxfId="4568" priority="4716" stopIfTrue="1">
      <formula>IF(AE$8="判定対象外",TRUE,FALSE)</formula>
    </cfRule>
  </conditionalFormatting>
  <conditionalFormatting sqref="AD16:AD20">
    <cfRule type="expression" dxfId="4567" priority="4715" stopIfTrue="1">
      <formula>IF(AE$8="判定対象外",TRUE,FALSE)</formula>
    </cfRule>
  </conditionalFormatting>
  <conditionalFormatting sqref="AD11:AD20">
    <cfRule type="expression" dxfId="4566" priority="4714" stopIfTrue="1">
      <formula>IF(AE$8="判定対象外",TRUE,FALSE)</formula>
    </cfRule>
  </conditionalFormatting>
  <conditionalFormatting sqref="AD16:AD18">
    <cfRule type="expression" dxfId="4565" priority="4713" stopIfTrue="1">
      <formula>IF(AE$8="判定対象外",TRUE,FALSE)</formula>
    </cfRule>
  </conditionalFormatting>
  <conditionalFormatting sqref="AD20">
    <cfRule type="expression" dxfId="4564" priority="4712" stopIfTrue="1">
      <formula>IF(AE$8="判定対象外",TRUE,FALSE)</formula>
    </cfRule>
  </conditionalFormatting>
  <conditionalFormatting sqref="AD16:AD20">
    <cfRule type="expression" dxfId="4563" priority="4711" stopIfTrue="1">
      <formula>IF(AE$8="判定対象外",TRUE,FALSE)</formula>
    </cfRule>
  </conditionalFormatting>
  <conditionalFormatting sqref="AD11:AD13">
    <cfRule type="expression" dxfId="4562" priority="4710" stopIfTrue="1">
      <formula>IF(AE$8="判定対象外",TRUE,FALSE)</formula>
    </cfRule>
  </conditionalFormatting>
  <conditionalFormatting sqref="AD15">
    <cfRule type="expression" dxfId="4561" priority="4709" stopIfTrue="1">
      <formula>IF(AE$8="判定対象外",TRUE,FALSE)</formula>
    </cfRule>
  </conditionalFormatting>
  <conditionalFormatting sqref="AD19">
    <cfRule type="expression" dxfId="4560" priority="4708" stopIfTrue="1">
      <formula>IF(AE$8="判定対象外",TRUE,FALSE)</formula>
    </cfRule>
  </conditionalFormatting>
  <conditionalFormatting sqref="AD19">
    <cfRule type="expression" dxfId="4559" priority="4707" stopIfTrue="1">
      <formula>IF(AE$8="判定対象外",TRUE,FALSE)</formula>
    </cfRule>
  </conditionalFormatting>
  <conditionalFormatting sqref="AD20">
    <cfRule type="expression" dxfId="4558" priority="4706" stopIfTrue="1">
      <formula>IF(AE$8="判定対象外",TRUE,FALSE)</formula>
    </cfRule>
  </conditionalFormatting>
  <conditionalFormatting sqref="AD20">
    <cfRule type="expression" dxfId="4557" priority="4705" stopIfTrue="1">
      <formula>IF(AE$8="判定対象外",TRUE,FALSE)</formula>
    </cfRule>
  </conditionalFormatting>
  <conditionalFormatting sqref="AD20">
    <cfRule type="expression" dxfId="4556" priority="4704" stopIfTrue="1">
      <formula>IF(AE$8="判定対象外",TRUE,FALSE)</formula>
    </cfRule>
  </conditionalFormatting>
  <conditionalFormatting sqref="AD13">
    <cfRule type="expression" dxfId="4555" priority="4703" stopIfTrue="1">
      <formula>IF(AE$8="判定対象外",TRUE,FALSE)</formula>
    </cfRule>
  </conditionalFormatting>
  <conditionalFormatting sqref="AD47">
    <cfRule type="expression" dxfId="4554" priority="4702" stopIfTrue="1">
      <formula>IF(AE$8="判定対象外",TRUE,FALSE)</formula>
    </cfRule>
  </conditionalFormatting>
  <conditionalFormatting sqref="AD47">
    <cfRule type="expression" dxfId="4553" priority="4701" stopIfTrue="1">
      <formula>IF(AE$8="判定対象外",TRUE,FALSE)</formula>
    </cfRule>
  </conditionalFormatting>
  <conditionalFormatting sqref="AD49">
    <cfRule type="expression" dxfId="4552" priority="4700" stopIfTrue="1">
      <formula>IF(AE$8="判定対象外",TRUE,FALSE)</formula>
    </cfRule>
  </conditionalFormatting>
  <conditionalFormatting sqref="AD49">
    <cfRule type="expression" dxfId="4551" priority="4699" stopIfTrue="1">
      <formula>IF(AE$8="判定対象外",TRUE,FALSE)</formula>
    </cfRule>
  </conditionalFormatting>
  <conditionalFormatting sqref="AD50">
    <cfRule type="expression" dxfId="4550" priority="4698" stopIfTrue="1">
      <formula>IF(AE$8="判定対象外",TRUE,FALSE)</formula>
    </cfRule>
  </conditionalFormatting>
  <conditionalFormatting sqref="AD50">
    <cfRule type="expression" dxfId="4549" priority="4697" stopIfTrue="1">
      <formula>IF(AE$8="判定対象外",TRUE,FALSE)</formula>
    </cfRule>
  </conditionalFormatting>
  <conditionalFormatting sqref="AD53 AD56 AD59 AD62 AD65 AD68 AD71">
    <cfRule type="expression" dxfId="4548" priority="4696" stopIfTrue="1">
      <formula>IF(AE$8="判定対象外",TRUE,FALSE)</formula>
    </cfRule>
  </conditionalFormatting>
  <conditionalFormatting sqref="AD54 AD57 AD60 AD63 AD66 AD69">
    <cfRule type="expression" dxfId="4547" priority="4695" stopIfTrue="1">
      <formula>IF(AE$8="判定対象外",TRUE,FALSE)</formula>
    </cfRule>
  </conditionalFormatting>
  <conditionalFormatting sqref="AG57">
    <cfRule type="expression" dxfId="4546" priority="4693" stopIfTrue="1">
      <formula>IF(AG57="-",TRUE,FALSE)</formula>
    </cfRule>
    <cfRule type="expression" dxfId="4545" priority="4694" stopIfTrue="1">
      <formula>IF(OR(AG57="OK"),FALSE,TRUE)</formula>
    </cfRule>
  </conditionalFormatting>
  <conditionalFormatting sqref="AF57">
    <cfRule type="expression" dxfId="4544" priority="4692" stopIfTrue="1">
      <formula>IF(AE$8="判定対象外",TRUE,FALSE)</formula>
    </cfRule>
  </conditionalFormatting>
  <conditionalFormatting sqref="AE57">
    <cfRule type="expression" dxfId="4543" priority="4691" stopIfTrue="1">
      <formula>IF(AE$8="判定対象外",TRUE,FALSE)</formula>
    </cfRule>
  </conditionalFormatting>
  <conditionalFormatting sqref="AG58:AG64">
    <cfRule type="expression" dxfId="4542" priority="4689" stopIfTrue="1">
      <formula>IF(AG58="-",TRUE,FALSE)</formula>
    </cfRule>
    <cfRule type="expression" dxfId="4541" priority="4690" stopIfTrue="1">
      <formula>IF(OR(AG58="OK"),FALSE,TRUE)</formula>
    </cfRule>
  </conditionalFormatting>
  <conditionalFormatting sqref="AF58:AF64">
    <cfRule type="expression" dxfId="4540" priority="4688" stopIfTrue="1">
      <formula>IF(AE$8="判定対象外",TRUE,FALSE)</formula>
    </cfRule>
  </conditionalFormatting>
  <conditionalFormatting sqref="AE58:AE64">
    <cfRule type="expression" dxfId="4539" priority="4687" stopIfTrue="1">
      <formula>IF(AE$8="判定対象外",TRUE,FALSE)</formula>
    </cfRule>
  </conditionalFormatting>
  <conditionalFormatting sqref="AG65:AG70">
    <cfRule type="expression" dxfId="4538" priority="4685" stopIfTrue="1">
      <formula>IF(AG65="-",TRUE,FALSE)</formula>
    </cfRule>
    <cfRule type="expression" dxfId="4537" priority="4686" stopIfTrue="1">
      <formula>IF(OR(AG65="OK"),FALSE,TRUE)</formula>
    </cfRule>
  </conditionalFormatting>
  <conditionalFormatting sqref="AF65:AF70">
    <cfRule type="expression" dxfId="4536" priority="4684" stopIfTrue="1">
      <formula>IF(AE$8="判定対象外",TRUE,FALSE)</formula>
    </cfRule>
  </conditionalFormatting>
  <conditionalFormatting sqref="AE65:AE70">
    <cfRule type="expression" dxfId="4535" priority="4683" stopIfTrue="1">
      <formula>IF(AE$8="判定対象外",TRUE,FALSE)</formula>
    </cfRule>
  </conditionalFormatting>
  <conditionalFormatting sqref="AK8:AK10">
    <cfRule type="expression" dxfId="4534" priority="4681" stopIfTrue="1">
      <formula>IF(AK8="-",TRUE,FALSE)</formula>
    </cfRule>
    <cfRule type="expression" dxfId="4533" priority="4682" stopIfTrue="1">
      <formula>IF(OR(AK8="OK"),FALSE,TRUE)</formula>
    </cfRule>
  </conditionalFormatting>
  <conditionalFormatting sqref="AH8:AH10">
    <cfRule type="expression" dxfId="4532" priority="4680" stopIfTrue="1">
      <formula>IF(AI$8="判定対象外",TRUE,FALSE)</formula>
    </cfRule>
  </conditionalFormatting>
  <conditionalFormatting sqref="AI8:AI10">
    <cfRule type="expression" dxfId="4531" priority="4679" stopIfTrue="1">
      <formula>IF(AI$8="判定対象外",TRUE,FALSE)</formula>
    </cfRule>
  </conditionalFormatting>
  <conditionalFormatting sqref="AJ8:AJ10">
    <cfRule type="expression" dxfId="4530" priority="4678" stopIfTrue="1">
      <formula>IF(AI$8="判定対象外",TRUE,FALSE)</formula>
    </cfRule>
  </conditionalFormatting>
  <conditionalFormatting sqref="AK11:AK56 AK71:AK81">
    <cfRule type="expression" dxfId="4529" priority="4675" stopIfTrue="1">
      <formula>IF(AK11="-",TRUE,FALSE)</formula>
    </cfRule>
    <cfRule type="expression" dxfId="4528" priority="4676" stopIfTrue="1">
      <formula>IF(OR(AK11="OK"),FALSE,TRUE)</formula>
    </cfRule>
  </conditionalFormatting>
  <conditionalFormatting sqref="AJ11:AJ56 AJ71:AJ81">
    <cfRule type="expression" dxfId="4527" priority="4674" stopIfTrue="1">
      <formula>IF(AI$8="判定対象外",TRUE,FALSE)</formula>
    </cfRule>
  </conditionalFormatting>
  <conditionalFormatting sqref="AH72:AH81 AH21:AH46">
    <cfRule type="expression" dxfId="4526" priority="4673" stopIfTrue="1">
      <formula>IF(AI$8="判定対象外",TRUE,FALSE)</formula>
    </cfRule>
  </conditionalFormatting>
  <conditionalFormatting sqref="AH29:AH32">
    <cfRule type="expression" dxfId="4525" priority="4672" stopIfTrue="1">
      <formula>IF(AI$8="判定対象外",TRUE,FALSE)</formula>
    </cfRule>
  </conditionalFormatting>
  <conditionalFormatting sqref="AH42:AH44">
    <cfRule type="expression" dxfId="4524" priority="4671" stopIfTrue="1">
      <formula>IF(AI$8="判定対象外",TRUE,FALSE)</formula>
    </cfRule>
  </conditionalFormatting>
  <conditionalFormatting sqref="AH46">
    <cfRule type="expression" dxfId="4523" priority="4670" stopIfTrue="1">
      <formula>IF(AI$8="判定対象外",TRUE,FALSE)</formula>
    </cfRule>
  </conditionalFormatting>
  <conditionalFormatting sqref="AH42:AH44">
    <cfRule type="expression" dxfId="4522" priority="4669" stopIfTrue="1">
      <formula>IF(AI$8="判定対象外",TRUE,FALSE)</formula>
    </cfRule>
  </conditionalFormatting>
  <conditionalFormatting sqref="AH42:AH44">
    <cfRule type="expression" dxfId="4521" priority="4668" stopIfTrue="1">
      <formula>IF(AI$8="判定対象外",TRUE,FALSE)</formula>
    </cfRule>
  </conditionalFormatting>
  <conditionalFormatting sqref="AH42:AH44">
    <cfRule type="expression" dxfId="4520" priority="4667" stopIfTrue="1">
      <formula>IF(AI$8="判定対象外",TRUE,FALSE)</formula>
    </cfRule>
  </conditionalFormatting>
  <conditionalFormatting sqref="AH42:AH44">
    <cfRule type="expression" dxfId="4519" priority="4666" stopIfTrue="1">
      <formula>IF(AI$8="判定対象外",TRUE,FALSE)</formula>
    </cfRule>
  </conditionalFormatting>
  <conditionalFormatting sqref="AH42:AH44">
    <cfRule type="expression" dxfId="4518" priority="4665" stopIfTrue="1">
      <formula>IF(AI$8="判定対象外",TRUE,FALSE)</formula>
    </cfRule>
  </conditionalFormatting>
  <conditionalFormatting sqref="AH42:AH44">
    <cfRule type="expression" dxfId="4517" priority="4664" stopIfTrue="1">
      <formula>IF(AI$8="判定対象外",TRUE,FALSE)</formula>
    </cfRule>
  </conditionalFormatting>
  <conditionalFormatting sqref="AH42:AH44">
    <cfRule type="expression" dxfId="4516" priority="4663" stopIfTrue="1">
      <formula>IF(AI$8="判定対象外",TRUE,FALSE)</formula>
    </cfRule>
  </conditionalFormatting>
  <conditionalFormatting sqref="AH38">
    <cfRule type="expression" dxfId="4515" priority="4677" stopIfTrue="1">
      <formula>IF(#REF!="判定対象外",TRUE,FALSE)</formula>
    </cfRule>
  </conditionalFormatting>
  <conditionalFormatting sqref="AI11:AI56 AI71:AI81">
    <cfRule type="expression" dxfId="4514" priority="4662" stopIfTrue="1">
      <formula>IF(AI$8="判定対象外",TRUE,FALSE)</formula>
    </cfRule>
  </conditionalFormatting>
  <conditionalFormatting sqref="AH48">
    <cfRule type="expression" dxfId="4513" priority="4661" stopIfTrue="1">
      <formula>IF(AI$8="判定対象外",TRUE,FALSE)</formula>
    </cfRule>
  </conditionalFormatting>
  <conditionalFormatting sqref="AH51">
    <cfRule type="expression" dxfId="4512" priority="4660" stopIfTrue="1">
      <formula>IF(AI$8="判定対象外",TRUE,FALSE)</formula>
    </cfRule>
  </conditionalFormatting>
  <conditionalFormatting sqref="AH52 AH55 AH61 AH64 AH67 AH70">
    <cfRule type="expression" dxfId="4511" priority="4659" stopIfTrue="1">
      <formula>IF(AI$8="判定対象外",TRUE,FALSE)</formula>
    </cfRule>
  </conditionalFormatting>
  <conditionalFormatting sqref="AH11:AH20">
    <cfRule type="expression" dxfId="4510" priority="4658" stopIfTrue="1">
      <formula>IF(AI$8="判定対象外",TRUE,FALSE)</formula>
    </cfRule>
  </conditionalFormatting>
  <conditionalFormatting sqref="AH16:AH18">
    <cfRule type="expression" dxfId="4509" priority="4657" stopIfTrue="1">
      <formula>IF(AI$8="判定対象外",TRUE,FALSE)</formula>
    </cfRule>
  </conditionalFormatting>
  <conditionalFormatting sqref="AH20">
    <cfRule type="expression" dxfId="4508" priority="4656" stopIfTrue="1">
      <formula>IF(AI$8="判定対象外",TRUE,FALSE)</formula>
    </cfRule>
  </conditionalFormatting>
  <conditionalFormatting sqref="AH16:AH20">
    <cfRule type="expression" dxfId="4507" priority="4655" stopIfTrue="1">
      <formula>IF(AI$8="判定対象外",TRUE,FALSE)</formula>
    </cfRule>
  </conditionalFormatting>
  <conditionalFormatting sqref="AH11:AH20">
    <cfRule type="expression" dxfId="4506" priority="4654" stopIfTrue="1">
      <formula>IF(AI$8="判定対象外",TRUE,FALSE)</formula>
    </cfRule>
  </conditionalFormatting>
  <conditionalFormatting sqref="AH16:AH18">
    <cfRule type="expression" dxfId="4505" priority="4653" stopIfTrue="1">
      <formula>IF(AI$8="判定対象外",TRUE,FALSE)</formula>
    </cfRule>
  </conditionalFormatting>
  <conditionalFormatting sqref="AH20">
    <cfRule type="expression" dxfId="4504" priority="4652" stopIfTrue="1">
      <formula>IF(AI$8="判定対象外",TRUE,FALSE)</formula>
    </cfRule>
  </conditionalFormatting>
  <conditionalFormatting sqref="AH16:AH20">
    <cfRule type="expression" dxfId="4503" priority="4651" stopIfTrue="1">
      <formula>IF(AI$8="判定対象外",TRUE,FALSE)</formula>
    </cfRule>
  </conditionalFormatting>
  <conditionalFormatting sqref="AH11:AH20">
    <cfRule type="expression" dxfId="4502" priority="4650" stopIfTrue="1">
      <formula>IF(AI$8="判定対象外",TRUE,FALSE)</formula>
    </cfRule>
  </conditionalFormatting>
  <conditionalFormatting sqref="AH16:AH18">
    <cfRule type="expression" dxfId="4501" priority="4649" stopIfTrue="1">
      <formula>IF(AI$8="判定対象外",TRUE,FALSE)</formula>
    </cfRule>
  </conditionalFormatting>
  <conditionalFormatting sqref="AH20">
    <cfRule type="expression" dxfId="4500" priority="4648" stopIfTrue="1">
      <formula>IF(AI$8="判定対象外",TRUE,FALSE)</formula>
    </cfRule>
  </conditionalFormatting>
  <conditionalFormatting sqref="AH16:AH20">
    <cfRule type="expression" dxfId="4499" priority="4647" stopIfTrue="1">
      <formula>IF(AI$8="判定対象外",TRUE,FALSE)</formula>
    </cfRule>
  </conditionalFormatting>
  <conditionalFormatting sqref="AH11:AH13">
    <cfRule type="expression" dxfId="4498" priority="4646" stopIfTrue="1">
      <formula>IF(AI$8="判定対象外",TRUE,FALSE)</formula>
    </cfRule>
  </conditionalFormatting>
  <conditionalFormatting sqref="AH15">
    <cfRule type="expression" dxfId="4497" priority="4645" stopIfTrue="1">
      <formula>IF(AI$8="判定対象外",TRUE,FALSE)</formula>
    </cfRule>
  </conditionalFormatting>
  <conditionalFormatting sqref="AH19">
    <cfRule type="expression" dxfId="4496" priority="4644" stopIfTrue="1">
      <formula>IF(AI$8="判定対象外",TRUE,FALSE)</formula>
    </cfRule>
  </conditionalFormatting>
  <conditionalFormatting sqref="AH19">
    <cfRule type="expression" dxfId="4495" priority="4643" stopIfTrue="1">
      <formula>IF(AI$8="判定対象外",TRUE,FALSE)</formula>
    </cfRule>
  </conditionalFormatting>
  <conditionalFormatting sqref="AH20">
    <cfRule type="expression" dxfId="4494" priority="4642" stopIfTrue="1">
      <formula>IF(AI$8="判定対象外",TRUE,FALSE)</formula>
    </cfRule>
  </conditionalFormatting>
  <conditionalFormatting sqref="AH20">
    <cfRule type="expression" dxfId="4493" priority="4641" stopIfTrue="1">
      <formula>IF(AI$8="判定対象外",TRUE,FALSE)</formula>
    </cfRule>
  </conditionalFormatting>
  <conditionalFormatting sqref="AH20">
    <cfRule type="expression" dxfId="4492" priority="4640" stopIfTrue="1">
      <formula>IF(AI$8="判定対象外",TRUE,FALSE)</formula>
    </cfRule>
  </conditionalFormatting>
  <conditionalFormatting sqref="AH13">
    <cfRule type="expression" dxfId="4491" priority="4639" stopIfTrue="1">
      <formula>IF(AI$8="判定対象外",TRUE,FALSE)</formula>
    </cfRule>
  </conditionalFormatting>
  <conditionalFormatting sqref="AH47">
    <cfRule type="expression" dxfId="4490" priority="4638" stopIfTrue="1">
      <formula>IF(AI$8="判定対象外",TRUE,FALSE)</formula>
    </cfRule>
  </conditionalFormatting>
  <conditionalFormatting sqref="AH47">
    <cfRule type="expression" dxfId="4489" priority="4637" stopIfTrue="1">
      <formula>IF(AI$8="判定対象外",TRUE,FALSE)</formula>
    </cfRule>
  </conditionalFormatting>
  <conditionalFormatting sqref="AH49">
    <cfRule type="expression" dxfId="4488" priority="4636" stopIfTrue="1">
      <formula>IF(AI$8="判定対象外",TRUE,FALSE)</formula>
    </cfRule>
  </conditionalFormatting>
  <conditionalFormatting sqref="AH49">
    <cfRule type="expression" dxfId="4487" priority="4635" stopIfTrue="1">
      <formula>IF(AI$8="判定対象外",TRUE,FALSE)</formula>
    </cfRule>
  </conditionalFormatting>
  <conditionalFormatting sqref="AH50">
    <cfRule type="expression" dxfId="4486" priority="4634" stopIfTrue="1">
      <formula>IF(AI$8="判定対象外",TRUE,FALSE)</formula>
    </cfRule>
  </conditionalFormatting>
  <conditionalFormatting sqref="AH50">
    <cfRule type="expression" dxfId="4485" priority="4633" stopIfTrue="1">
      <formula>IF(AI$8="判定対象外",TRUE,FALSE)</formula>
    </cfRule>
  </conditionalFormatting>
  <conditionalFormatting sqref="AH53 AH56 AH62 AH65 AH68 AH71">
    <cfRule type="expression" dxfId="4484" priority="4632" stopIfTrue="1">
      <formula>IF(AI$8="判定対象外",TRUE,FALSE)</formula>
    </cfRule>
  </conditionalFormatting>
  <conditionalFormatting sqref="AH54 AH57 AH60 AH63 AH66 AH69">
    <cfRule type="expression" dxfId="4483" priority="4631" stopIfTrue="1">
      <formula>IF(AI$8="判定対象外",TRUE,FALSE)</formula>
    </cfRule>
  </conditionalFormatting>
  <conditionalFormatting sqref="AK57">
    <cfRule type="expression" dxfId="4482" priority="4629" stopIfTrue="1">
      <formula>IF(AK57="-",TRUE,FALSE)</formula>
    </cfRule>
    <cfRule type="expression" dxfId="4481" priority="4630" stopIfTrue="1">
      <formula>IF(OR(AK57="OK"),FALSE,TRUE)</formula>
    </cfRule>
  </conditionalFormatting>
  <conditionalFormatting sqref="AJ57">
    <cfRule type="expression" dxfId="4480" priority="4628" stopIfTrue="1">
      <formula>IF(AI$8="判定対象外",TRUE,FALSE)</formula>
    </cfRule>
  </conditionalFormatting>
  <conditionalFormatting sqref="AI57">
    <cfRule type="expression" dxfId="4479" priority="4627" stopIfTrue="1">
      <formula>IF(AI$8="判定対象外",TRUE,FALSE)</formula>
    </cfRule>
  </conditionalFormatting>
  <conditionalFormatting sqref="AK58:AK64">
    <cfRule type="expression" dxfId="4478" priority="4625" stopIfTrue="1">
      <formula>IF(AK58="-",TRUE,FALSE)</formula>
    </cfRule>
    <cfRule type="expression" dxfId="4477" priority="4626" stopIfTrue="1">
      <formula>IF(OR(AK58="OK"),FALSE,TRUE)</formula>
    </cfRule>
  </conditionalFormatting>
  <conditionalFormatting sqref="AJ58:AJ64">
    <cfRule type="expression" dxfId="4476" priority="4624" stopIfTrue="1">
      <formula>IF(AI$8="判定対象外",TRUE,FALSE)</formula>
    </cfRule>
  </conditionalFormatting>
  <conditionalFormatting sqref="AI58:AI64">
    <cfRule type="expression" dxfId="4475" priority="4623" stopIfTrue="1">
      <formula>IF(AI$8="判定対象外",TRUE,FALSE)</formula>
    </cfRule>
  </conditionalFormatting>
  <conditionalFormatting sqref="AK65:AK70">
    <cfRule type="expression" dxfId="4474" priority="4621" stopIfTrue="1">
      <formula>IF(AK65="-",TRUE,FALSE)</formula>
    </cfRule>
    <cfRule type="expression" dxfId="4473" priority="4622" stopIfTrue="1">
      <formula>IF(OR(AK65="OK"),FALSE,TRUE)</formula>
    </cfRule>
  </conditionalFormatting>
  <conditionalFormatting sqref="AJ65:AJ70">
    <cfRule type="expression" dxfId="4472" priority="4620" stopIfTrue="1">
      <formula>IF(AI$8="判定対象外",TRUE,FALSE)</formula>
    </cfRule>
  </conditionalFormatting>
  <conditionalFormatting sqref="AI65:AI70">
    <cfRule type="expression" dxfId="4471" priority="4619" stopIfTrue="1">
      <formula>IF(AI$8="判定対象外",TRUE,FALSE)</formula>
    </cfRule>
  </conditionalFormatting>
  <conditionalFormatting sqref="AH58">
    <cfRule type="expression" dxfId="4470" priority="4618" stopIfTrue="1">
      <formula>IF(AI$8="判定対象外",TRUE,FALSE)</formula>
    </cfRule>
  </conditionalFormatting>
  <conditionalFormatting sqref="AO8:AO10">
    <cfRule type="expression" dxfId="4469" priority="4615" stopIfTrue="1">
      <formula>IF(AO8="-",TRUE,FALSE)</formula>
    </cfRule>
    <cfRule type="expression" dxfId="4468" priority="4616" stopIfTrue="1">
      <formula>IF(OR(AO8="OK"),FALSE,TRUE)</formula>
    </cfRule>
  </conditionalFormatting>
  <conditionalFormatting sqref="AL8:AL10">
    <cfRule type="expression" dxfId="4467" priority="4614" stopIfTrue="1">
      <formula>IF(AM$8="判定対象外",TRUE,FALSE)</formula>
    </cfRule>
  </conditionalFormatting>
  <conditionalFormatting sqref="AM8:AM10">
    <cfRule type="expression" dxfId="4466" priority="4613" stopIfTrue="1">
      <formula>IF(AM$8="判定対象外",TRUE,FALSE)</formula>
    </cfRule>
  </conditionalFormatting>
  <conditionalFormatting sqref="AN8:AN10">
    <cfRule type="expression" dxfId="4465" priority="4612" stopIfTrue="1">
      <formula>IF(AM$8="判定対象外",TRUE,FALSE)</formula>
    </cfRule>
  </conditionalFormatting>
  <conditionalFormatting sqref="AO11:AO56 AO71:AO81">
    <cfRule type="expression" dxfId="4464" priority="4609" stopIfTrue="1">
      <formula>IF(AO11="-",TRUE,FALSE)</formula>
    </cfRule>
    <cfRule type="expression" dxfId="4463" priority="4610" stopIfTrue="1">
      <formula>IF(OR(AO11="OK"),FALSE,TRUE)</formula>
    </cfRule>
  </conditionalFormatting>
  <conditionalFormatting sqref="AN11:AN56 AN71:AN81">
    <cfRule type="expression" dxfId="4462" priority="4608" stopIfTrue="1">
      <formula>IF(AM$8="判定対象外",TRUE,FALSE)</formula>
    </cfRule>
  </conditionalFormatting>
  <conditionalFormatting sqref="AL72:AL81 AL21:AL46">
    <cfRule type="expression" dxfId="4461" priority="4607" stopIfTrue="1">
      <formula>IF(AM$8="判定対象外",TRUE,FALSE)</formula>
    </cfRule>
  </conditionalFormatting>
  <conditionalFormatting sqref="AL29:AL32">
    <cfRule type="expression" dxfId="4460" priority="4606" stopIfTrue="1">
      <formula>IF(AM$8="判定対象外",TRUE,FALSE)</formula>
    </cfRule>
  </conditionalFormatting>
  <conditionalFormatting sqref="AL42:AL44">
    <cfRule type="expression" dxfId="4459" priority="4605" stopIfTrue="1">
      <formula>IF(AM$8="判定対象外",TRUE,FALSE)</formula>
    </cfRule>
  </conditionalFormatting>
  <conditionalFormatting sqref="AL46">
    <cfRule type="expression" dxfId="4458" priority="4604" stopIfTrue="1">
      <formula>IF(AM$8="判定対象外",TRUE,FALSE)</formula>
    </cfRule>
  </conditionalFormatting>
  <conditionalFormatting sqref="AL42:AL44">
    <cfRule type="expression" dxfId="4457" priority="4603" stopIfTrue="1">
      <formula>IF(AM$8="判定対象外",TRUE,FALSE)</formula>
    </cfRule>
  </conditionalFormatting>
  <conditionalFormatting sqref="AL42:AL44">
    <cfRule type="expression" dxfId="4456" priority="4602" stopIfTrue="1">
      <formula>IF(AM$8="判定対象外",TRUE,FALSE)</formula>
    </cfRule>
  </conditionalFormatting>
  <conditionalFormatting sqref="AL42:AL44">
    <cfRule type="expression" dxfId="4455" priority="4601" stopIfTrue="1">
      <formula>IF(AM$8="判定対象外",TRUE,FALSE)</formula>
    </cfRule>
  </conditionalFormatting>
  <conditionalFormatting sqref="AL42:AL44">
    <cfRule type="expression" dxfId="4454" priority="4600" stopIfTrue="1">
      <formula>IF(AM$8="判定対象外",TRUE,FALSE)</formula>
    </cfRule>
  </conditionalFormatting>
  <conditionalFormatting sqref="AL42:AL44">
    <cfRule type="expression" dxfId="4453" priority="4599" stopIfTrue="1">
      <formula>IF(AM$8="判定対象外",TRUE,FALSE)</formula>
    </cfRule>
  </conditionalFormatting>
  <conditionalFormatting sqref="AL42:AL44">
    <cfRule type="expression" dxfId="4452" priority="4598" stopIfTrue="1">
      <formula>IF(AM$8="判定対象外",TRUE,FALSE)</formula>
    </cfRule>
  </conditionalFormatting>
  <conditionalFormatting sqref="AL42:AL44">
    <cfRule type="expression" dxfId="4451" priority="4597" stopIfTrue="1">
      <formula>IF(AM$8="判定対象外",TRUE,FALSE)</formula>
    </cfRule>
  </conditionalFormatting>
  <conditionalFormatting sqref="AL38">
    <cfRule type="expression" dxfId="4450" priority="4611" stopIfTrue="1">
      <formula>IF(#REF!="判定対象外",TRUE,FALSE)</formula>
    </cfRule>
  </conditionalFormatting>
  <conditionalFormatting sqref="AM11:AM56 AM71:AM81">
    <cfRule type="expression" dxfId="4449" priority="4596" stopIfTrue="1">
      <formula>IF(AM$8="判定対象外",TRUE,FALSE)</formula>
    </cfRule>
  </conditionalFormatting>
  <conditionalFormatting sqref="AL48">
    <cfRule type="expression" dxfId="4448" priority="4595" stopIfTrue="1">
      <formula>IF(AM$8="判定対象外",TRUE,FALSE)</formula>
    </cfRule>
  </conditionalFormatting>
  <conditionalFormatting sqref="AL51">
    <cfRule type="expression" dxfId="4447" priority="4594" stopIfTrue="1">
      <formula>IF(AM$8="判定対象外",TRUE,FALSE)</formula>
    </cfRule>
  </conditionalFormatting>
  <conditionalFormatting sqref="AL52 AL55 AL61 AL64 AL67 AL70">
    <cfRule type="expression" dxfId="4446" priority="4593" stopIfTrue="1">
      <formula>IF(AM$8="判定対象外",TRUE,FALSE)</formula>
    </cfRule>
  </conditionalFormatting>
  <conditionalFormatting sqref="AL11:AL20">
    <cfRule type="expression" dxfId="4445" priority="4592" stopIfTrue="1">
      <formula>IF(AM$8="判定対象外",TRUE,FALSE)</formula>
    </cfRule>
  </conditionalFormatting>
  <conditionalFormatting sqref="AL16:AL18">
    <cfRule type="expression" dxfId="4444" priority="4591" stopIfTrue="1">
      <formula>IF(AM$8="判定対象外",TRUE,FALSE)</formula>
    </cfRule>
  </conditionalFormatting>
  <conditionalFormatting sqref="AL20">
    <cfRule type="expression" dxfId="4443" priority="4590" stopIfTrue="1">
      <formula>IF(AM$8="判定対象外",TRUE,FALSE)</formula>
    </cfRule>
  </conditionalFormatting>
  <conditionalFormatting sqref="AL16:AL20">
    <cfRule type="expression" dxfId="4442" priority="4589" stopIfTrue="1">
      <formula>IF(AM$8="判定対象外",TRUE,FALSE)</formula>
    </cfRule>
  </conditionalFormatting>
  <conditionalFormatting sqref="AL11:AL20">
    <cfRule type="expression" dxfId="4441" priority="4588" stopIfTrue="1">
      <formula>IF(AM$8="判定対象外",TRUE,FALSE)</formula>
    </cfRule>
  </conditionalFormatting>
  <conditionalFormatting sqref="AL16:AL18">
    <cfRule type="expression" dxfId="4440" priority="4587" stopIfTrue="1">
      <formula>IF(AM$8="判定対象外",TRUE,FALSE)</formula>
    </cfRule>
  </conditionalFormatting>
  <conditionalFormatting sqref="AL20">
    <cfRule type="expression" dxfId="4439" priority="4586" stopIfTrue="1">
      <formula>IF(AM$8="判定対象外",TRUE,FALSE)</formula>
    </cfRule>
  </conditionalFormatting>
  <conditionalFormatting sqref="AL16:AL20">
    <cfRule type="expression" dxfId="4438" priority="4585" stopIfTrue="1">
      <formula>IF(AM$8="判定対象外",TRUE,FALSE)</formula>
    </cfRule>
  </conditionalFormatting>
  <conditionalFormatting sqref="AL11:AL20">
    <cfRule type="expression" dxfId="4437" priority="4584" stopIfTrue="1">
      <formula>IF(AM$8="判定対象外",TRUE,FALSE)</formula>
    </cfRule>
  </conditionalFormatting>
  <conditionalFormatting sqref="AL16:AL18">
    <cfRule type="expression" dxfId="4436" priority="4583" stopIfTrue="1">
      <formula>IF(AM$8="判定対象外",TRUE,FALSE)</formula>
    </cfRule>
  </conditionalFormatting>
  <conditionalFormatting sqref="AL20">
    <cfRule type="expression" dxfId="4435" priority="4582" stopIfTrue="1">
      <formula>IF(AM$8="判定対象外",TRUE,FALSE)</formula>
    </cfRule>
  </conditionalFormatting>
  <conditionalFormatting sqref="AL16:AL20">
    <cfRule type="expression" dxfId="4434" priority="4581" stopIfTrue="1">
      <formula>IF(AM$8="判定対象外",TRUE,FALSE)</formula>
    </cfRule>
  </conditionalFormatting>
  <conditionalFormatting sqref="AL11:AL13">
    <cfRule type="expression" dxfId="4433" priority="4580" stopIfTrue="1">
      <formula>IF(AM$8="判定対象外",TRUE,FALSE)</formula>
    </cfRule>
  </conditionalFormatting>
  <conditionalFormatting sqref="AL15">
    <cfRule type="expression" dxfId="4432" priority="4579" stopIfTrue="1">
      <formula>IF(AM$8="判定対象外",TRUE,FALSE)</formula>
    </cfRule>
  </conditionalFormatting>
  <conditionalFormatting sqref="AL19">
    <cfRule type="expression" dxfId="4431" priority="4578" stopIfTrue="1">
      <formula>IF(AM$8="判定対象外",TRUE,FALSE)</formula>
    </cfRule>
  </conditionalFormatting>
  <conditionalFormatting sqref="AL19">
    <cfRule type="expression" dxfId="4430" priority="4577" stopIfTrue="1">
      <formula>IF(AM$8="判定対象外",TRUE,FALSE)</formula>
    </cfRule>
  </conditionalFormatting>
  <conditionalFormatting sqref="AL20">
    <cfRule type="expression" dxfId="4429" priority="4576" stopIfTrue="1">
      <formula>IF(AM$8="判定対象外",TRUE,FALSE)</formula>
    </cfRule>
  </conditionalFormatting>
  <conditionalFormatting sqref="AL20">
    <cfRule type="expression" dxfId="4428" priority="4575" stopIfTrue="1">
      <formula>IF(AM$8="判定対象外",TRUE,FALSE)</formula>
    </cfRule>
  </conditionalFormatting>
  <conditionalFormatting sqref="AL20">
    <cfRule type="expression" dxfId="4427" priority="4574" stopIfTrue="1">
      <formula>IF(AM$8="判定対象外",TRUE,FALSE)</formula>
    </cfRule>
  </conditionalFormatting>
  <conditionalFormatting sqref="AL13">
    <cfRule type="expression" dxfId="4426" priority="4573" stopIfTrue="1">
      <formula>IF(AM$8="判定対象外",TRUE,FALSE)</formula>
    </cfRule>
  </conditionalFormatting>
  <conditionalFormatting sqref="AL47">
    <cfRule type="expression" dxfId="4425" priority="4572" stopIfTrue="1">
      <formula>IF(AM$8="判定対象外",TRUE,FALSE)</formula>
    </cfRule>
  </conditionalFormatting>
  <conditionalFormatting sqref="AL47">
    <cfRule type="expression" dxfId="4424" priority="4571" stopIfTrue="1">
      <formula>IF(AM$8="判定対象外",TRUE,FALSE)</formula>
    </cfRule>
  </conditionalFormatting>
  <conditionalFormatting sqref="AL49">
    <cfRule type="expression" dxfId="4423" priority="4570" stopIfTrue="1">
      <formula>IF(AM$8="判定対象外",TRUE,FALSE)</formula>
    </cfRule>
  </conditionalFormatting>
  <conditionalFormatting sqref="AL49">
    <cfRule type="expression" dxfId="4422" priority="4569" stopIfTrue="1">
      <formula>IF(AM$8="判定対象外",TRUE,FALSE)</formula>
    </cfRule>
  </conditionalFormatting>
  <conditionalFormatting sqref="AL50">
    <cfRule type="expression" dxfId="4421" priority="4568" stopIfTrue="1">
      <formula>IF(AM$8="判定対象外",TRUE,FALSE)</formula>
    </cfRule>
  </conditionalFormatting>
  <conditionalFormatting sqref="AL50">
    <cfRule type="expression" dxfId="4420" priority="4567" stopIfTrue="1">
      <formula>IF(AM$8="判定対象外",TRUE,FALSE)</formula>
    </cfRule>
  </conditionalFormatting>
  <conditionalFormatting sqref="AL53 AL56 AL62 AL65 AL68 AL71">
    <cfRule type="expression" dxfId="4419" priority="4566" stopIfTrue="1">
      <formula>IF(AM$8="判定対象外",TRUE,FALSE)</formula>
    </cfRule>
  </conditionalFormatting>
  <conditionalFormatting sqref="AL54 AL57 AL63 AL66 AL69">
    <cfRule type="expression" dxfId="4418" priority="4565" stopIfTrue="1">
      <formula>IF(AM$8="判定対象外",TRUE,FALSE)</formula>
    </cfRule>
  </conditionalFormatting>
  <conditionalFormatting sqref="AO57">
    <cfRule type="expression" dxfId="4417" priority="4563" stopIfTrue="1">
      <formula>IF(AO57="-",TRUE,FALSE)</formula>
    </cfRule>
    <cfRule type="expression" dxfId="4416" priority="4564" stopIfTrue="1">
      <formula>IF(OR(AO57="OK"),FALSE,TRUE)</formula>
    </cfRule>
  </conditionalFormatting>
  <conditionalFormatting sqref="AN57">
    <cfRule type="expression" dxfId="4415" priority="4562" stopIfTrue="1">
      <formula>IF(AM$8="判定対象外",TRUE,FALSE)</formula>
    </cfRule>
  </conditionalFormatting>
  <conditionalFormatting sqref="AM57">
    <cfRule type="expression" dxfId="4414" priority="4561" stopIfTrue="1">
      <formula>IF(AM$8="判定対象外",TRUE,FALSE)</formula>
    </cfRule>
  </conditionalFormatting>
  <conditionalFormatting sqref="AO58:AO64">
    <cfRule type="expression" dxfId="4413" priority="4559" stopIfTrue="1">
      <formula>IF(AO58="-",TRUE,FALSE)</formula>
    </cfRule>
    <cfRule type="expression" dxfId="4412" priority="4560" stopIfTrue="1">
      <formula>IF(OR(AO58="OK"),FALSE,TRUE)</formula>
    </cfRule>
  </conditionalFormatting>
  <conditionalFormatting sqref="AN58:AN64">
    <cfRule type="expression" dxfId="4411" priority="4558" stopIfTrue="1">
      <formula>IF(AM$8="判定対象外",TRUE,FALSE)</formula>
    </cfRule>
  </conditionalFormatting>
  <conditionalFormatting sqref="AM58:AM64">
    <cfRule type="expression" dxfId="4410" priority="4557" stopIfTrue="1">
      <formula>IF(AM$8="判定対象外",TRUE,FALSE)</formula>
    </cfRule>
  </conditionalFormatting>
  <conditionalFormatting sqref="AO65:AO70">
    <cfRule type="expression" dxfId="4409" priority="4555" stopIfTrue="1">
      <formula>IF(AO65="-",TRUE,FALSE)</formula>
    </cfRule>
    <cfRule type="expression" dxfId="4408" priority="4556" stopIfTrue="1">
      <formula>IF(OR(AO65="OK"),FALSE,TRUE)</formula>
    </cfRule>
  </conditionalFormatting>
  <conditionalFormatting sqref="AN65:AN70">
    <cfRule type="expression" dxfId="4407" priority="4554" stopIfTrue="1">
      <formula>IF(AM$8="判定対象外",TRUE,FALSE)</formula>
    </cfRule>
  </conditionalFormatting>
  <conditionalFormatting sqref="AM65:AM70">
    <cfRule type="expression" dxfId="4406" priority="4553" stopIfTrue="1">
      <formula>IF(AM$8="判定対象外",TRUE,FALSE)</formula>
    </cfRule>
  </conditionalFormatting>
  <conditionalFormatting sqref="AL59">
    <cfRule type="expression" dxfId="4405" priority="4549" stopIfTrue="1">
      <formula>IF(AM$8="判定対象外",TRUE,FALSE)</formula>
    </cfRule>
  </conditionalFormatting>
  <conditionalFormatting sqref="AH59">
    <cfRule type="expression" dxfId="4404" priority="4547" stopIfTrue="1">
      <formula>IF(AI$8="判定対象外",TRUE,FALSE)</formula>
    </cfRule>
  </conditionalFormatting>
  <conditionalFormatting sqref="AL60">
    <cfRule type="expression" dxfId="4403" priority="4546" stopIfTrue="1">
      <formula>IF(AM$8="判定対象外",TRUE,FALSE)</formula>
    </cfRule>
  </conditionalFormatting>
  <conditionalFormatting sqref="AL58">
    <cfRule type="expression" dxfId="4402" priority="4545" stopIfTrue="1">
      <formula>IF(AM$8="判定対象外",TRUE,FALSE)</formula>
    </cfRule>
  </conditionalFormatting>
  <conditionalFormatting sqref="AS8:AS10">
    <cfRule type="expression" dxfId="4401" priority="4543" stopIfTrue="1">
      <formula>IF(AS8="-",TRUE,FALSE)</formula>
    </cfRule>
    <cfRule type="expression" dxfId="4400" priority="4544" stopIfTrue="1">
      <formula>IF(OR(AS8="OK"),FALSE,TRUE)</formula>
    </cfRule>
  </conditionalFormatting>
  <conditionalFormatting sqref="AP8:AP10">
    <cfRule type="expression" dxfId="4399" priority="4542" stopIfTrue="1">
      <formula>IF(AQ$8="判定対象外",TRUE,FALSE)</formula>
    </cfRule>
  </conditionalFormatting>
  <conditionalFormatting sqref="AQ8:AQ10">
    <cfRule type="expression" dxfId="4398" priority="4541" stopIfTrue="1">
      <formula>IF(AQ$8="判定対象外",TRUE,FALSE)</formula>
    </cfRule>
  </conditionalFormatting>
  <conditionalFormatting sqref="AR8:AR10">
    <cfRule type="expression" dxfId="4397" priority="4540" stopIfTrue="1">
      <formula>IF(AQ$8="判定対象外",TRUE,FALSE)</formula>
    </cfRule>
  </conditionalFormatting>
  <conditionalFormatting sqref="AS11:AS56 AS71:AS81">
    <cfRule type="expression" dxfId="4396" priority="4537" stopIfTrue="1">
      <formula>IF(AS11="-",TRUE,FALSE)</formula>
    </cfRule>
    <cfRule type="expression" dxfId="4395" priority="4538" stopIfTrue="1">
      <formula>IF(OR(AS11="OK"),FALSE,TRUE)</formula>
    </cfRule>
  </conditionalFormatting>
  <conditionalFormatting sqref="AR11:AR56 AR71:AR81">
    <cfRule type="expression" dxfId="4394" priority="4536" stopIfTrue="1">
      <formula>IF(AQ$8="判定対象外",TRUE,FALSE)</formula>
    </cfRule>
  </conditionalFormatting>
  <conditionalFormatting sqref="AP72:AP81 AP21:AP46">
    <cfRule type="expression" dxfId="4393" priority="4535" stopIfTrue="1">
      <formula>IF(AQ$8="判定対象外",TRUE,FALSE)</formula>
    </cfRule>
  </conditionalFormatting>
  <conditionalFormatting sqref="AP29:AP32">
    <cfRule type="expression" dxfId="4392" priority="4534" stopIfTrue="1">
      <formula>IF(AQ$8="判定対象外",TRUE,FALSE)</formula>
    </cfRule>
  </conditionalFormatting>
  <conditionalFormatting sqref="AP42:AP44">
    <cfRule type="expression" dxfId="4391" priority="4533" stopIfTrue="1">
      <formula>IF(AQ$8="判定対象外",TRUE,FALSE)</formula>
    </cfRule>
  </conditionalFormatting>
  <conditionalFormatting sqref="AP46">
    <cfRule type="expression" dxfId="4390" priority="4532" stopIfTrue="1">
      <formula>IF(AQ$8="判定対象外",TRUE,FALSE)</formula>
    </cfRule>
  </conditionalFormatting>
  <conditionalFormatting sqref="AP42:AP44">
    <cfRule type="expression" dxfId="4389" priority="4531" stopIfTrue="1">
      <formula>IF(AQ$8="判定対象外",TRUE,FALSE)</formula>
    </cfRule>
  </conditionalFormatting>
  <conditionalFormatting sqref="AP42:AP44">
    <cfRule type="expression" dxfId="4388" priority="4530" stopIfTrue="1">
      <formula>IF(AQ$8="判定対象外",TRUE,FALSE)</formula>
    </cfRule>
  </conditionalFormatting>
  <conditionalFormatting sqref="AP42:AP44">
    <cfRule type="expression" dxfId="4387" priority="4529" stopIfTrue="1">
      <formula>IF(AQ$8="判定対象外",TRUE,FALSE)</formula>
    </cfRule>
  </conditionalFormatting>
  <conditionalFormatting sqref="AP42:AP44">
    <cfRule type="expression" dxfId="4386" priority="4528" stopIfTrue="1">
      <formula>IF(AQ$8="判定対象外",TRUE,FALSE)</formula>
    </cfRule>
  </conditionalFormatting>
  <conditionalFormatting sqref="AP42:AP44">
    <cfRule type="expression" dxfId="4385" priority="4527" stopIfTrue="1">
      <formula>IF(AQ$8="判定対象外",TRUE,FALSE)</formula>
    </cfRule>
  </conditionalFormatting>
  <conditionalFormatting sqref="AP42:AP44">
    <cfRule type="expression" dxfId="4384" priority="4526" stopIfTrue="1">
      <formula>IF(AQ$8="判定対象外",TRUE,FALSE)</formula>
    </cfRule>
  </conditionalFormatting>
  <conditionalFormatting sqref="AP42:AP44">
    <cfRule type="expression" dxfId="4383" priority="4525" stopIfTrue="1">
      <formula>IF(AQ$8="判定対象外",TRUE,FALSE)</formula>
    </cfRule>
  </conditionalFormatting>
  <conditionalFormatting sqref="AP38">
    <cfRule type="expression" dxfId="4382" priority="4539" stopIfTrue="1">
      <formula>IF(#REF!="判定対象外",TRUE,FALSE)</formula>
    </cfRule>
  </conditionalFormatting>
  <conditionalFormatting sqref="AQ11:AQ56 AQ71:AQ81">
    <cfRule type="expression" dxfId="4381" priority="4524" stopIfTrue="1">
      <formula>IF(AQ$8="判定対象外",TRUE,FALSE)</formula>
    </cfRule>
  </conditionalFormatting>
  <conditionalFormatting sqref="AP48">
    <cfRule type="expression" dxfId="4380" priority="4523" stopIfTrue="1">
      <formula>IF(AQ$8="判定対象外",TRUE,FALSE)</formula>
    </cfRule>
  </conditionalFormatting>
  <conditionalFormatting sqref="AP51">
    <cfRule type="expression" dxfId="4379" priority="4522" stopIfTrue="1">
      <formula>IF(AQ$8="判定対象外",TRUE,FALSE)</formula>
    </cfRule>
  </conditionalFormatting>
  <conditionalFormatting sqref="AP52 AP55 AP61 AP64 AP67 AP70">
    <cfRule type="expression" dxfId="4378" priority="4521" stopIfTrue="1">
      <formula>IF(AQ$8="判定対象外",TRUE,FALSE)</formula>
    </cfRule>
  </conditionalFormatting>
  <conditionalFormatting sqref="AP11:AP20">
    <cfRule type="expression" dxfId="4377" priority="4520" stopIfTrue="1">
      <formula>IF(AQ$8="判定対象外",TRUE,FALSE)</formula>
    </cfRule>
  </conditionalFormatting>
  <conditionalFormatting sqref="AP16:AP18">
    <cfRule type="expression" dxfId="4376" priority="4519" stopIfTrue="1">
      <formula>IF(AQ$8="判定対象外",TRUE,FALSE)</formula>
    </cfRule>
  </conditionalFormatting>
  <conditionalFormatting sqref="AP20">
    <cfRule type="expression" dxfId="4375" priority="4518" stopIfTrue="1">
      <formula>IF(AQ$8="判定対象外",TRUE,FALSE)</formula>
    </cfRule>
  </conditionalFormatting>
  <conditionalFormatting sqref="AP16:AP20">
    <cfRule type="expression" dxfId="4374" priority="4517" stopIfTrue="1">
      <formula>IF(AQ$8="判定対象外",TRUE,FALSE)</formula>
    </cfRule>
  </conditionalFormatting>
  <conditionalFormatting sqref="AP11:AP20">
    <cfRule type="expression" dxfId="4373" priority="4516" stopIfTrue="1">
      <formula>IF(AQ$8="判定対象外",TRUE,FALSE)</formula>
    </cfRule>
  </conditionalFormatting>
  <conditionalFormatting sqref="AP16:AP18">
    <cfRule type="expression" dxfId="4372" priority="4515" stopIfTrue="1">
      <formula>IF(AQ$8="判定対象外",TRUE,FALSE)</formula>
    </cfRule>
  </conditionalFormatting>
  <conditionalFormatting sqref="AP20">
    <cfRule type="expression" dxfId="4371" priority="4514" stopIfTrue="1">
      <formula>IF(AQ$8="判定対象外",TRUE,FALSE)</formula>
    </cfRule>
  </conditionalFormatting>
  <conditionalFormatting sqref="AP16:AP20">
    <cfRule type="expression" dxfId="4370" priority="4513" stopIfTrue="1">
      <formula>IF(AQ$8="判定対象外",TRUE,FALSE)</formula>
    </cfRule>
  </conditionalFormatting>
  <conditionalFormatting sqref="AP11:AP20">
    <cfRule type="expression" dxfId="4369" priority="4512" stopIfTrue="1">
      <formula>IF(AQ$8="判定対象外",TRUE,FALSE)</formula>
    </cfRule>
  </conditionalFormatting>
  <conditionalFormatting sqref="AP16:AP18">
    <cfRule type="expression" dxfId="4368" priority="4511" stopIfTrue="1">
      <formula>IF(AQ$8="判定対象外",TRUE,FALSE)</formula>
    </cfRule>
  </conditionalFormatting>
  <conditionalFormatting sqref="AP20">
    <cfRule type="expression" dxfId="4367" priority="4510" stopIfTrue="1">
      <formula>IF(AQ$8="判定対象外",TRUE,FALSE)</formula>
    </cfRule>
  </conditionalFormatting>
  <conditionalFormatting sqref="AP16:AP20">
    <cfRule type="expression" dxfId="4366" priority="4509" stopIfTrue="1">
      <formula>IF(AQ$8="判定対象外",TRUE,FALSE)</formula>
    </cfRule>
  </conditionalFormatting>
  <conditionalFormatting sqref="AP11:AP13">
    <cfRule type="expression" dxfId="4365" priority="4508" stopIfTrue="1">
      <formula>IF(AQ$8="判定対象外",TRUE,FALSE)</formula>
    </cfRule>
  </conditionalFormatting>
  <conditionalFormatting sqref="AP15">
    <cfRule type="expression" dxfId="4364" priority="4507" stopIfTrue="1">
      <formula>IF(AQ$8="判定対象外",TRUE,FALSE)</formula>
    </cfRule>
  </conditionalFormatting>
  <conditionalFormatting sqref="AP19">
    <cfRule type="expression" dxfId="4363" priority="4506" stopIfTrue="1">
      <formula>IF(AQ$8="判定対象外",TRUE,FALSE)</formula>
    </cfRule>
  </conditionalFormatting>
  <conditionalFormatting sqref="AP19">
    <cfRule type="expression" dxfId="4362" priority="4505" stopIfTrue="1">
      <formula>IF(AQ$8="判定対象外",TRUE,FALSE)</formula>
    </cfRule>
  </conditionalFormatting>
  <conditionalFormatting sqref="AP20">
    <cfRule type="expression" dxfId="4361" priority="4504" stopIfTrue="1">
      <formula>IF(AQ$8="判定対象外",TRUE,FALSE)</formula>
    </cfRule>
  </conditionalFormatting>
  <conditionalFormatting sqref="AP20">
    <cfRule type="expression" dxfId="4360" priority="4503" stopIfTrue="1">
      <formula>IF(AQ$8="判定対象外",TRUE,FALSE)</formula>
    </cfRule>
  </conditionalFormatting>
  <conditionalFormatting sqref="AP20">
    <cfRule type="expression" dxfId="4359" priority="4502" stopIfTrue="1">
      <formula>IF(AQ$8="判定対象外",TRUE,FALSE)</formula>
    </cfRule>
  </conditionalFormatting>
  <conditionalFormatting sqref="AP13">
    <cfRule type="expression" dxfId="4358" priority="4501" stopIfTrue="1">
      <formula>IF(AQ$8="判定対象外",TRUE,FALSE)</formula>
    </cfRule>
  </conditionalFormatting>
  <conditionalFormatting sqref="AP47">
    <cfRule type="expression" dxfId="4357" priority="4500" stopIfTrue="1">
      <formula>IF(AQ$8="判定対象外",TRUE,FALSE)</formula>
    </cfRule>
  </conditionalFormatting>
  <conditionalFormatting sqref="AP47">
    <cfRule type="expression" dxfId="4356" priority="4499" stopIfTrue="1">
      <formula>IF(AQ$8="判定対象外",TRUE,FALSE)</formula>
    </cfRule>
  </conditionalFormatting>
  <conditionalFormatting sqref="AP49">
    <cfRule type="expression" dxfId="4355" priority="4498" stopIfTrue="1">
      <formula>IF(AQ$8="判定対象外",TRUE,FALSE)</formula>
    </cfRule>
  </conditionalFormatting>
  <conditionalFormatting sqref="AP49">
    <cfRule type="expression" dxfId="4354" priority="4497" stopIfTrue="1">
      <formula>IF(AQ$8="判定対象外",TRUE,FALSE)</formula>
    </cfRule>
  </conditionalFormatting>
  <conditionalFormatting sqref="AP50">
    <cfRule type="expression" dxfId="4353" priority="4496" stopIfTrue="1">
      <formula>IF(AQ$8="判定対象外",TRUE,FALSE)</formula>
    </cfRule>
  </conditionalFormatting>
  <conditionalFormatting sqref="AP50">
    <cfRule type="expression" dxfId="4352" priority="4495" stopIfTrue="1">
      <formula>IF(AQ$8="判定対象外",TRUE,FALSE)</formula>
    </cfRule>
  </conditionalFormatting>
  <conditionalFormatting sqref="AP53 AP56 AP62 AP65 AP68 AP71">
    <cfRule type="expression" dxfId="4351" priority="4494" stopIfTrue="1">
      <formula>IF(AQ$8="判定対象外",TRUE,FALSE)</formula>
    </cfRule>
  </conditionalFormatting>
  <conditionalFormatting sqref="AP54 AP57 AP60 AP63 AP66 AP69">
    <cfRule type="expression" dxfId="4350" priority="4493" stopIfTrue="1">
      <formula>IF(AQ$8="判定対象外",TRUE,FALSE)</formula>
    </cfRule>
  </conditionalFormatting>
  <conditionalFormatting sqref="AS57">
    <cfRule type="expression" dxfId="4349" priority="4491" stopIfTrue="1">
      <formula>IF(AS57="-",TRUE,FALSE)</formula>
    </cfRule>
    <cfRule type="expression" dxfId="4348" priority="4492" stopIfTrue="1">
      <formula>IF(OR(AS57="OK"),FALSE,TRUE)</formula>
    </cfRule>
  </conditionalFormatting>
  <conditionalFormatting sqref="AR57">
    <cfRule type="expression" dxfId="4347" priority="4490" stopIfTrue="1">
      <formula>IF(AQ$8="判定対象外",TRUE,FALSE)</formula>
    </cfRule>
  </conditionalFormatting>
  <conditionalFormatting sqref="AQ57">
    <cfRule type="expression" dxfId="4346" priority="4489" stopIfTrue="1">
      <formula>IF(AQ$8="判定対象外",TRUE,FALSE)</formula>
    </cfRule>
  </conditionalFormatting>
  <conditionalFormatting sqref="AS60:AS64">
    <cfRule type="expression" dxfId="4345" priority="4487" stopIfTrue="1">
      <formula>IF(AS60="-",TRUE,FALSE)</formula>
    </cfRule>
    <cfRule type="expression" dxfId="4344" priority="4488" stopIfTrue="1">
      <formula>IF(OR(AS60="OK"),FALSE,TRUE)</formula>
    </cfRule>
  </conditionalFormatting>
  <conditionalFormatting sqref="AR60:AR64">
    <cfRule type="expression" dxfId="4343" priority="4486" stopIfTrue="1">
      <formula>IF(AQ$8="判定対象外",TRUE,FALSE)</formula>
    </cfRule>
  </conditionalFormatting>
  <conditionalFormatting sqref="AQ60:AQ64">
    <cfRule type="expression" dxfId="4342" priority="4485" stopIfTrue="1">
      <formula>IF(AQ$8="判定対象外",TRUE,FALSE)</formula>
    </cfRule>
  </conditionalFormatting>
  <conditionalFormatting sqref="AS65:AS70">
    <cfRule type="expression" dxfId="4341" priority="4483" stopIfTrue="1">
      <formula>IF(AS65="-",TRUE,FALSE)</formula>
    </cfRule>
    <cfRule type="expression" dxfId="4340" priority="4484" stopIfTrue="1">
      <formula>IF(OR(AS65="OK"),FALSE,TRUE)</formula>
    </cfRule>
  </conditionalFormatting>
  <conditionalFormatting sqref="AR65:AR70">
    <cfRule type="expression" dxfId="4339" priority="4482" stopIfTrue="1">
      <formula>IF(AQ$8="判定対象外",TRUE,FALSE)</formula>
    </cfRule>
  </conditionalFormatting>
  <conditionalFormatting sqref="AQ65:AQ70">
    <cfRule type="expression" dxfId="4338" priority="4481" stopIfTrue="1">
      <formula>IF(AQ$8="判定対象外",TRUE,FALSE)</formula>
    </cfRule>
  </conditionalFormatting>
  <conditionalFormatting sqref="AW8:AW10">
    <cfRule type="expression" dxfId="4337" priority="4479" stopIfTrue="1">
      <formula>IF(AW8="-",TRUE,FALSE)</formula>
    </cfRule>
    <cfRule type="expression" dxfId="4336" priority="4480" stopIfTrue="1">
      <formula>IF(OR(AW8="OK"),FALSE,TRUE)</formula>
    </cfRule>
  </conditionalFormatting>
  <conditionalFormatting sqref="AT8:AT10">
    <cfRule type="expression" dxfId="4335" priority="4478" stopIfTrue="1">
      <formula>IF(AU$8="判定対象外",TRUE,FALSE)</formula>
    </cfRule>
  </conditionalFormatting>
  <conditionalFormatting sqref="AU8:AU10">
    <cfRule type="expression" dxfId="4334" priority="4477" stopIfTrue="1">
      <formula>IF(AU$8="判定対象外",TRUE,FALSE)</formula>
    </cfRule>
  </conditionalFormatting>
  <conditionalFormatting sqref="AV8:AV10">
    <cfRule type="expression" dxfId="4333" priority="4476" stopIfTrue="1">
      <formula>IF(AU$8="判定対象外",TRUE,FALSE)</formula>
    </cfRule>
  </conditionalFormatting>
  <conditionalFormatting sqref="AW11:AW56 AW71:AW81">
    <cfRule type="expression" dxfId="4332" priority="4473" stopIfTrue="1">
      <formula>IF(AW11="-",TRUE,FALSE)</formula>
    </cfRule>
    <cfRule type="expression" dxfId="4331" priority="4474" stopIfTrue="1">
      <formula>IF(OR(AW11="OK"),FALSE,TRUE)</formula>
    </cfRule>
  </conditionalFormatting>
  <conditionalFormatting sqref="AV11:AV56 AV71:AV81">
    <cfRule type="expression" dxfId="4330" priority="4472" stopIfTrue="1">
      <formula>IF(AU$8="判定対象外",TRUE,FALSE)</formula>
    </cfRule>
  </conditionalFormatting>
  <conditionalFormatting sqref="AT72:AT81 AT21:AT46">
    <cfRule type="expression" dxfId="4329" priority="4471" stopIfTrue="1">
      <formula>IF(AU$8="判定対象外",TRUE,FALSE)</formula>
    </cfRule>
  </conditionalFormatting>
  <conditionalFormatting sqref="AT29:AT32">
    <cfRule type="expression" dxfId="4328" priority="4470" stopIfTrue="1">
      <formula>IF(AU$8="判定対象外",TRUE,FALSE)</formula>
    </cfRule>
  </conditionalFormatting>
  <conditionalFormatting sqref="AT42:AT44">
    <cfRule type="expression" dxfId="4327" priority="4469" stopIfTrue="1">
      <formula>IF(AU$8="判定対象外",TRUE,FALSE)</formula>
    </cfRule>
  </conditionalFormatting>
  <conditionalFormatting sqref="AT46">
    <cfRule type="expression" dxfId="4326" priority="4468" stopIfTrue="1">
      <formula>IF(AU$8="判定対象外",TRUE,FALSE)</formula>
    </cfRule>
  </conditionalFormatting>
  <conditionalFormatting sqref="AT42:AT44">
    <cfRule type="expression" dxfId="4325" priority="4467" stopIfTrue="1">
      <formula>IF(AU$8="判定対象外",TRUE,FALSE)</formula>
    </cfRule>
  </conditionalFormatting>
  <conditionalFormatting sqref="AT42:AT44">
    <cfRule type="expression" dxfId="4324" priority="4466" stopIfTrue="1">
      <formula>IF(AU$8="判定対象外",TRUE,FALSE)</formula>
    </cfRule>
  </conditionalFormatting>
  <conditionalFormatting sqref="AT42:AT44">
    <cfRule type="expression" dxfId="4323" priority="4465" stopIfTrue="1">
      <formula>IF(AU$8="判定対象外",TRUE,FALSE)</formula>
    </cfRule>
  </conditionalFormatting>
  <conditionalFormatting sqref="AT42:AT44">
    <cfRule type="expression" dxfId="4322" priority="4464" stopIfTrue="1">
      <formula>IF(AU$8="判定対象外",TRUE,FALSE)</formula>
    </cfRule>
  </conditionalFormatting>
  <conditionalFormatting sqref="AT42:AT44">
    <cfRule type="expression" dxfId="4321" priority="4463" stopIfTrue="1">
      <formula>IF(AU$8="判定対象外",TRUE,FALSE)</formula>
    </cfRule>
  </conditionalFormatting>
  <conditionalFormatting sqref="AT42:AT44">
    <cfRule type="expression" dxfId="4320" priority="4462" stopIfTrue="1">
      <formula>IF(AU$8="判定対象外",TRUE,FALSE)</formula>
    </cfRule>
  </conditionalFormatting>
  <conditionalFormatting sqref="AT42:AT44">
    <cfRule type="expression" dxfId="4319" priority="4461" stopIfTrue="1">
      <formula>IF(AU$8="判定対象外",TRUE,FALSE)</formula>
    </cfRule>
  </conditionalFormatting>
  <conditionalFormatting sqref="AT38">
    <cfRule type="expression" dxfId="4318" priority="4475" stopIfTrue="1">
      <formula>IF(#REF!="判定対象外",TRUE,FALSE)</formula>
    </cfRule>
  </conditionalFormatting>
  <conditionalFormatting sqref="AU11:AU56 AU71:AU81">
    <cfRule type="expression" dxfId="4317" priority="4460" stopIfTrue="1">
      <formula>IF(AU$8="判定対象外",TRUE,FALSE)</formula>
    </cfRule>
  </conditionalFormatting>
  <conditionalFormatting sqref="AT48">
    <cfRule type="expression" dxfId="4316" priority="4459" stopIfTrue="1">
      <formula>IF(AU$8="判定対象外",TRUE,FALSE)</formula>
    </cfRule>
  </conditionalFormatting>
  <conditionalFormatting sqref="AT51">
    <cfRule type="expression" dxfId="4315" priority="4458" stopIfTrue="1">
      <formula>IF(AU$8="判定対象外",TRUE,FALSE)</formula>
    </cfRule>
  </conditionalFormatting>
  <conditionalFormatting sqref="AT52 AT55 AT61 AT64 AT67 AT70">
    <cfRule type="expression" dxfId="4314" priority="4457" stopIfTrue="1">
      <formula>IF(AU$8="判定対象外",TRUE,FALSE)</formula>
    </cfRule>
  </conditionalFormatting>
  <conditionalFormatting sqref="AT11:AT20">
    <cfRule type="expression" dxfId="4313" priority="4456" stopIfTrue="1">
      <formula>IF(AU$8="判定対象外",TRUE,FALSE)</formula>
    </cfRule>
  </conditionalFormatting>
  <conditionalFormatting sqref="AT16:AT18">
    <cfRule type="expression" dxfId="4312" priority="4455" stopIfTrue="1">
      <formula>IF(AU$8="判定対象外",TRUE,FALSE)</formula>
    </cfRule>
  </conditionalFormatting>
  <conditionalFormatting sqref="AT20">
    <cfRule type="expression" dxfId="4311" priority="4454" stopIfTrue="1">
      <formula>IF(AU$8="判定対象外",TRUE,FALSE)</formula>
    </cfRule>
  </conditionalFormatting>
  <conditionalFormatting sqref="AT16:AT20">
    <cfRule type="expression" dxfId="4310" priority="4453" stopIfTrue="1">
      <formula>IF(AU$8="判定対象外",TRUE,FALSE)</formula>
    </cfRule>
  </conditionalFormatting>
  <conditionalFormatting sqref="AT11:AT20">
    <cfRule type="expression" dxfId="4309" priority="4452" stopIfTrue="1">
      <formula>IF(AU$8="判定対象外",TRUE,FALSE)</formula>
    </cfRule>
  </conditionalFormatting>
  <conditionalFormatting sqref="AT16:AT18">
    <cfRule type="expression" dxfId="4308" priority="4451" stopIfTrue="1">
      <formula>IF(AU$8="判定対象外",TRUE,FALSE)</formula>
    </cfRule>
  </conditionalFormatting>
  <conditionalFormatting sqref="AT20">
    <cfRule type="expression" dxfId="4307" priority="4450" stopIfTrue="1">
      <formula>IF(AU$8="判定対象外",TRUE,FALSE)</formula>
    </cfRule>
  </conditionalFormatting>
  <conditionalFormatting sqref="AT16:AT20">
    <cfRule type="expression" dxfId="4306" priority="4449" stopIfTrue="1">
      <formula>IF(AU$8="判定対象外",TRUE,FALSE)</formula>
    </cfRule>
  </conditionalFormatting>
  <conditionalFormatting sqref="AT11:AT20">
    <cfRule type="expression" dxfId="4305" priority="4448" stopIfTrue="1">
      <formula>IF(AU$8="判定対象外",TRUE,FALSE)</formula>
    </cfRule>
  </conditionalFormatting>
  <conditionalFormatting sqref="AT16:AT18">
    <cfRule type="expression" dxfId="4304" priority="4447" stopIfTrue="1">
      <formula>IF(AU$8="判定対象外",TRUE,FALSE)</formula>
    </cfRule>
  </conditionalFormatting>
  <conditionalFormatting sqref="AT20">
    <cfRule type="expression" dxfId="4303" priority="4446" stopIfTrue="1">
      <formula>IF(AU$8="判定対象外",TRUE,FALSE)</formula>
    </cfRule>
  </conditionalFormatting>
  <conditionalFormatting sqref="AT16:AT20">
    <cfRule type="expression" dxfId="4302" priority="4445" stopIfTrue="1">
      <formula>IF(AU$8="判定対象外",TRUE,FALSE)</formula>
    </cfRule>
  </conditionalFormatting>
  <conditionalFormatting sqref="AT11:AT13">
    <cfRule type="expression" dxfId="4301" priority="4444" stopIfTrue="1">
      <formula>IF(AU$8="判定対象外",TRUE,FALSE)</formula>
    </cfRule>
  </conditionalFormatting>
  <conditionalFormatting sqref="AT15">
    <cfRule type="expression" dxfId="4300" priority="4443" stopIfTrue="1">
      <formula>IF(AU$8="判定対象外",TRUE,FALSE)</formula>
    </cfRule>
  </conditionalFormatting>
  <conditionalFormatting sqref="AT19">
    <cfRule type="expression" dxfId="4299" priority="4442" stopIfTrue="1">
      <formula>IF(AU$8="判定対象外",TRUE,FALSE)</formula>
    </cfRule>
  </conditionalFormatting>
  <conditionalFormatting sqref="AT19">
    <cfRule type="expression" dxfId="4298" priority="4441" stopIfTrue="1">
      <formula>IF(AU$8="判定対象外",TRUE,FALSE)</formula>
    </cfRule>
  </conditionalFormatting>
  <conditionalFormatting sqref="AT20">
    <cfRule type="expression" dxfId="4297" priority="4440" stopIfTrue="1">
      <formula>IF(AU$8="判定対象外",TRUE,FALSE)</formula>
    </cfRule>
  </conditionalFormatting>
  <conditionalFormatting sqref="AT20">
    <cfRule type="expression" dxfId="4296" priority="4439" stopIfTrue="1">
      <formula>IF(AU$8="判定対象外",TRUE,FALSE)</formula>
    </cfRule>
  </conditionalFormatting>
  <conditionalFormatting sqref="AT20">
    <cfRule type="expression" dxfId="4295" priority="4438" stopIfTrue="1">
      <formula>IF(AU$8="判定対象外",TRUE,FALSE)</formula>
    </cfRule>
  </conditionalFormatting>
  <conditionalFormatting sqref="AT13">
    <cfRule type="expression" dxfId="4294" priority="4437" stopIfTrue="1">
      <formula>IF(AU$8="判定対象外",TRUE,FALSE)</formula>
    </cfRule>
  </conditionalFormatting>
  <conditionalFormatting sqref="AT47">
    <cfRule type="expression" dxfId="4293" priority="4436" stopIfTrue="1">
      <formula>IF(AU$8="判定対象外",TRUE,FALSE)</formula>
    </cfRule>
  </conditionalFormatting>
  <conditionalFormatting sqref="AT47">
    <cfRule type="expression" dxfId="4292" priority="4435" stopIfTrue="1">
      <formula>IF(AU$8="判定対象外",TRUE,FALSE)</formula>
    </cfRule>
  </conditionalFormatting>
  <conditionalFormatting sqref="AT49">
    <cfRule type="expression" dxfId="4291" priority="4434" stopIfTrue="1">
      <formula>IF(AU$8="判定対象外",TRUE,FALSE)</formula>
    </cfRule>
  </conditionalFormatting>
  <conditionalFormatting sqref="AT49">
    <cfRule type="expression" dxfId="4290" priority="4433" stopIfTrue="1">
      <formula>IF(AU$8="判定対象外",TRUE,FALSE)</formula>
    </cfRule>
  </conditionalFormatting>
  <conditionalFormatting sqref="AT50">
    <cfRule type="expression" dxfId="4289" priority="4432" stopIfTrue="1">
      <formula>IF(AU$8="判定対象外",TRUE,FALSE)</formula>
    </cfRule>
  </conditionalFormatting>
  <conditionalFormatting sqref="AT50">
    <cfRule type="expression" dxfId="4288" priority="4431" stopIfTrue="1">
      <formula>IF(AU$8="判定対象外",TRUE,FALSE)</formula>
    </cfRule>
  </conditionalFormatting>
  <conditionalFormatting sqref="AT53 AT56 AT62 AT65 AT68 AT71">
    <cfRule type="expression" dxfId="4287" priority="4430" stopIfTrue="1">
      <formula>IF(AU$8="判定対象外",TRUE,FALSE)</formula>
    </cfRule>
  </conditionalFormatting>
  <conditionalFormatting sqref="AT54 AT57 AT60 AT63 AT66 AT69">
    <cfRule type="expression" dxfId="4286" priority="4429" stopIfTrue="1">
      <formula>IF(AU$8="判定対象外",TRUE,FALSE)</formula>
    </cfRule>
  </conditionalFormatting>
  <conditionalFormatting sqref="AW57">
    <cfRule type="expression" dxfId="4285" priority="4427" stopIfTrue="1">
      <formula>IF(AW57="-",TRUE,FALSE)</formula>
    </cfRule>
    <cfRule type="expression" dxfId="4284" priority="4428" stopIfTrue="1">
      <formula>IF(OR(AW57="OK"),FALSE,TRUE)</formula>
    </cfRule>
  </conditionalFormatting>
  <conditionalFormatting sqref="AV57">
    <cfRule type="expression" dxfId="4283" priority="4426" stopIfTrue="1">
      <formula>IF(AU$8="判定対象外",TRUE,FALSE)</formula>
    </cfRule>
  </conditionalFormatting>
  <conditionalFormatting sqref="AU57">
    <cfRule type="expression" dxfId="4282" priority="4425" stopIfTrue="1">
      <formula>IF(AU$8="判定対象外",TRUE,FALSE)</formula>
    </cfRule>
  </conditionalFormatting>
  <conditionalFormatting sqref="AW60:AW64">
    <cfRule type="expression" dxfId="4281" priority="4423" stopIfTrue="1">
      <formula>IF(AW60="-",TRUE,FALSE)</formula>
    </cfRule>
    <cfRule type="expression" dxfId="4280" priority="4424" stopIfTrue="1">
      <formula>IF(OR(AW60="OK"),FALSE,TRUE)</formula>
    </cfRule>
  </conditionalFormatting>
  <conditionalFormatting sqref="AV60:AV64">
    <cfRule type="expression" dxfId="4279" priority="4422" stopIfTrue="1">
      <formula>IF(AU$8="判定対象外",TRUE,FALSE)</formula>
    </cfRule>
  </conditionalFormatting>
  <conditionalFormatting sqref="AU60:AU64">
    <cfRule type="expression" dxfId="4278" priority="4421" stopIfTrue="1">
      <formula>IF(AU$8="判定対象外",TRUE,FALSE)</formula>
    </cfRule>
  </conditionalFormatting>
  <conditionalFormatting sqref="AW65:AW70">
    <cfRule type="expression" dxfId="4277" priority="4419" stopIfTrue="1">
      <formula>IF(AW65="-",TRUE,FALSE)</formula>
    </cfRule>
    <cfRule type="expression" dxfId="4276" priority="4420" stopIfTrue="1">
      <formula>IF(OR(AW65="OK"),FALSE,TRUE)</formula>
    </cfRule>
  </conditionalFormatting>
  <conditionalFormatting sqref="AV65:AV70">
    <cfRule type="expression" dxfId="4275" priority="4418" stopIfTrue="1">
      <formula>IF(AU$8="判定対象外",TRUE,FALSE)</formula>
    </cfRule>
  </conditionalFormatting>
  <conditionalFormatting sqref="AU65:AU70">
    <cfRule type="expression" dxfId="4274" priority="4417" stopIfTrue="1">
      <formula>IF(AU$8="判定対象外",TRUE,FALSE)</formula>
    </cfRule>
  </conditionalFormatting>
  <conditionalFormatting sqref="AX29:AX32">
    <cfRule type="expression" dxfId="4273" priority="4405" stopIfTrue="1">
      <formula>IF(AY$8="判定対象外",TRUE,FALSE)</formula>
    </cfRule>
  </conditionalFormatting>
  <conditionalFormatting sqref="BA8:BA10">
    <cfRule type="expression" dxfId="4272" priority="4414" stopIfTrue="1">
      <formula>IF(BA8="-",TRUE,FALSE)</formula>
    </cfRule>
    <cfRule type="expression" dxfId="4271" priority="4415" stopIfTrue="1">
      <formula>IF(OR(BA8="OK"),FALSE,TRUE)</formula>
    </cfRule>
  </conditionalFormatting>
  <conditionalFormatting sqref="AX8:AX10">
    <cfRule type="expression" dxfId="4270" priority="4413" stopIfTrue="1">
      <formula>IF(AY$8="判定対象外",TRUE,FALSE)</formula>
    </cfRule>
  </conditionalFormatting>
  <conditionalFormatting sqref="AY8:AY10">
    <cfRule type="expression" dxfId="4269" priority="4412" stopIfTrue="1">
      <formula>IF(AY$8="判定対象外",TRUE,FALSE)</formula>
    </cfRule>
  </conditionalFormatting>
  <conditionalFormatting sqref="AZ8:AZ10">
    <cfRule type="expression" dxfId="4268" priority="4411" stopIfTrue="1">
      <formula>IF(AY$8="判定対象外",TRUE,FALSE)</formula>
    </cfRule>
  </conditionalFormatting>
  <conditionalFormatting sqref="BA11:BA56 BA71:BA81">
    <cfRule type="expression" dxfId="4267" priority="4408" stopIfTrue="1">
      <formula>IF(BA11="-",TRUE,FALSE)</formula>
    </cfRule>
    <cfRule type="expression" dxfId="4266" priority="4409" stopIfTrue="1">
      <formula>IF(OR(BA11="OK"),FALSE,TRUE)</formula>
    </cfRule>
  </conditionalFormatting>
  <conditionalFormatting sqref="AZ11:AZ56 AZ71:AZ81">
    <cfRule type="expression" dxfId="4265" priority="4407" stopIfTrue="1">
      <formula>IF(AY$8="判定対象外",TRUE,FALSE)</formula>
    </cfRule>
  </conditionalFormatting>
  <conditionalFormatting sqref="AX72:AX81 AX21:AX46">
    <cfRule type="expression" dxfId="4264" priority="4406" stopIfTrue="1">
      <formula>IF(AY$8="判定対象外",TRUE,FALSE)</formula>
    </cfRule>
  </conditionalFormatting>
  <conditionalFormatting sqref="BJ16:BJ18">
    <cfRule type="expression" dxfId="4263" priority="4168" stopIfTrue="1">
      <formula>IF(BK$8="判定対象外",TRUE,FALSE)</formula>
    </cfRule>
  </conditionalFormatting>
  <conditionalFormatting sqref="AX42:AX44">
    <cfRule type="expression" dxfId="4262" priority="4404" stopIfTrue="1">
      <formula>IF(AY$8="判定対象外",TRUE,FALSE)</formula>
    </cfRule>
  </conditionalFormatting>
  <conditionalFormatting sqref="AX46">
    <cfRule type="expression" dxfId="4261" priority="4403" stopIfTrue="1">
      <formula>IF(AY$8="判定対象外",TRUE,FALSE)</formula>
    </cfRule>
  </conditionalFormatting>
  <conditionalFormatting sqref="AX42:AX44">
    <cfRule type="expression" dxfId="4260" priority="4402" stopIfTrue="1">
      <formula>IF(AY$8="判定対象外",TRUE,FALSE)</formula>
    </cfRule>
  </conditionalFormatting>
  <conditionalFormatting sqref="AX42:AX44">
    <cfRule type="expression" dxfId="4259" priority="4401" stopIfTrue="1">
      <formula>IF(AY$8="判定対象外",TRUE,FALSE)</formula>
    </cfRule>
  </conditionalFormatting>
  <conditionalFormatting sqref="AX42:AX44">
    <cfRule type="expression" dxfId="4258" priority="4400" stopIfTrue="1">
      <formula>IF(AY$8="判定対象外",TRUE,FALSE)</formula>
    </cfRule>
  </conditionalFormatting>
  <conditionalFormatting sqref="AX42:AX44">
    <cfRule type="expression" dxfId="4257" priority="4399" stopIfTrue="1">
      <formula>IF(AY$8="判定対象外",TRUE,FALSE)</formula>
    </cfRule>
  </conditionalFormatting>
  <conditionalFormatting sqref="AX42:AX44">
    <cfRule type="expression" dxfId="4256" priority="4398" stopIfTrue="1">
      <formula>IF(AY$8="判定対象外",TRUE,FALSE)</formula>
    </cfRule>
  </conditionalFormatting>
  <conditionalFormatting sqref="AX42:AX44">
    <cfRule type="expression" dxfId="4255" priority="4397" stopIfTrue="1">
      <formula>IF(AY$8="判定対象外",TRUE,FALSE)</formula>
    </cfRule>
  </conditionalFormatting>
  <conditionalFormatting sqref="AX42:AX44">
    <cfRule type="expression" dxfId="4254" priority="4396" stopIfTrue="1">
      <formula>IF(AY$8="判定対象外",TRUE,FALSE)</formula>
    </cfRule>
  </conditionalFormatting>
  <conditionalFormatting sqref="AX38">
    <cfRule type="expression" dxfId="4253" priority="4410" stopIfTrue="1">
      <formula>IF(#REF!="判定対象外",TRUE,FALSE)</formula>
    </cfRule>
  </conditionalFormatting>
  <conditionalFormatting sqref="AY11:AY56 AY71:AY81">
    <cfRule type="expression" dxfId="4252" priority="4395" stopIfTrue="1">
      <formula>IF(AY$8="判定対象外",TRUE,FALSE)</formula>
    </cfRule>
  </conditionalFormatting>
  <conditionalFormatting sqref="AX48">
    <cfRule type="expression" dxfId="4251" priority="4394" stopIfTrue="1">
      <formula>IF(AY$8="判定対象外",TRUE,FALSE)</formula>
    </cfRule>
  </conditionalFormatting>
  <conditionalFormatting sqref="AX51">
    <cfRule type="expression" dxfId="4250" priority="4393" stopIfTrue="1">
      <formula>IF(AY$8="判定対象外",TRUE,FALSE)</formula>
    </cfRule>
  </conditionalFormatting>
  <conditionalFormatting sqref="AX52 AX55 AX61 AX64 AX67 AX70">
    <cfRule type="expression" dxfId="4249" priority="4392" stopIfTrue="1">
      <formula>IF(AY$8="判定対象外",TRUE,FALSE)</formula>
    </cfRule>
  </conditionalFormatting>
  <conditionalFormatting sqref="AX11:AX20">
    <cfRule type="expression" dxfId="4248" priority="4391" stopIfTrue="1">
      <formula>IF(AY$8="判定対象外",TRUE,FALSE)</formula>
    </cfRule>
  </conditionalFormatting>
  <conditionalFormatting sqref="AX16:AX18">
    <cfRule type="expression" dxfId="4247" priority="4390" stopIfTrue="1">
      <formula>IF(AY$8="判定対象外",TRUE,FALSE)</formula>
    </cfRule>
  </conditionalFormatting>
  <conditionalFormatting sqref="AX20">
    <cfRule type="expression" dxfId="4246" priority="4389" stopIfTrue="1">
      <formula>IF(AY$8="判定対象外",TRUE,FALSE)</formula>
    </cfRule>
  </conditionalFormatting>
  <conditionalFormatting sqref="AX16:AX20">
    <cfRule type="expression" dxfId="4245" priority="4388" stopIfTrue="1">
      <formula>IF(AY$8="判定対象外",TRUE,FALSE)</formula>
    </cfRule>
  </conditionalFormatting>
  <conditionalFormatting sqref="AX11:AX20">
    <cfRule type="expression" dxfId="4244" priority="4387" stopIfTrue="1">
      <formula>IF(AY$8="判定対象外",TRUE,FALSE)</formula>
    </cfRule>
  </conditionalFormatting>
  <conditionalFormatting sqref="AX16:AX18">
    <cfRule type="expression" dxfId="4243" priority="4386" stopIfTrue="1">
      <formula>IF(AY$8="判定対象外",TRUE,FALSE)</formula>
    </cfRule>
  </conditionalFormatting>
  <conditionalFormatting sqref="AX20">
    <cfRule type="expression" dxfId="4242" priority="4385" stopIfTrue="1">
      <formula>IF(AY$8="判定対象外",TRUE,FALSE)</formula>
    </cfRule>
  </conditionalFormatting>
  <conditionalFormatting sqref="AX16:AX20">
    <cfRule type="expression" dxfId="4241" priority="4384" stopIfTrue="1">
      <formula>IF(AY$8="判定対象外",TRUE,FALSE)</formula>
    </cfRule>
  </conditionalFormatting>
  <conditionalFormatting sqref="AX11:AX20">
    <cfRule type="expression" dxfId="4240" priority="4383" stopIfTrue="1">
      <formula>IF(AY$8="判定対象外",TRUE,FALSE)</formula>
    </cfRule>
  </conditionalFormatting>
  <conditionalFormatting sqref="AX16:AX18">
    <cfRule type="expression" dxfId="4239" priority="4382" stopIfTrue="1">
      <formula>IF(AY$8="判定対象外",TRUE,FALSE)</formula>
    </cfRule>
  </conditionalFormatting>
  <conditionalFormatting sqref="AX20">
    <cfRule type="expression" dxfId="4238" priority="4381" stopIfTrue="1">
      <formula>IF(AY$8="判定対象外",TRUE,FALSE)</formula>
    </cfRule>
  </conditionalFormatting>
  <conditionalFormatting sqref="AX16:AX20">
    <cfRule type="expression" dxfId="4237" priority="4380" stopIfTrue="1">
      <formula>IF(AY$8="判定対象外",TRUE,FALSE)</formula>
    </cfRule>
  </conditionalFormatting>
  <conditionalFormatting sqref="AX11:AX13">
    <cfRule type="expression" dxfId="4236" priority="4379" stopIfTrue="1">
      <formula>IF(AY$8="判定対象外",TRUE,FALSE)</formula>
    </cfRule>
  </conditionalFormatting>
  <conditionalFormatting sqref="AX15">
    <cfRule type="expression" dxfId="4235" priority="4378" stopIfTrue="1">
      <formula>IF(AY$8="判定対象外",TRUE,FALSE)</formula>
    </cfRule>
  </conditionalFormatting>
  <conditionalFormatting sqref="AX19">
    <cfRule type="expression" dxfId="4234" priority="4377" stopIfTrue="1">
      <formula>IF(AY$8="判定対象外",TRUE,FALSE)</formula>
    </cfRule>
  </conditionalFormatting>
  <conditionalFormatting sqref="AX19">
    <cfRule type="expression" dxfId="4233" priority="4376" stopIfTrue="1">
      <formula>IF(AY$8="判定対象外",TRUE,FALSE)</formula>
    </cfRule>
  </conditionalFormatting>
  <conditionalFormatting sqref="AX20">
    <cfRule type="expression" dxfId="4232" priority="4375" stopIfTrue="1">
      <formula>IF(AY$8="判定対象外",TRUE,FALSE)</formula>
    </cfRule>
  </conditionalFormatting>
  <conditionalFormatting sqref="AX20">
    <cfRule type="expression" dxfId="4231" priority="4374" stopIfTrue="1">
      <formula>IF(AY$8="判定対象外",TRUE,FALSE)</formula>
    </cfRule>
  </conditionalFormatting>
  <conditionalFormatting sqref="AX20">
    <cfRule type="expression" dxfId="4230" priority="4373" stopIfTrue="1">
      <formula>IF(AY$8="判定対象外",TRUE,FALSE)</formula>
    </cfRule>
  </conditionalFormatting>
  <conditionalFormatting sqref="AX13">
    <cfRule type="expression" dxfId="4229" priority="4372" stopIfTrue="1">
      <formula>IF(AY$8="判定対象外",TRUE,FALSE)</formula>
    </cfRule>
  </conditionalFormatting>
  <conditionalFormatting sqref="AX47">
    <cfRule type="expression" dxfId="4228" priority="4371" stopIfTrue="1">
      <formula>IF(AY$8="判定対象外",TRUE,FALSE)</formula>
    </cfRule>
  </conditionalFormatting>
  <conditionalFormatting sqref="AX47">
    <cfRule type="expression" dxfId="4227" priority="4370" stopIfTrue="1">
      <formula>IF(AY$8="判定対象外",TRUE,FALSE)</formula>
    </cfRule>
  </conditionalFormatting>
  <conditionalFormatting sqref="AX49">
    <cfRule type="expression" dxfId="4226" priority="4369" stopIfTrue="1">
      <formula>IF(AY$8="判定対象外",TRUE,FALSE)</formula>
    </cfRule>
  </conditionalFormatting>
  <conditionalFormatting sqref="AX49">
    <cfRule type="expression" dxfId="4225" priority="4368" stopIfTrue="1">
      <formula>IF(AY$8="判定対象外",TRUE,FALSE)</formula>
    </cfRule>
  </conditionalFormatting>
  <conditionalFormatting sqref="AX50">
    <cfRule type="expression" dxfId="4224" priority="4367" stopIfTrue="1">
      <formula>IF(AY$8="判定対象外",TRUE,FALSE)</formula>
    </cfRule>
  </conditionalFormatting>
  <conditionalFormatting sqref="AX50">
    <cfRule type="expression" dxfId="4223" priority="4366" stopIfTrue="1">
      <formula>IF(AY$8="判定対象外",TRUE,FALSE)</formula>
    </cfRule>
  </conditionalFormatting>
  <conditionalFormatting sqref="AX53 AX56 AX62 AX65 AX68 AX71">
    <cfRule type="expression" dxfId="4222" priority="4365" stopIfTrue="1">
      <formula>IF(AY$8="判定対象外",TRUE,FALSE)</formula>
    </cfRule>
  </conditionalFormatting>
  <conditionalFormatting sqref="AX54 AX57 AX63 AX66 AX69">
    <cfRule type="expression" dxfId="4221" priority="4364" stopIfTrue="1">
      <formula>IF(AY$8="判定対象外",TRUE,FALSE)</formula>
    </cfRule>
  </conditionalFormatting>
  <conditionalFormatting sqref="BA57">
    <cfRule type="expression" dxfId="4220" priority="4362" stopIfTrue="1">
      <formula>IF(BA57="-",TRUE,FALSE)</formula>
    </cfRule>
    <cfRule type="expression" dxfId="4219" priority="4363" stopIfTrue="1">
      <formula>IF(OR(BA57="OK"),FALSE,TRUE)</formula>
    </cfRule>
  </conditionalFormatting>
  <conditionalFormatting sqref="AZ57">
    <cfRule type="expression" dxfId="4218" priority="4361" stopIfTrue="1">
      <formula>IF(AY$8="判定対象外",TRUE,FALSE)</formula>
    </cfRule>
  </conditionalFormatting>
  <conditionalFormatting sqref="AY57">
    <cfRule type="expression" dxfId="4217" priority="4360" stopIfTrue="1">
      <formula>IF(AY$8="判定対象外",TRUE,FALSE)</formula>
    </cfRule>
  </conditionalFormatting>
  <conditionalFormatting sqref="BA58:BA64">
    <cfRule type="expression" dxfId="4216" priority="4358" stopIfTrue="1">
      <formula>IF(BA58="-",TRUE,FALSE)</formula>
    </cfRule>
    <cfRule type="expression" dxfId="4215" priority="4359" stopIfTrue="1">
      <formula>IF(OR(BA58="OK"),FALSE,TRUE)</formula>
    </cfRule>
  </conditionalFormatting>
  <conditionalFormatting sqref="AZ58:AZ64">
    <cfRule type="expression" dxfId="4214" priority="4357" stopIfTrue="1">
      <formula>IF(AY$8="判定対象外",TRUE,FALSE)</formula>
    </cfRule>
  </conditionalFormatting>
  <conditionalFormatting sqref="AY58:AY64">
    <cfRule type="expression" dxfId="4213" priority="4356" stopIfTrue="1">
      <formula>IF(AY$8="判定対象外",TRUE,FALSE)</formula>
    </cfRule>
  </conditionalFormatting>
  <conditionalFormatting sqref="BA65:BA70">
    <cfRule type="expression" dxfId="4212" priority="4354" stopIfTrue="1">
      <formula>IF(BA65="-",TRUE,FALSE)</formula>
    </cfRule>
    <cfRule type="expression" dxfId="4211" priority="4355" stopIfTrue="1">
      <formula>IF(OR(BA65="OK"),FALSE,TRUE)</formula>
    </cfRule>
  </conditionalFormatting>
  <conditionalFormatting sqref="AZ65:AZ70">
    <cfRule type="expression" dxfId="4210" priority="4353" stopIfTrue="1">
      <formula>IF(AY$8="判定対象外",TRUE,FALSE)</formula>
    </cfRule>
  </conditionalFormatting>
  <conditionalFormatting sqref="AY65:AY70">
    <cfRule type="expression" dxfId="4209" priority="4352" stopIfTrue="1">
      <formula>IF(AY$8="判定対象外",TRUE,FALSE)</formula>
    </cfRule>
  </conditionalFormatting>
  <conditionalFormatting sqref="AX60">
    <cfRule type="expression" dxfId="4208" priority="4349" stopIfTrue="1">
      <formula>IF(AY$8="判定対象外",TRUE,FALSE)</formula>
    </cfRule>
  </conditionalFormatting>
  <conditionalFormatting sqref="AX59">
    <cfRule type="expression" dxfId="4207" priority="4337" stopIfTrue="1">
      <formula>IF(AY$8="判定対象外",TRUE,FALSE)</formula>
    </cfRule>
  </conditionalFormatting>
  <conditionalFormatting sqref="AP59">
    <cfRule type="expression" dxfId="4206" priority="4347" stopIfTrue="1">
      <formula>IF(AQ$8="判定対象外",TRUE,FALSE)</formula>
    </cfRule>
  </conditionalFormatting>
  <conditionalFormatting sqref="AS59">
    <cfRule type="expression" dxfId="4205" priority="4345" stopIfTrue="1">
      <formula>IF(AS59="-",TRUE,FALSE)</formula>
    </cfRule>
    <cfRule type="expression" dxfId="4204" priority="4346" stopIfTrue="1">
      <formula>IF(OR(AS59="OK"),FALSE,TRUE)</formula>
    </cfRule>
  </conditionalFormatting>
  <conditionalFormatting sqref="AR59">
    <cfRule type="expression" dxfId="4203" priority="4344" stopIfTrue="1">
      <formula>IF(AQ$8="判定対象外",TRUE,FALSE)</formula>
    </cfRule>
  </conditionalFormatting>
  <conditionalFormatting sqref="AQ59">
    <cfRule type="expression" dxfId="4202" priority="4343" stopIfTrue="1">
      <formula>IF(AQ$8="判定対象外",TRUE,FALSE)</formula>
    </cfRule>
  </conditionalFormatting>
  <conditionalFormatting sqref="AW59">
    <cfRule type="expression" dxfId="4201" priority="4341" stopIfTrue="1">
      <formula>IF(AW59="-",TRUE,FALSE)</formula>
    </cfRule>
    <cfRule type="expression" dxfId="4200" priority="4342" stopIfTrue="1">
      <formula>IF(OR(AW59="OK"),FALSE,TRUE)</formula>
    </cfRule>
  </conditionalFormatting>
  <conditionalFormatting sqref="AV59">
    <cfRule type="expression" dxfId="4199" priority="4340" stopIfTrue="1">
      <formula>IF(AU$8="判定対象外",TRUE,FALSE)</formula>
    </cfRule>
  </conditionalFormatting>
  <conditionalFormatting sqref="AU59">
    <cfRule type="expression" dxfId="4198" priority="4339" stopIfTrue="1">
      <formula>IF(AU$8="判定対象外",TRUE,FALSE)</formula>
    </cfRule>
  </conditionalFormatting>
  <conditionalFormatting sqref="BJ60">
    <cfRule type="expression" dxfId="4197" priority="4100" stopIfTrue="1">
      <formula>IF(BK$8="判定対象外",TRUE,FALSE)</formula>
    </cfRule>
  </conditionalFormatting>
  <conditionalFormatting sqref="AP58">
    <cfRule type="expression" dxfId="4196" priority="4336" stopIfTrue="1">
      <formula>IF(AQ$8="判定対象外",TRUE,FALSE)</formula>
    </cfRule>
  </conditionalFormatting>
  <conditionalFormatting sqref="AS58">
    <cfRule type="expression" dxfId="4195" priority="4334" stopIfTrue="1">
      <formula>IF(AS58="-",TRUE,FALSE)</formula>
    </cfRule>
    <cfRule type="expression" dxfId="4194" priority="4335" stopIfTrue="1">
      <formula>IF(OR(AS58="OK"),FALSE,TRUE)</formula>
    </cfRule>
  </conditionalFormatting>
  <conditionalFormatting sqref="AR58">
    <cfRule type="expression" dxfId="4193" priority="4333" stopIfTrue="1">
      <formula>IF(AQ$8="判定対象外",TRUE,FALSE)</formula>
    </cfRule>
  </conditionalFormatting>
  <conditionalFormatting sqref="AQ58">
    <cfRule type="expression" dxfId="4192" priority="4332" stopIfTrue="1">
      <formula>IF(AQ$8="判定対象外",TRUE,FALSE)</formula>
    </cfRule>
  </conditionalFormatting>
  <conditionalFormatting sqref="AT58">
    <cfRule type="expression" dxfId="4191" priority="4331" stopIfTrue="1">
      <formula>IF(AU$8="判定対象外",TRUE,FALSE)</formula>
    </cfRule>
  </conditionalFormatting>
  <conditionalFormatting sqref="AW58">
    <cfRule type="expression" dxfId="4190" priority="4329" stopIfTrue="1">
      <formula>IF(AW58="-",TRUE,FALSE)</formula>
    </cfRule>
    <cfRule type="expression" dxfId="4189" priority="4330" stopIfTrue="1">
      <formula>IF(OR(AW58="OK"),FALSE,TRUE)</formula>
    </cfRule>
  </conditionalFormatting>
  <conditionalFormatting sqref="AV58">
    <cfRule type="expression" dxfId="4188" priority="4328" stopIfTrue="1">
      <formula>IF(AU$8="判定対象外",TRUE,FALSE)</formula>
    </cfRule>
  </conditionalFormatting>
  <conditionalFormatting sqref="AU58">
    <cfRule type="expression" dxfId="4187" priority="4327" stopIfTrue="1">
      <formula>IF(AU$8="判定対象外",TRUE,FALSE)</formula>
    </cfRule>
  </conditionalFormatting>
  <conditionalFormatting sqref="AX58">
    <cfRule type="expression" dxfId="4186" priority="4326" stopIfTrue="1">
      <formula>IF(AY$8="判定対象外",TRUE,FALSE)</formula>
    </cfRule>
  </conditionalFormatting>
  <conditionalFormatting sqref="BE8:BE10">
    <cfRule type="expression" dxfId="4185" priority="4324" stopIfTrue="1">
      <formula>IF(BE8="-",TRUE,FALSE)</formula>
    </cfRule>
    <cfRule type="expression" dxfId="4184" priority="4325" stopIfTrue="1">
      <formula>IF(OR(BE8="OK"),FALSE,TRUE)</formula>
    </cfRule>
  </conditionalFormatting>
  <conditionalFormatting sqref="BB8:BB10">
    <cfRule type="expression" dxfId="4183" priority="4323" stopIfTrue="1">
      <formula>IF(BC$8="判定対象外",TRUE,FALSE)</formula>
    </cfRule>
  </conditionalFormatting>
  <conditionalFormatting sqref="BC8:BC10">
    <cfRule type="expression" dxfId="4182" priority="4322" stopIfTrue="1">
      <formula>IF(BC$8="判定対象外",TRUE,FALSE)</formula>
    </cfRule>
  </conditionalFormatting>
  <conditionalFormatting sqref="BD8:BD10">
    <cfRule type="expression" dxfId="4181" priority="4321" stopIfTrue="1">
      <formula>IF(BC$8="判定対象外",TRUE,FALSE)</formula>
    </cfRule>
  </conditionalFormatting>
  <conditionalFormatting sqref="BE11:BE56 BE71:BE81">
    <cfRule type="expression" dxfId="4180" priority="4318" stopIfTrue="1">
      <formula>IF(BE11="-",TRUE,FALSE)</formula>
    </cfRule>
    <cfRule type="expression" dxfId="4179" priority="4319" stopIfTrue="1">
      <formula>IF(OR(BE11="OK"),FALSE,TRUE)</formula>
    </cfRule>
  </conditionalFormatting>
  <conditionalFormatting sqref="BD11:BD56 BD71:BD81">
    <cfRule type="expression" dxfId="4178" priority="4317" stopIfTrue="1">
      <formula>IF(BC$8="判定対象外",TRUE,FALSE)</formula>
    </cfRule>
  </conditionalFormatting>
  <conditionalFormatting sqref="BB72:BB81 BB21:BB46">
    <cfRule type="expression" dxfId="4177" priority="4316" stopIfTrue="1">
      <formula>IF(BC$8="判定対象外",TRUE,FALSE)</formula>
    </cfRule>
  </conditionalFormatting>
  <conditionalFormatting sqref="BB29:BB32">
    <cfRule type="expression" dxfId="4176" priority="4315" stopIfTrue="1">
      <formula>IF(BC$8="判定対象外",TRUE,FALSE)</formula>
    </cfRule>
  </conditionalFormatting>
  <conditionalFormatting sqref="BB42:BB44">
    <cfRule type="expression" dxfId="4175" priority="4314" stopIfTrue="1">
      <formula>IF(BC$8="判定対象外",TRUE,FALSE)</formula>
    </cfRule>
  </conditionalFormatting>
  <conditionalFormatting sqref="BB46">
    <cfRule type="expression" dxfId="4174" priority="4313" stopIfTrue="1">
      <formula>IF(BC$8="判定対象外",TRUE,FALSE)</formula>
    </cfRule>
  </conditionalFormatting>
  <conditionalFormatting sqref="BB42:BB44">
    <cfRule type="expression" dxfId="4173" priority="4312" stopIfTrue="1">
      <formula>IF(BC$8="判定対象外",TRUE,FALSE)</formula>
    </cfRule>
  </conditionalFormatting>
  <conditionalFormatting sqref="BB42:BB44">
    <cfRule type="expression" dxfId="4172" priority="4311" stopIfTrue="1">
      <formula>IF(BC$8="判定対象外",TRUE,FALSE)</formula>
    </cfRule>
  </conditionalFormatting>
  <conditionalFormatting sqref="BB42:BB44">
    <cfRule type="expression" dxfId="4171" priority="4310" stopIfTrue="1">
      <formula>IF(BC$8="判定対象外",TRUE,FALSE)</formula>
    </cfRule>
  </conditionalFormatting>
  <conditionalFormatting sqref="BB42:BB44">
    <cfRule type="expression" dxfId="4170" priority="4309" stopIfTrue="1">
      <formula>IF(BC$8="判定対象外",TRUE,FALSE)</formula>
    </cfRule>
  </conditionalFormatting>
  <conditionalFormatting sqref="BB42:BB44">
    <cfRule type="expression" dxfId="4169" priority="4308" stopIfTrue="1">
      <formula>IF(BC$8="判定対象外",TRUE,FALSE)</formula>
    </cfRule>
  </conditionalFormatting>
  <conditionalFormatting sqref="BB42:BB44">
    <cfRule type="expression" dxfId="4168" priority="4307" stopIfTrue="1">
      <formula>IF(BC$8="判定対象外",TRUE,FALSE)</formula>
    </cfRule>
  </conditionalFormatting>
  <conditionalFormatting sqref="BB42:BB44">
    <cfRule type="expression" dxfId="4167" priority="4306" stopIfTrue="1">
      <formula>IF(BC$8="判定対象外",TRUE,FALSE)</formula>
    </cfRule>
  </conditionalFormatting>
  <conditionalFormatting sqref="BB38">
    <cfRule type="expression" dxfId="4166" priority="4320" stopIfTrue="1">
      <formula>IF(#REF!="判定対象外",TRUE,FALSE)</formula>
    </cfRule>
  </conditionalFormatting>
  <conditionalFormatting sqref="BC11:BC56 BC71:BC81">
    <cfRule type="expression" dxfId="4165" priority="4305" stopIfTrue="1">
      <formula>IF(BC$8="判定対象外",TRUE,FALSE)</formula>
    </cfRule>
  </conditionalFormatting>
  <conditionalFormatting sqref="BB48">
    <cfRule type="expression" dxfId="4164" priority="4304" stopIfTrue="1">
      <formula>IF(BC$8="判定対象外",TRUE,FALSE)</formula>
    </cfRule>
  </conditionalFormatting>
  <conditionalFormatting sqref="BB51">
    <cfRule type="expression" dxfId="4163" priority="4303" stopIfTrue="1">
      <formula>IF(BC$8="判定対象外",TRUE,FALSE)</formula>
    </cfRule>
  </conditionalFormatting>
  <conditionalFormatting sqref="BB52 BB55 BB61 BB64 BB67 BB70">
    <cfRule type="expression" dxfId="4162" priority="4302" stopIfTrue="1">
      <formula>IF(BC$8="判定対象外",TRUE,FALSE)</formula>
    </cfRule>
  </conditionalFormatting>
  <conditionalFormatting sqref="BB11:BB20">
    <cfRule type="expression" dxfId="4161" priority="4301" stopIfTrue="1">
      <formula>IF(BC$8="判定対象外",TRUE,FALSE)</formula>
    </cfRule>
  </conditionalFormatting>
  <conditionalFormatting sqref="BB16:BB18">
    <cfRule type="expression" dxfId="4160" priority="4300" stopIfTrue="1">
      <formula>IF(BC$8="判定対象外",TRUE,FALSE)</formula>
    </cfRule>
  </conditionalFormatting>
  <conditionalFormatting sqref="BB20">
    <cfRule type="expression" dxfId="4159" priority="4299" stopIfTrue="1">
      <formula>IF(BC$8="判定対象外",TRUE,FALSE)</formula>
    </cfRule>
  </conditionalFormatting>
  <conditionalFormatting sqref="BB16:BB20">
    <cfRule type="expression" dxfId="4158" priority="4298" stopIfTrue="1">
      <formula>IF(BC$8="判定対象外",TRUE,FALSE)</formula>
    </cfRule>
  </conditionalFormatting>
  <conditionalFormatting sqref="BB11:BB20">
    <cfRule type="expression" dxfId="4157" priority="4297" stopIfTrue="1">
      <formula>IF(BC$8="判定対象外",TRUE,FALSE)</formula>
    </cfRule>
  </conditionalFormatting>
  <conditionalFormatting sqref="BB16:BB18">
    <cfRule type="expression" dxfId="4156" priority="4296" stopIfTrue="1">
      <formula>IF(BC$8="判定対象外",TRUE,FALSE)</formula>
    </cfRule>
  </conditionalFormatting>
  <conditionalFormatting sqref="BB20">
    <cfRule type="expression" dxfId="4155" priority="4295" stopIfTrue="1">
      <formula>IF(BC$8="判定対象外",TRUE,FALSE)</formula>
    </cfRule>
  </conditionalFormatting>
  <conditionalFormatting sqref="BB16:BB20">
    <cfRule type="expression" dxfId="4154" priority="4294" stopIfTrue="1">
      <formula>IF(BC$8="判定対象外",TRUE,FALSE)</formula>
    </cfRule>
  </conditionalFormatting>
  <conditionalFormatting sqref="BB11:BB20">
    <cfRule type="expression" dxfId="4153" priority="4293" stopIfTrue="1">
      <formula>IF(BC$8="判定対象外",TRUE,FALSE)</formula>
    </cfRule>
  </conditionalFormatting>
  <conditionalFormatting sqref="BB16:BB18">
    <cfRule type="expression" dxfId="4152" priority="4292" stopIfTrue="1">
      <formula>IF(BC$8="判定対象外",TRUE,FALSE)</formula>
    </cfRule>
  </conditionalFormatting>
  <conditionalFormatting sqref="BB20">
    <cfRule type="expression" dxfId="4151" priority="4291" stopIfTrue="1">
      <formula>IF(BC$8="判定対象外",TRUE,FALSE)</formula>
    </cfRule>
  </conditionalFormatting>
  <conditionalFormatting sqref="BB16:BB20">
    <cfRule type="expression" dxfId="4150" priority="4290" stopIfTrue="1">
      <formula>IF(BC$8="判定対象外",TRUE,FALSE)</formula>
    </cfRule>
  </conditionalFormatting>
  <conditionalFormatting sqref="BB11:BB13">
    <cfRule type="expression" dxfId="4149" priority="4289" stopIfTrue="1">
      <formula>IF(BC$8="判定対象外",TRUE,FALSE)</formula>
    </cfRule>
  </conditionalFormatting>
  <conditionalFormatting sqref="BB15">
    <cfRule type="expression" dxfId="4148" priority="4288" stopIfTrue="1">
      <formula>IF(BC$8="判定対象外",TRUE,FALSE)</formula>
    </cfRule>
  </conditionalFormatting>
  <conditionalFormatting sqref="BB19">
    <cfRule type="expression" dxfId="4147" priority="4287" stopIfTrue="1">
      <formula>IF(BC$8="判定対象外",TRUE,FALSE)</formula>
    </cfRule>
  </conditionalFormatting>
  <conditionalFormatting sqref="BB19">
    <cfRule type="expression" dxfId="4146" priority="4286" stopIfTrue="1">
      <formula>IF(BC$8="判定対象外",TRUE,FALSE)</formula>
    </cfRule>
  </conditionalFormatting>
  <conditionalFormatting sqref="BB20">
    <cfRule type="expression" dxfId="4145" priority="4285" stopIfTrue="1">
      <formula>IF(BC$8="判定対象外",TRUE,FALSE)</formula>
    </cfRule>
  </conditionalFormatting>
  <conditionalFormatting sqref="BB20">
    <cfRule type="expression" dxfId="4144" priority="4284" stopIfTrue="1">
      <formula>IF(BC$8="判定対象外",TRUE,FALSE)</formula>
    </cfRule>
  </conditionalFormatting>
  <conditionalFormatting sqref="BB20">
    <cfRule type="expression" dxfId="4143" priority="4283" stopIfTrue="1">
      <formula>IF(BC$8="判定対象外",TRUE,FALSE)</formula>
    </cfRule>
  </conditionalFormatting>
  <conditionalFormatting sqref="BB13">
    <cfRule type="expression" dxfId="4142" priority="4282" stopIfTrue="1">
      <formula>IF(BC$8="判定対象外",TRUE,FALSE)</formula>
    </cfRule>
  </conditionalFormatting>
  <conditionalFormatting sqref="BB47">
    <cfRule type="expression" dxfId="4141" priority="4281" stopIfTrue="1">
      <formula>IF(BC$8="判定対象外",TRUE,FALSE)</formula>
    </cfRule>
  </conditionalFormatting>
  <conditionalFormatting sqref="BB47">
    <cfRule type="expression" dxfId="4140" priority="4280" stopIfTrue="1">
      <formula>IF(BC$8="判定対象外",TRUE,FALSE)</formula>
    </cfRule>
  </conditionalFormatting>
  <conditionalFormatting sqref="BB49">
    <cfRule type="expression" dxfId="4139" priority="4279" stopIfTrue="1">
      <formula>IF(BC$8="判定対象外",TRUE,FALSE)</formula>
    </cfRule>
  </conditionalFormatting>
  <conditionalFormatting sqref="BB49">
    <cfRule type="expression" dxfId="4138" priority="4278" stopIfTrue="1">
      <formula>IF(BC$8="判定対象外",TRUE,FALSE)</formula>
    </cfRule>
  </conditionalFormatting>
  <conditionalFormatting sqref="BB50">
    <cfRule type="expression" dxfId="4137" priority="4277" stopIfTrue="1">
      <formula>IF(BC$8="判定対象外",TRUE,FALSE)</formula>
    </cfRule>
  </conditionalFormatting>
  <conditionalFormatting sqref="BB50">
    <cfRule type="expression" dxfId="4136" priority="4276" stopIfTrue="1">
      <formula>IF(BC$8="判定対象外",TRUE,FALSE)</formula>
    </cfRule>
  </conditionalFormatting>
  <conditionalFormatting sqref="BB53 BB56 BB62 BB65 BB68 BB71">
    <cfRule type="expression" dxfId="4135" priority="4275" stopIfTrue="1">
      <formula>IF(BC$8="判定対象外",TRUE,FALSE)</formula>
    </cfRule>
  </conditionalFormatting>
  <conditionalFormatting sqref="BB54 BB57 BB63 BB66 BB69">
    <cfRule type="expression" dxfId="4134" priority="4274" stopIfTrue="1">
      <formula>IF(BC$8="判定対象外",TRUE,FALSE)</formula>
    </cfRule>
  </conditionalFormatting>
  <conditionalFormatting sqref="BE57">
    <cfRule type="expression" dxfId="4133" priority="4272" stopIfTrue="1">
      <formula>IF(BE57="-",TRUE,FALSE)</formula>
    </cfRule>
    <cfRule type="expression" dxfId="4132" priority="4273" stopIfTrue="1">
      <formula>IF(OR(BE57="OK"),FALSE,TRUE)</formula>
    </cfRule>
  </conditionalFormatting>
  <conditionalFormatting sqref="BD57">
    <cfRule type="expression" dxfId="4131" priority="4271" stopIfTrue="1">
      <formula>IF(BC$8="判定対象外",TRUE,FALSE)</formula>
    </cfRule>
  </conditionalFormatting>
  <conditionalFormatting sqref="BC57">
    <cfRule type="expression" dxfId="4130" priority="4270" stopIfTrue="1">
      <formula>IF(BC$8="判定対象外",TRUE,FALSE)</formula>
    </cfRule>
  </conditionalFormatting>
  <conditionalFormatting sqref="BE61:BE64">
    <cfRule type="expression" dxfId="4129" priority="4268" stopIfTrue="1">
      <formula>IF(BE61="-",TRUE,FALSE)</formula>
    </cfRule>
    <cfRule type="expression" dxfId="4128" priority="4269" stopIfTrue="1">
      <formula>IF(OR(BE61="OK"),FALSE,TRUE)</formula>
    </cfRule>
  </conditionalFormatting>
  <conditionalFormatting sqref="BD61:BD64">
    <cfRule type="expression" dxfId="4127" priority="4267" stopIfTrue="1">
      <formula>IF(BC$8="判定対象外",TRUE,FALSE)</formula>
    </cfRule>
  </conditionalFormatting>
  <conditionalFormatting sqref="BC61:BC64">
    <cfRule type="expression" dxfId="4126" priority="4266" stopIfTrue="1">
      <formula>IF(BC$8="判定対象外",TRUE,FALSE)</formula>
    </cfRule>
  </conditionalFormatting>
  <conditionalFormatting sqref="BE65:BE70">
    <cfRule type="expression" dxfId="4125" priority="4264" stopIfTrue="1">
      <formula>IF(BE65="-",TRUE,FALSE)</formula>
    </cfRule>
    <cfRule type="expression" dxfId="4124" priority="4265" stopIfTrue="1">
      <formula>IF(OR(BE65="OK"),FALSE,TRUE)</formula>
    </cfRule>
  </conditionalFormatting>
  <conditionalFormatting sqref="BD65:BD70">
    <cfRule type="expression" dxfId="4123" priority="4263" stopIfTrue="1">
      <formula>IF(BC$8="判定対象外",TRUE,FALSE)</formula>
    </cfRule>
  </conditionalFormatting>
  <conditionalFormatting sqref="BC65:BC70">
    <cfRule type="expression" dxfId="4122" priority="4262" stopIfTrue="1">
      <formula>IF(BC$8="判定対象外",TRUE,FALSE)</formula>
    </cfRule>
  </conditionalFormatting>
  <conditionalFormatting sqref="BI8:BI10">
    <cfRule type="expression" dxfId="4121" priority="4260" stopIfTrue="1">
      <formula>IF(BI8="-",TRUE,FALSE)</formula>
    </cfRule>
    <cfRule type="expression" dxfId="4120" priority="4261" stopIfTrue="1">
      <formula>IF(OR(BI8="OK"),FALSE,TRUE)</formula>
    </cfRule>
  </conditionalFormatting>
  <conditionalFormatting sqref="BF8:BF10">
    <cfRule type="expression" dxfId="4119" priority="4259" stopIfTrue="1">
      <formula>IF(BG$8="判定対象外",TRUE,FALSE)</formula>
    </cfRule>
  </conditionalFormatting>
  <conditionalFormatting sqref="BG8:BG10">
    <cfRule type="expression" dxfId="4118" priority="4258" stopIfTrue="1">
      <formula>IF(BG$8="判定対象外",TRUE,FALSE)</formula>
    </cfRule>
  </conditionalFormatting>
  <conditionalFormatting sqref="BH8:BH10">
    <cfRule type="expression" dxfId="4117" priority="4257" stopIfTrue="1">
      <formula>IF(BG$8="判定対象外",TRUE,FALSE)</formula>
    </cfRule>
  </conditionalFormatting>
  <conditionalFormatting sqref="BI11:BI56 BI71:BI81">
    <cfRule type="expression" dxfId="4116" priority="4254" stopIfTrue="1">
      <formula>IF(BI11="-",TRUE,FALSE)</formula>
    </cfRule>
    <cfRule type="expression" dxfId="4115" priority="4255" stopIfTrue="1">
      <formula>IF(OR(BI11="OK"),FALSE,TRUE)</formula>
    </cfRule>
  </conditionalFormatting>
  <conditionalFormatting sqref="BH11:BH56 BH71:BH81">
    <cfRule type="expression" dxfId="4114" priority="4253" stopIfTrue="1">
      <formula>IF(BG$8="判定対象外",TRUE,FALSE)</formula>
    </cfRule>
  </conditionalFormatting>
  <conditionalFormatting sqref="BF72:BF81 BF21:BF46">
    <cfRule type="expression" dxfId="4113" priority="4252" stopIfTrue="1">
      <formula>IF(BG$8="判定対象外",TRUE,FALSE)</formula>
    </cfRule>
  </conditionalFormatting>
  <conditionalFormatting sqref="BF29:BF32">
    <cfRule type="expression" dxfId="4112" priority="4251" stopIfTrue="1">
      <formula>IF(BG$8="判定対象外",TRUE,FALSE)</formula>
    </cfRule>
  </conditionalFormatting>
  <conditionalFormatting sqref="BF42:BF44">
    <cfRule type="expression" dxfId="4111" priority="4250" stopIfTrue="1">
      <formula>IF(BG$8="判定対象外",TRUE,FALSE)</formula>
    </cfRule>
  </conditionalFormatting>
  <conditionalFormatting sqref="BF46">
    <cfRule type="expression" dxfId="4110" priority="4249" stopIfTrue="1">
      <formula>IF(BG$8="判定対象外",TRUE,FALSE)</formula>
    </cfRule>
  </conditionalFormatting>
  <conditionalFormatting sqref="BF42:BF44">
    <cfRule type="expression" dxfId="4109" priority="4248" stopIfTrue="1">
      <formula>IF(BG$8="判定対象外",TRUE,FALSE)</formula>
    </cfRule>
  </conditionalFormatting>
  <conditionalFormatting sqref="BF42:BF44">
    <cfRule type="expression" dxfId="4108" priority="4247" stopIfTrue="1">
      <formula>IF(BG$8="判定対象外",TRUE,FALSE)</formula>
    </cfRule>
  </conditionalFormatting>
  <conditionalFormatting sqref="BF42:BF44">
    <cfRule type="expression" dxfId="4107" priority="4246" stopIfTrue="1">
      <formula>IF(BG$8="判定対象外",TRUE,FALSE)</formula>
    </cfRule>
  </conditionalFormatting>
  <conditionalFormatting sqref="BF42:BF44">
    <cfRule type="expression" dxfId="4106" priority="4245" stopIfTrue="1">
      <formula>IF(BG$8="判定対象外",TRUE,FALSE)</formula>
    </cfRule>
  </conditionalFormatting>
  <conditionalFormatting sqref="BF42:BF44">
    <cfRule type="expression" dxfId="4105" priority="4244" stopIfTrue="1">
      <formula>IF(BG$8="判定対象外",TRUE,FALSE)</formula>
    </cfRule>
  </conditionalFormatting>
  <conditionalFormatting sqref="BF42:BF44">
    <cfRule type="expression" dxfId="4104" priority="4243" stopIfTrue="1">
      <formula>IF(BG$8="判定対象外",TRUE,FALSE)</formula>
    </cfRule>
  </conditionalFormatting>
  <conditionalFormatting sqref="BF42:BF44">
    <cfRule type="expression" dxfId="4103" priority="4242" stopIfTrue="1">
      <formula>IF(BG$8="判定対象外",TRUE,FALSE)</formula>
    </cfRule>
  </conditionalFormatting>
  <conditionalFormatting sqref="BF38">
    <cfRule type="expression" dxfId="4102" priority="4256" stopIfTrue="1">
      <formula>IF(#REF!="判定対象外",TRUE,FALSE)</formula>
    </cfRule>
  </conditionalFormatting>
  <conditionalFormatting sqref="BG11:BG56 BG71:BG81">
    <cfRule type="expression" dxfId="4101" priority="4241" stopIfTrue="1">
      <formula>IF(BG$8="判定対象外",TRUE,FALSE)</formula>
    </cfRule>
  </conditionalFormatting>
  <conditionalFormatting sqref="BF48">
    <cfRule type="expression" dxfId="4100" priority="4240" stopIfTrue="1">
      <formula>IF(BG$8="判定対象外",TRUE,FALSE)</formula>
    </cfRule>
  </conditionalFormatting>
  <conditionalFormatting sqref="BF51">
    <cfRule type="expression" dxfId="4099" priority="4239" stopIfTrue="1">
      <formula>IF(BG$8="判定対象外",TRUE,FALSE)</formula>
    </cfRule>
  </conditionalFormatting>
  <conditionalFormatting sqref="BF52 BF55 BF61 BF64 BF67 BF70">
    <cfRule type="expression" dxfId="4098" priority="4238" stopIfTrue="1">
      <formula>IF(BG$8="判定対象外",TRUE,FALSE)</formula>
    </cfRule>
  </conditionalFormatting>
  <conditionalFormatting sqref="BF11:BF20">
    <cfRule type="expression" dxfId="4097" priority="4237" stopIfTrue="1">
      <formula>IF(BG$8="判定対象外",TRUE,FALSE)</formula>
    </cfRule>
  </conditionalFormatting>
  <conditionalFormatting sqref="BF16:BF18">
    <cfRule type="expression" dxfId="4096" priority="4236" stopIfTrue="1">
      <formula>IF(BG$8="判定対象外",TRUE,FALSE)</formula>
    </cfRule>
  </conditionalFormatting>
  <conditionalFormatting sqref="BF20">
    <cfRule type="expression" dxfId="4095" priority="4235" stopIfTrue="1">
      <formula>IF(BG$8="判定対象外",TRUE,FALSE)</formula>
    </cfRule>
  </conditionalFormatting>
  <conditionalFormatting sqref="BF16:BF20">
    <cfRule type="expression" dxfId="4094" priority="4234" stopIfTrue="1">
      <formula>IF(BG$8="判定対象外",TRUE,FALSE)</formula>
    </cfRule>
  </conditionalFormatting>
  <conditionalFormatting sqref="BF11:BF20">
    <cfRule type="expression" dxfId="4093" priority="4233" stopIfTrue="1">
      <formula>IF(BG$8="判定対象外",TRUE,FALSE)</formula>
    </cfRule>
  </conditionalFormatting>
  <conditionalFormatting sqref="BF16:BF18">
    <cfRule type="expression" dxfId="4092" priority="4232" stopIfTrue="1">
      <formula>IF(BG$8="判定対象外",TRUE,FALSE)</formula>
    </cfRule>
  </conditionalFormatting>
  <conditionalFormatting sqref="BF20">
    <cfRule type="expression" dxfId="4091" priority="4231" stopIfTrue="1">
      <formula>IF(BG$8="判定対象外",TRUE,FALSE)</formula>
    </cfRule>
  </conditionalFormatting>
  <conditionalFormatting sqref="BF16:BF20">
    <cfRule type="expression" dxfId="4090" priority="4230" stopIfTrue="1">
      <formula>IF(BG$8="判定対象外",TRUE,FALSE)</formula>
    </cfRule>
  </conditionalFormatting>
  <conditionalFormatting sqref="BF11:BF20">
    <cfRule type="expression" dxfId="4089" priority="4229" stopIfTrue="1">
      <formula>IF(BG$8="判定対象外",TRUE,FALSE)</formula>
    </cfRule>
  </conditionalFormatting>
  <conditionalFormatting sqref="BF16:BF18">
    <cfRule type="expression" dxfId="4088" priority="4228" stopIfTrue="1">
      <formula>IF(BG$8="判定対象外",TRUE,FALSE)</formula>
    </cfRule>
  </conditionalFormatting>
  <conditionalFormatting sqref="BF20">
    <cfRule type="expression" dxfId="4087" priority="4227" stopIfTrue="1">
      <formula>IF(BG$8="判定対象外",TRUE,FALSE)</formula>
    </cfRule>
  </conditionalFormatting>
  <conditionalFormatting sqref="BF16:BF20">
    <cfRule type="expression" dxfId="4086" priority="4226" stopIfTrue="1">
      <formula>IF(BG$8="判定対象外",TRUE,FALSE)</formula>
    </cfRule>
  </conditionalFormatting>
  <conditionalFormatting sqref="BF11:BF13">
    <cfRule type="expression" dxfId="4085" priority="4225" stopIfTrue="1">
      <formula>IF(BG$8="判定対象外",TRUE,FALSE)</formula>
    </cfRule>
  </conditionalFormatting>
  <conditionalFormatting sqref="BF15">
    <cfRule type="expression" dxfId="4084" priority="4224" stopIfTrue="1">
      <formula>IF(BG$8="判定対象外",TRUE,FALSE)</formula>
    </cfRule>
  </conditionalFormatting>
  <conditionalFormatting sqref="BF19">
    <cfRule type="expression" dxfId="4083" priority="4223" stopIfTrue="1">
      <formula>IF(BG$8="判定対象外",TRUE,FALSE)</formula>
    </cfRule>
  </conditionalFormatting>
  <conditionalFormatting sqref="BF19">
    <cfRule type="expression" dxfId="4082" priority="4222" stopIfTrue="1">
      <formula>IF(BG$8="判定対象外",TRUE,FALSE)</formula>
    </cfRule>
  </conditionalFormatting>
  <conditionalFormatting sqref="BF20">
    <cfRule type="expression" dxfId="4081" priority="4221" stopIfTrue="1">
      <formula>IF(BG$8="判定対象外",TRUE,FALSE)</formula>
    </cfRule>
  </conditionalFormatting>
  <conditionalFormatting sqref="BF20">
    <cfRule type="expression" dxfId="4080" priority="4220" stopIfTrue="1">
      <formula>IF(BG$8="判定対象外",TRUE,FALSE)</formula>
    </cfRule>
  </conditionalFormatting>
  <conditionalFormatting sqref="BF20">
    <cfRule type="expression" dxfId="4079" priority="4219" stopIfTrue="1">
      <formula>IF(BG$8="判定対象外",TRUE,FALSE)</formula>
    </cfRule>
  </conditionalFormatting>
  <conditionalFormatting sqref="BF13">
    <cfRule type="expression" dxfId="4078" priority="4218" stopIfTrue="1">
      <formula>IF(BG$8="判定対象外",TRUE,FALSE)</formula>
    </cfRule>
  </conditionalFormatting>
  <conditionalFormatting sqref="BF47">
    <cfRule type="expression" dxfId="4077" priority="4217" stopIfTrue="1">
      <formula>IF(BG$8="判定対象外",TRUE,FALSE)</formula>
    </cfRule>
  </conditionalFormatting>
  <conditionalFormatting sqref="BF47">
    <cfRule type="expression" dxfId="4076" priority="4216" stopIfTrue="1">
      <formula>IF(BG$8="判定対象外",TRUE,FALSE)</formula>
    </cfRule>
  </conditionalFormatting>
  <conditionalFormatting sqref="BF49">
    <cfRule type="expression" dxfId="4075" priority="4215" stopIfTrue="1">
      <formula>IF(BG$8="判定対象外",TRUE,FALSE)</formula>
    </cfRule>
  </conditionalFormatting>
  <conditionalFormatting sqref="BF49">
    <cfRule type="expression" dxfId="4074" priority="4214" stopIfTrue="1">
      <formula>IF(BG$8="判定対象外",TRUE,FALSE)</formula>
    </cfRule>
  </conditionalFormatting>
  <conditionalFormatting sqref="BF50">
    <cfRule type="expression" dxfId="4073" priority="4213" stopIfTrue="1">
      <formula>IF(BG$8="判定対象外",TRUE,FALSE)</formula>
    </cfRule>
  </conditionalFormatting>
  <conditionalFormatting sqref="BF50">
    <cfRule type="expression" dxfId="4072" priority="4212" stopIfTrue="1">
      <formula>IF(BG$8="判定対象外",TRUE,FALSE)</formula>
    </cfRule>
  </conditionalFormatting>
  <conditionalFormatting sqref="BF53 BF56 BF62 BF65 BF68 BF71">
    <cfRule type="expression" dxfId="4071" priority="4211" stopIfTrue="1">
      <formula>IF(BG$8="判定対象外",TRUE,FALSE)</formula>
    </cfRule>
  </conditionalFormatting>
  <conditionalFormatting sqref="BF54 BF57 BF63 BF66 BF69">
    <cfRule type="expression" dxfId="4070" priority="4210" stopIfTrue="1">
      <formula>IF(BG$8="判定対象外",TRUE,FALSE)</formula>
    </cfRule>
  </conditionalFormatting>
  <conditionalFormatting sqref="BI57">
    <cfRule type="expression" dxfId="4069" priority="4208" stopIfTrue="1">
      <formula>IF(BI57="-",TRUE,FALSE)</formula>
    </cfRule>
    <cfRule type="expression" dxfId="4068" priority="4209" stopIfTrue="1">
      <formula>IF(OR(BI57="OK"),FALSE,TRUE)</formula>
    </cfRule>
  </conditionalFormatting>
  <conditionalFormatting sqref="BH57">
    <cfRule type="expression" dxfId="4067" priority="4207" stopIfTrue="1">
      <formula>IF(BG$8="判定対象外",TRUE,FALSE)</formula>
    </cfRule>
  </conditionalFormatting>
  <conditionalFormatting sqref="BG57">
    <cfRule type="expression" dxfId="4066" priority="4206" stopIfTrue="1">
      <formula>IF(BG$8="判定対象外",TRUE,FALSE)</formula>
    </cfRule>
  </conditionalFormatting>
  <conditionalFormatting sqref="BI61:BI64">
    <cfRule type="expression" dxfId="4065" priority="4204" stopIfTrue="1">
      <formula>IF(BI61="-",TRUE,FALSE)</formula>
    </cfRule>
    <cfRule type="expression" dxfId="4064" priority="4205" stopIfTrue="1">
      <formula>IF(OR(BI61="OK"),FALSE,TRUE)</formula>
    </cfRule>
  </conditionalFormatting>
  <conditionalFormatting sqref="BH61:BH64">
    <cfRule type="expression" dxfId="4063" priority="4203" stopIfTrue="1">
      <formula>IF(BG$8="判定対象外",TRUE,FALSE)</formula>
    </cfRule>
  </conditionalFormatting>
  <conditionalFormatting sqref="BG61:BG64">
    <cfRule type="expression" dxfId="4062" priority="4202" stopIfTrue="1">
      <formula>IF(BG$8="判定対象外",TRUE,FALSE)</formula>
    </cfRule>
  </conditionalFormatting>
  <conditionalFormatting sqref="BI65:BI70">
    <cfRule type="expression" dxfId="4061" priority="4200" stopIfTrue="1">
      <formula>IF(BI65="-",TRUE,FALSE)</formula>
    </cfRule>
    <cfRule type="expression" dxfId="4060" priority="4201" stopIfTrue="1">
      <formula>IF(OR(BI65="OK"),FALSE,TRUE)</formula>
    </cfRule>
  </conditionalFormatting>
  <conditionalFormatting sqref="BH65:BH70">
    <cfRule type="expression" dxfId="4059" priority="4199" stopIfTrue="1">
      <formula>IF(BG$8="判定対象外",TRUE,FALSE)</formula>
    </cfRule>
  </conditionalFormatting>
  <conditionalFormatting sqref="BG65:BG70">
    <cfRule type="expression" dxfId="4058" priority="4198" stopIfTrue="1">
      <formula>IF(BG$8="判定対象外",TRUE,FALSE)</formula>
    </cfRule>
  </conditionalFormatting>
  <conditionalFormatting sqref="BJ29:BJ32">
    <cfRule type="expression" dxfId="4057" priority="4187" stopIfTrue="1">
      <formula>IF(BK$8="判定対象外",TRUE,FALSE)</formula>
    </cfRule>
  </conditionalFormatting>
  <conditionalFormatting sqref="BM8:BM10">
    <cfRule type="expression" dxfId="4056" priority="4196" stopIfTrue="1">
      <formula>IF(BM8="-",TRUE,FALSE)</formula>
    </cfRule>
    <cfRule type="expression" dxfId="4055" priority="4197" stopIfTrue="1">
      <formula>IF(OR(BM8="OK"),FALSE,TRUE)</formula>
    </cfRule>
  </conditionalFormatting>
  <conditionalFormatting sqref="BJ8:BJ10">
    <cfRule type="expression" dxfId="4054" priority="4195" stopIfTrue="1">
      <formula>IF(BK$8="判定対象外",TRUE,FALSE)</formula>
    </cfRule>
  </conditionalFormatting>
  <conditionalFormatting sqref="BK8:BK10">
    <cfRule type="expression" dxfId="4053" priority="4194" stopIfTrue="1">
      <formula>IF(BK$8="判定対象外",TRUE,FALSE)</formula>
    </cfRule>
  </conditionalFormatting>
  <conditionalFormatting sqref="BL8:BL10">
    <cfRule type="expression" dxfId="4052" priority="4193" stopIfTrue="1">
      <formula>IF(BK$8="判定対象外",TRUE,FALSE)</formula>
    </cfRule>
  </conditionalFormatting>
  <conditionalFormatting sqref="BM11:BM56 BM71:BM81">
    <cfRule type="expression" dxfId="4051" priority="4190" stopIfTrue="1">
      <formula>IF(BM11="-",TRUE,FALSE)</formula>
    </cfRule>
    <cfRule type="expression" dxfId="4050" priority="4191" stopIfTrue="1">
      <formula>IF(OR(BM11="OK"),FALSE,TRUE)</formula>
    </cfRule>
  </conditionalFormatting>
  <conditionalFormatting sqref="BL11:BL56 BL71:BL81">
    <cfRule type="expression" dxfId="4049" priority="4189" stopIfTrue="1">
      <formula>IF(BK$8="判定対象外",TRUE,FALSE)</formula>
    </cfRule>
  </conditionalFormatting>
  <conditionalFormatting sqref="BJ72:BJ81 BJ21:BJ46">
    <cfRule type="expression" dxfId="4048" priority="4188" stopIfTrue="1">
      <formula>IF(BK$8="判定対象外",TRUE,FALSE)</formula>
    </cfRule>
  </conditionalFormatting>
  <conditionalFormatting sqref="BJ42:BJ44">
    <cfRule type="expression" dxfId="4047" priority="4186" stopIfTrue="1">
      <formula>IF(BK$8="判定対象外",TRUE,FALSE)</formula>
    </cfRule>
  </conditionalFormatting>
  <conditionalFormatting sqref="BJ46">
    <cfRule type="expression" dxfId="4046" priority="4185" stopIfTrue="1">
      <formula>IF(BK$8="判定対象外",TRUE,FALSE)</formula>
    </cfRule>
  </conditionalFormatting>
  <conditionalFormatting sqref="BJ42:BJ44">
    <cfRule type="expression" dxfId="4045" priority="4184" stopIfTrue="1">
      <formula>IF(BK$8="判定対象外",TRUE,FALSE)</formula>
    </cfRule>
  </conditionalFormatting>
  <conditionalFormatting sqref="BJ42:BJ44">
    <cfRule type="expression" dxfId="4044" priority="4183" stopIfTrue="1">
      <formula>IF(BK$8="判定対象外",TRUE,FALSE)</formula>
    </cfRule>
  </conditionalFormatting>
  <conditionalFormatting sqref="BJ42:BJ44">
    <cfRule type="expression" dxfId="4043" priority="4182" stopIfTrue="1">
      <formula>IF(BK$8="判定対象外",TRUE,FALSE)</formula>
    </cfRule>
  </conditionalFormatting>
  <conditionalFormatting sqref="BJ42:BJ44">
    <cfRule type="expression" dxfId="4042" priority="4181" stopIfTrue="1">
      <formula>IF(BK$8="判定対象外",TRUE,FALSE)</formula>
    </cfRule>
  </conditionalFormatting>
  <conditionalFormatting sqref="BJ42:BJ44">
    <cfRule type="expression" dxfId="4041" priority="4180" stopIfTrue="1">
      <formula>IF(BK$8="判定対象外",TRUE,FALSE)</formula>
    </cfRule>
  </conditionalFormatting>
  <conditionalFormatting sqref="BJ42:BJ44">
    <cfRule type="expression" dxfId="4040" priority="4179" stopIfTrue="1">
      <formula>IF(BK$8="判定対象外",TRUE,FALSE)</formula>
    </cfRule>
  </conditionalFormatting>
  <conditionalFormatting sqref="BJ42:BJ44">
    <cfRule type="expression" dxfId="4039" priority="4178" stopIfTrue="1">
      <formula>IF(BK$8="判定対象外",TRUE,FALSE)</formula>
    </cfRule>
  </conditionalFormatting>
  <conditionalFormatting sqref="BJ38">
    <cfRule type="expression" dxfId="4038" priority="4192" stopIfTrue="1">
      <formula>IF(#REF!="判定対象外",TRUE,FALSE)</formula>
    </cfRule>
  </conditionalFormatting>
  <conditionalFormatting sqref="BK11:BK56 BK71:BK81">
    <cfRule type="expression" dxfId="4037" priority="4177" stopIfTrue="1">
      <formula>IF(BK$8="判定対象外",TRUE,FALSE)</formula>
    </cfRule>
  </conditionalFormatting>
  <conditionalFormatting sqref="BJ48">
    <cfRule type="expression" dxfId="4036" priority="4176" stopIfTrue="1">
      <formula>IF(BK$8="判定対象外",TRUE,FALSE)</formula>
    </cfRule>
  </conditionalFormatting>
  <conditionalFormatting sqref="BJ51">
    <cfRule type="expression" dxfId="4035" priority="4175" stopIfTrue="1">
      <formula>IF(BK$8="判定対象外",TRUE,FALSE)</formula>
    </cfRule>
  </conditionalFormatting>
  <conditionalFormatting sqref="BJ52 BJ55 BJ61 BJ64 BJ67 BJ70">
    <cfRule type="expression" dxfId="4034" priority="4174" stopIfTrue="1">
      <formula>IF(BK$8="判定対象外",TRUE,FALSE)</formula>
    </cfRule>
  </conditionalFormatting>
  <conditionalFormatting sqref="BJ11:BJ20">
    <cfRule type="expression" dxfId="4033" priority="4173" stopIfTrue="1">
      <formula>IF(BK$8="判定対象外",TRUE,FALSE)</formula>
    </cfRule>
  </conditionalFormatting>
  <conditionalFormatting sqref="BJ16:BJ18">
    <cfRule type="expression" dxfId="4032" priority="4172" stopIfTrue="1">
      <formula>IF(BK$8="判定対象外",TRUE,FALSE)</formula>
    </cfRule>
  </conditionalFormatting>
  <conditionalFormatting sqref="BJ20">
    <cfRule type="expression" dxfId="4031" priority="4171" stopIfTrue="1">
      <formula>IF(BK$8="判定対象外",TRUE,FALSE)</formula>
    </cfRule>
  </conditionalFormatting>
  <conditionalFormatting sqref="BJ16:BJ20">
    <cfRule type="expression" dxfId="4030" priority="4170" stopIfTrue="1">
      <formula>IF(BK$8="判定対象外",TRUE,FALSE)</formula>
    </cfRule>
  </conditionalFormatting>
  <conditionalFormatting sqref="BJ11:BJ20">
    <cfRule type="expression" dxfId="4029" priority="4169" stopIfTrue="1">
      <formula>IF(BK$8="判定対象外",TRUE,FALSE)</formula>
    </cfRule>
  </conditionalFormatting>
  <conditionalFormatting sqref="BV19">
    <cfRule type="expression" dxfId="4028" priority="3921" stopIfTrue="1">
      <formula>IF(BW$8="判定対象外",TRUE,FALSE)</formula>
    </cfRule>
  </conditionalFormatting>
  <conditionalFormatting sqref="BJ20">
    <cfRule type="expression" dxfId="4027" priority="4167" stopIfTrue="1">
      <formula>IF(BK$8="判定対象外",TRUE,FALSE)</formula>
    </cfRule>
  </conditionalFormatting>
  <conditionalFormatting sqref="BJ16:BJ20">
    <cfRule type="expression" dxfId="4026" priority="4166" stopIfTrue="1">
      <formula>IF(BK$8="判定対象外",TRUE,FALSE)</formula>
    </cfRule>
  </conditionalFormatting>
  <conditionalFormatting sqref="BJ11:BJ20">
    <cfRule type="expression" dxfId="4025" priority="4165" stopIfTrue="1">
      <formula>IF(BK$8="判定対象外",TRUE,FALSE)</formula>
    </cfRule>
  </conditionalFormatting>
  <conditionalFormatting sqref="BJ16:BJ18">
    <cfRule type="expression" dxfId="4024" priority="4164" stopIfTrue="1">
      <formula>IF(BK$8="判定対象外",TRUE,FALSE)</formula>
    </cfRule>
  </conditionalFormatting>
  <conditionalFormatting sqref="BJ20">
    <cfRule type="expression" dxfId="4023" priority="4163" stopIfTrue="1">
      <formula>IF(BK$8="判定対象外",TRUE,FALSE)</formula>
    </cfRule>
  </conditionalFormatting>
  <conditionalFormatting sqref="BJ16:BJ20">
    <cfRule type="expression" dxfId="4022" priority="4162" stopIfTrue="1">
      <formula>IF(BK$8="判定対象外",TRUE,FALSE)</formula>
    </cfRule>
  </conditionalFormatting>
  <conditionalFormatting sqref="BJ11:BJ13">
    <cfRule type="expression" dxfId="4021" priority="4161" stopIfTrue="1">
      <formula>IF(BK$8="判定対象外",TRUE,FALSE)</formula>
    </cfRule>
  </conditionalFormatting>
  <conditionalFormatting sqref="BJ15">
    <cfRule type="expression" dxfId="4020" priority="4160" stopIfTrue="1">
      <formula>IF(BK$8="判定対象外",TRUE,FALSE)</formula>
    </cfRule>
  </conditionalFormatting>
  <conditionalFormatting sqref="BJ19">
    <cfRule type="expression" dxfId="4019" priority="4159" stopIfTrue="1">
      <formula>IF(BK$8="判定対象外",TRUE,FALSE)</formula>
    </cfRule>
  </conditionalFormatting>
  <conditionalFormatting sqref="BJ19">
    <cfRule type="expression" dxfId="4018" priority="4158" stopIfTrue="1">
      <formula>IF(BK$8="判定対象外",TRUE,FALSE)</formula>
    </cfRule>
  </conditionalFormatting>
  <conditionalFormatting sqref="BJ20">
    <cfRule type="expression" dxfId="4017" priority="4157" stopIfTrue="1">
      <formula>IF(BK$8="判定対象外",TRUE,FALSE)</formula>
    </cfRule>
  </conditionalFormatting>
  <conditionalFormatting sqref="BJ20">
    <cfRule type="expression" dxfId="4016" priority="4156" stopIfTrue="1">
      <formula>IF(BK$8="判定対象外",TRUE,FALSE)</formula>
    </cfRule>
  </conditionalFormatting>
  <conditionalFormatting sqref="BJ20">
    <cfRule type="expression" dxfId="4015" priority="4155" stopIfTrue="1">
      <formula>IF(BK$8="判定対象外",TRUE,FALSE)</formula>
    </cfRule>
  </conditionalFormatting>
  <conditionalFormatting sqref="BJ13">
    <cfRule type="expression" dxfId="4014" priority="4154" stopIfTrue="1">
      <formula>IF(BK$8="判定対象外",TRUE,FALSE)</formula>
    </cfRule>
  </conditionalFormatting>
  <conditionalFormatting sqref="BJ47">
    <cfRule type="expression" dxfId="4013" priority="4153" stopIfTrue="1">
      <formula>IF(BK$8="判定対象外",TRUE,FALSE)</formula>
    </cfRule>
  </conditionalFormatting>
  <conditionalFormatting sqref="BJ47">
    <cfRule type="expression" dxfId="4012" priority="4152" stopIfTrue="1">
      <formula>IF(BK$8="判定対象外",TRUE,FALSE)</formula>
    </cfRule>
  </conditionalFormatting>
  <conditionalFormatting sqref="BJ49">
    <cfRule type="expression" dxfId="4011" priority="4151" stopIfTrue="1">
      <formula>IF(BK$8="判定対象外",TRUE,FALSE)</formula>
    </cfRule>
  </conditionalFormatting>
  <conditionalFormatting sqref="BJ49">
    <cfRule type="expression" dxfId="4010" priority="4150" stopIfTrue="1">
      <formula>IF(BK$8="判定対象外",TRUE,FALSE)</formula>
    </cfRule>
  </conditionalFormatting>
  <conditionalFormatting sqref="BJ50">
    <cfRule type="expression" dxfId="4009" priority="4149" stopIfTrue="1">
      <formula>IF(BK$8="判定対象外",TRUE,FALSE)</formula>
    </cfRule>
  </conditionalFormatting>
  <conditionalFormatting sqref="BJ50">
    <cfRule type="expression" dxfId="4008" priority="4148" stopIfTrue="1">
      <formula>IF(BK$8="判定対象外",TRUE,FALSE)</formula>
    </cfRule>
  </conditionalFormatting>
  <conditionalFormatting sqref="BJ53 BJ56 BJ62 BJ65 BJ68 BJ71">
    <cfRule type="expression" dxfId="4007" priority="4147" stopIfTrue="1">
      <formula>IF(BK$8="判定対象外",TRUE,FALSE)</formula>
    </cfRule>
  </conditionalFormatting>
  <conditionalFormatting sqref="BJ54 BJ57 BJ63 BJ66 BJ69">
    <cfRule type="expression" dxfId="4006" priority="4146" stopIfTrue="1">
      <formula>IF(BK$8="判定対象外",TRUE,FALSE)</formula>
    </cfRule>
  </conditionalFormatting>
  <conditionalFormatting sqref="BM57">
    <cfRule type="expression" dxfId="4005" priority="4144" stopIfTrue="1">
      <formula>IF(BM57="-",TRUE,FALSE)</formula>
    </cfRule>
    <cfRule type="expression" dxfId="4004" priority="4145" stopIfTrue="1">
      <formula>IF(OR(BM57="OK"),FALSE,TRUE)</formula>
    </cfRule>
  </conditionalFormatting>
  <conditionalFormatting sqref="BL57">
    <cfRule type="expression" dxfId="4003" priority="4143" stopIfTrue="1">
      <formula>IF(BK$8="判定対象外",TRUE,FALSE)</formula>
    </cfRule>
  </conditionalFormatting>
  <conditionalFormatting sqref="BK57">
    <cfRule type="expression" dxfId="4002" priority="4142" stopIfTrue="1">
      <formula>IF(BK$8="判定対象外",TRUE,FALSE)</formula>
    </cfRule>
  </conditionalFormatting>
  <conditionalFormatting sqref="BM58:BM64">
    <cfRule type="expression" dxfId="4001" priority="4140" stopIfTrue="1">
      <formula>IF(BM58="-",TRUE,FALSE)</formula>
    </cfRule>
    <cfRule type="expression" dxfId="4000" priority="4141" stopIfTrue="1">
      <formula>IF(OR(BM58="OK"),FALSE,TRUE)</formula>
    </cfRule>
  </conditionalFormatting>
  <conditionalFormatting sqref="BL58:BL64">
    <cfRule type="expression" dxfId="3999" priority="4139" stopIfTrue="1">
      <formula>IF(BK$8="判定対象外",TRUE,FALSE)</formula>
    </cfRule>
  </conditionalFormatting>
  <conditionalFormatting sqref="BK58:BK64">
    <cfRule type="expression" dxfId="3998" priority="4138" stopIfTrue="1">
      <formula>IF(BK$8="判定対象外",TRUE,FALSE)</formula>
    </cfRule>
  </conditionalFormatting>
  <conditionalFormatting sqref="BM65:BM70">
    <cfRule type="expression" dxfId="3997" priority="4136" stopIfTrue="1">
      <formula>IF(BM65="-",TRUE,FALSE)</formula>
    </cfRule>
    <cfRule type="expression" dxfId="3996" priority="4137" stopIfTrue="1">
      <formula>IF(OR(BM65="OK"),FALSE,TRUE)</formula>
    </cfRule>
  </conditionalFormatting>
  <conditionalFormatting sqref="BL65:BL70">
    <cfRule type="expression" dxfId="3995" priority="4135" stopIfTrue="1">
      <formula>IF(BK$8="判定対象外",TRUE,FALSE)</formula>
    </cfRule>
  </conditionalFormatting>
  <conditionalFormatting sqref="BK65:BK70">
    <cfRule type="expression" dxfId="3994" priority="4134" stopIfTrue="1">
      <formula>IF(BK$8="判定対象外",TRUE,FALSE)</formula>
    </cfRule>
  </conditionalFormatting>
  <conditionalFormatting sqref="BJ58">
    <cfRule type="expression" dxfId="3993" priority="4111" stopIfTrue="1">
      <formula>IF(BK$8="判定対象外",TRUE,FALSE)</formula>
    </cfRule>
  </conditionalFormatting>
  <conditionalFormatting sqref="BV59">
    <cfRule type="expression" dxfId="3992" priority="3864" stopIfTrue="1">
      <formula>IF(BW$8="判定対象外",TRUE,FALSE)</formula>
    </cfRule>
  </conditionalFormatting>
  <conditionalFormatting sqref="BB58">
    <cfRule type="expression" dxfId="3991" priority="4121" stopIfTrue="1">
      <formula>IF(BC$8="判定対象外",TRUE,FALSE)</formula>
    </cfRule>
  </conditionalFormatting>
  <conditionalFormatting sqref="BE58">
    <cfRule type="expression" dxfId="3990" priority="4119" stopIfTrue="1">
      <formula>IF(BE58="-",TRUE,FALSE)</formula>
    </cfRule>
    <cfRule type="expression" dxfId="3989" priority="4120" stopIfTrue="1">
      <formula>IF(OR(BE58="OK"),FALSE,TRUE)</formula>
    </cfRule>
  </conditionalFormatting>
  <conditionalFormatting sqref="BD58">
    <cfRule type="expression" dxfId="3988" priority="4118" stopIfTrue="1">
      <formula>IF(BC$8="判定対象外",TRUE,FALSE)</formula>
    </cfRule>
  </conditionalFormatting>
  <conditionalFormatting sqref="BC58">
    <cfRule type="expression" dxfId="3987" priority="4117" stopIfTrue="1">
      <formula>IF(BC$8="判定対象外",TRUE,FALSE)</formula>
    </cfRule>
  </conditionalFormatting>
  <conditionalFormatting sqref="FM68">
    <cfRule type="expression" dxfId="3986" priority="1511" stopIfTrue="1">
      <formula>IF(FM68="-",TRUE,FALSE)</formula>
    </cfRule>
    <cfRule type="expression" dxfId="3985" priority="1512" stopIfTrue="1">
      <formula>IF(OR(FM68="OK"),FALSE,TRUE)</formula>
    </cfRule>
  </conditionalFormatting>
  <conditionalFormatting sqref="FL68">
    <cfRule type="expression" dxfId="3984" priority="1510" stopIfTrue="1">
      <formula>IF(FK$8="判定対象外",TRUE,FALSE)</formula>
    </cfRule>
  </conditionalFormatting>
  <conditionalFormatting sqref="FK68">
    <cfRule type="expression" dxfId="3983" priority="1509" stopIfTrue="1">
      <formula>IF(FK$8="判定対象外",TRUE,FALSE)</formula>
    </cfRule>
  </conditionalFormatting>
  <conditionalFormatting sqref="FJ68">
    <cfRule type="expression" dxfId="3982" priority="1508" stopIfTrue="1">
      <formula>IF(FK$8="判定対象外",TRUE,FALSE)</formula>
    </cfRule>
  </conditionalFormatting>
  <conditionalFormatting sqref="BN59">
    <cfRule type="expression" dxfId="3981" priority="3874" stopIfTrue="1">
      <formula>IF(BO$8="判定対象外",TRUE,FALSE)</formula>
    </cfRule>
  </conditionalFormatting>
  <conditionalFormatting sqref="BQ59">
    <cfRule type="expression" dxfId="3980" priority="3872" stopIfTrue="1">
      <formula>IF(BQ59="-",TRUE,FALSE)</formula>
    </cfRule>
    <cfRule type="expression" dxfId="3979" priority="3873" stopIfTrue="1">
      <formula>IF(OR(BQ59="OK"),FALSE,TRUE)</formula>
    </cfRule>
  </conditionalFormatting>
  <conditionalFormatting sqref="BP59">
    <cfRule type="expression" dxfId="3978" priority="3871" stopIfTrue="1">
      <formula>IF(BO$8="判定対象外",TRUE,FALSE)</formula>
    </cfRule>
  </conditionalFormatting>
  <conditionalFormatting sqref="BO59">
    <cfRule type="expression" dxfId="3977" priority="3870" stopIfTrue="1">
      <formula>IF(BO$8="判定対象外",TRUE,FALSE)</formula>
    </cfRule>
  </conditionalFormatting>
  <conditionalFormatting sqref="BF58">
    <cfRule type="expression" dxfId="3976" priority="4116" stopIfTrue="1">
      <formula>IF(BG$8="判定対象外",TRUE,FALSE)</formula>
    </cfRule>
  </conditionalFormatting>
  <conditionalFormatting sqref="BI58">
    <cfRule type="expression" dxfId="3975" priority="4114" stopIfTrue="1">
      <formula>IF(BI58="-",TRUE,FALSE)</formula>
    </cfRule>
    <cfRule type="expression" dxfId="3974" priority="4115" stopIfTrue="1">
      <formula>IF(OR(BI58="OK"),FALSE,TRUE)</formula>
    </cfRule>
  </conditionalFormatting>
  <conditionalFormatting sqref="BH58">
    <cfRule type="expression" dxfId="3973" priority="4113" stopIfTrue="1">
      <formula>IF(BG$8="判定対象外",TRUE,FALSE)</formula>
    </cfRule>
  </conditionalFormatting>
  <conditionalFormatting sqref="BG58">
    <cfRule type="expression" dxfId="3972" priority="4112" stopIfTrue="1">
      <formula>IF(BG$8="判定対象外",TRUE,FALSE)</formula>
    </cfRule>
  </conditionalFormatting>
  <conditionalFormatting sqref="CH60">
    <cfRule type="expression" dxfId="3971" priority="3606" stopIfTrue="1">
      <formula>IF(CI$8="判定対象外",TRUE,FALSE)</formula>
    </cfRule>
  </conditionalFormatting>
  <conditionalFormatting sqref="BV61">
    <cfRule type="expression" dxfId="3970" priority="3853" stopIfTrue="1">
      <formula>IF(BW$8="判定対象外",TRUE,FALSE)</formula>
    </cfRule>
  </conditionalFormatting>
  <conditionalFormatting sqref="BB60">
    <cfRule type="expression" dxfId="3969" priority="4110" stopIfTrue="1">
      <formula>IF(BC$8="判定対象外",TRUE,FALSE)</formula>
    </cfRule>
  </conditionalFormatting>
  <conditionalFormatting sqref="BE60">
    <cfRule type="expression" dxfId="3968" priority="4108" stopIfTrue="1">
      <formula>IF(BE60="-",TRUE,FALSE)</formula>
    </cfRule>
    <cfRule type="expression" dxfId="3967" priority="4109" stopIfTrue="1">
      <formula>IF(OR(BE60="OK"),FALSE,TRUE)</formula>
    </cfRule>
  </conditionalFormatting>
  <conditionalFormatting sqref="BD60">
    <cfRule type="expression" dxfId="3966" priority="4107" stopIfTrue="1">
      <formula>IF(BC$8="判定対象外",TRUE,FALSE)</formula>
    </cfRule>
  </conditionalFormatting>
  <conditionalFormatting sqref="BC60">
    <cfRule type="expression" dxfId="3965" priority="4106" stopIfTrue="1">
      <formula>IF(BC$8="判定対象外",TRUE,FALSE)</formula>
    </cfRule>
  </conditionalFormatting>
  <conditionalFormatting sqref="BI60">
    <cfRule type="expression" dxfId="3964" priority="4104" stopIfTrue="1">
      <formula>IF(BI60="-",TRUE,FALSE)</formula>
    </cfRule>
    <cfRule type="expression" dxfId="3963" priority="4105" stopIfTrue="1">
      <formula>IF(OR(BI60="OK"),FALSE,TRUE)</formula>
    </cfRule>
  </conditionalFormatting>
  <conditionalFormatting sqref="BH60">
    <cfRule type="expression" dxfId="3962" priority="4103" stopIfTrue="1">
      <formula>IF(BG$8="判定対象外",TRUE,FALSE)</formula>
    </cfRule>
  </conditionalFormatting>
  <conditionalFormatting sqref="BG60">
    <cfRule type="expression" dxfId="3961" priority="4102" stopIfTrue="1">
      <formula>IF(BG$8="判定対象外",TRUE,FALSE)</formula>
    </cfRule>
  </conditionalFormatting>
  <conditionalFormatting sqref="BB59">
    <cfRule type="expression" dxfId="3960" priority="4099" stopIfTrue="1">
      <formula>IF(BC$8="判定対象外",TRUE,FALSE)</formula>
    </cfRule>
  </conditionalFormatting>
  <conditionalFormatting sqref="BE59">
    <cfRule type="expression" dxfId="3959" priority="4097" stopIfTrue="1">
      <formula>IF(BE59="-",TRUE,FALSE)</formula>
    </cfRule>
    <cfRule type="expression" dxfId="3958" priority="4098" stopIfTrue="1">
      <formula>IF(OR(BE59="OK"),FALSE,TRUE)</formula>
    </cfRule>
  </conditionalFormatting>
  <conditionalFormatting sqref="BD59">
    <cfRule type="expression" dxfId="3957" priority="4096" stopIfTrue="1">
      <formula>IF(BC$8="判定対象外",TRUE,FALSE)</formula>
    </cfRule>
  </conditionalFormatting>
  <conditionalFormatting sqref="BC59">
    <cfRule type="expression" dxfId="3956" priority="4095" stopIfTrue="1">
      <formula>IF(BC$8="判定対象外",TRUE,FALSE)</formula>
    </cfRule>
  </conditionalFormatting>
  <conditionalFormatting sqref="BF59">
    <cfRule type="expression" dxfId="3955" priority="4094" stopIfTrue="1">
      <formula>IF(BG$8="判定対象外",TRUE,FALSE)</formula>
    </cfRule>
  </conditionalFormatting>
  <conditionalFormatting sqref="BI59">
    <cfRule type="expression" dxfId="3954" priority="4092" stopIfTrue="1">
      <formula>IF(BI59="-",TRUE,FALSE)</formula>
    </cfRule>
    <cfRule type="expression" dxfId="3953" priority="4093" stopIfTrue="1">
      <formula>IF(OR(BI59="OK"),FALSE,TRUE)</formula>
    </cfRule>
  </conditionalFormatting>
  <conditionalFormatting sqref="BH59">
    <cfRule type="expression" dxfId="3952" priority="4091" stopIfTrue="1">
      <formula>IF(BG$8="判定対象外",TRUE,FALSE)</formula>
    </cfRule>
  </conditionalFormatting>
  <conditionalFormatting sqref="BG59">
    <cfRule type="expression" dxfId="3951" priority="4090" stopIfTrue="1">
      <formula>IF(BG$8="判定対象外",TRUE,FALSE)</formula>
    </cfRule>
  </conditionalFormatting>
  <conditionalFormatting sqref="BJ59">
    <cfRule type="expression" dxfId="3950" priority="4089" stopIfTrue="1">
      <formula>IF(BK$8="判定対象外",TRUE,FALSE)</formula>
    </cfRule>
  </conditionalFormatting>
  <conditionalFormatting sqref="BV16:BV18">
    <cfRule type="expression" dxfId="3949" priority="3931" stopIfTrue="1">
      <formula>IF(BW$8="判定対象外",TRUE,FALSE)</formula>
    </cfRule>
  </conditionalFormatting>
  <conditionalFormatting sqref="CT61">
    <cfRule type="expression" dxfId="3948" priority="3337" stopIfTrue="1">
      <formula>IF(CU$8="判定対象外",TRUE,FALSE)</formula>
    </cfRule>
  </conditionalFormatting>
  <conditionalFormatting sqref="BQ8:BQ10">
    <cfRule type="expression" dxfId="3947" priority="4087" stopIfTrue="1">
      <formula>IF(BQ8="-",TRUE,FALSE)</formula>
    </cfRule>
    <cfRule type="expression" dxfId="3946" priority="4088" stopIfTrue="1">
      <formula>IF(OR(BQ8="OK"),FALSE,TRUE)</formula>
    </cfRule>
  </conditionalFormatting>
  <conditionalFormatting sqref="BN8:BN10">
    <cfRule type="expression" dxfId="3945" priority="4086" stopIfTrue="1">
      <formula>IF(BO$8="判定対象外",TRUE,FALSE)</formula>
    </cfRule>
  </conditionalFormatting>
  <conditionalFormatting sqref="BO8:BO10">
    <cfRule type="expression" dxfId="3944" priority="4085" stopIfTrue="1">
      <formula>IF(BO$8="判定対象外",TRUE,FALSE)</formula>
    </cfRule>
  </conditionalFormatting>
  <conditionalFormatting sqref="BP8:BP10">
    <cfRule type="expression" dxfId="3943" priority="4084" stopIfTrue="1">
      <formula>IF(BO$8="判定対象外",TRUE,FALSE)</formula>
    </cfRule>
  </conditionalFormatting>
  <conditionalFormatting sqref="BQ11:BQ34 BQ71:BQ81 BQ36:BQ56">
    <cfRule type="expression" dxfId="3942" priority="4081" stopIfTrue="1">
      <formula>IF(BQ11="-",TRUE,FALSE)</formula>
    </cfRule>
    <cfRule type="expression" dxfId="3941" priority="4082" stopIfTrue="1">
      <formula>IF(OR(BQ11="OK"),FALSE,TRUE)</formula>
    </cfRule>
  </conditionalFormatting>
  <conditionalFormatting sqref="BP11:BP34 BP71:BP81 BP36:BP56">
    <cfRule type="expression" dxfId="3940" priority="4080" stopIfTrue="1">
      <formula>IF(BO$8="判定対象外",TRUE,FALSE)</formula>
    </cfRule>
  </conditionalFormatting>
  <conditionalFormatting sqref="BN72:BN81 BN21:BN34 BN36:BN46">
    <cfRule type="expression" dxfId="3939" priority="4079" stopIfTrue="1">
      <formula>IF(BO$8="判定対象外",TRUE,FALSE)</formula>
    </cfRule>
  </conditionalFormatting>
  <conditionalFormatting sqref="BN29:BN32">
    <cfRule type="expression" dxfId="3938" priority="4078" stopIfTrue="1">
      <formula>IF(BO$8="判定対象外",TRUE,FALSE)</formula>
    </cfRule>
  </conditionalFormatting>
  <conditionalFormatting sqref="BN42:BN44">
    <cfRule type="expression" dxfId="3937" priority="4077" stopIfTrue="1">
      <formula>IF(BO$8="判定対象外",TRUE,FALSE)</formula>
    </cfRule>
  </conditionalFormatting>
  <conditionalFormatting sqref="BN46">
    <cfRule type="expression" dxfId="3936" priority="4076" stopIfTrue="1">
      <formula>IF(BO$8="判定対象外",TRUE,FALSE)</formula>
    </cfRule>
  </conditionalFormatting>
  <conditionalFormatting sqref="BN42:BN44">
    <cfRule type="expression" dxfId="3935" priority="4075" stopIfTrue="1">
      <formula>IF(BO$8="判定対象外",TRUE,FALSE)</formula>
    </cfRule>
  </conditionalFormatting>
  <conditionalFormatting sqref="BN42:BN44">
    <cfRule type="expression" dxfId="3934" priority="4074" stopIfTrue="1">
      <formula>IF(BO$8="判定対象外",TRUE,FALSE)</formula>
    </cfRule>
  </conditionalFormatting>
  <conditionalFormatting sqref="BN42:BN44">
    <cfRule type="expression" dxfId="3933" priority="4073" stopIfTrue="1">
      <formula>IF(BO$8="判定対象外",TRUE,FALSE)</formula>
    </cfRule>
  </conditionalFormatting>
  <conditionalFormatting sqref="BN42:BN44">
    <cfRule type="expression" dxfId="3932" priority="4072" stopIfTrue="1">
      <formula>IF(BO$8="判定対象外",TRUE,FALSE)</formula>
    </cfRule>
  </conditionalFormatting>
  <conditionalFormatting sqref="BN42:BN44">
    <cfRule type="expression" dxfId="3931" priority="4071" stopIfTrue="1">
      <formula>IF(BO$8="判定対象外",TRUE,FALSE)</formula>
    </cfRule>
  </conditionalFormatting>
  <conditionalFormatting sqref="BN42:BN44">
    <cfRule type="expression" dxfId="3930" priority="4070" stopIfTrue="1">
      <formula>IF(BO$8="判定対象外",TRUE,FALSE)</formula>
    </cfRule>
  </conditionalFormatting>
  <conditionalFormatting sqref="BN42:BN44">
    <cfRule type="expression" dxfId="3929" priority="4069" stopIfTrue="1">
      <formula>IF(BO$8="判定対象外",TRUE,FALSE)</formula>
    </cfRule>
  </conditionalFormatting>
  <conditionalFormatting sqref="BN38">
    <cfRule type="expression" dxfId="3928" priority="4083" stopIfTrue="1">
      <formula>IF(#REF!="判定対象外",TRUE,FALSE)</formula>
    </cfRule>
  </conditionalFormatting>
  <conditionalFormatting sqref="BO11:BO34 BO71:BO81 BO36:BO56">
    <cfRule type="expression" dxfId="3927" priority="4068" stopIfTrue="1">
      <formula>IF(BO$8="判定対象外",TRUE,FALSE)</formula>
    </cfRule>
  </conditionalFormatting>
  <conditionalFormatting sqref="BN48">
    <cfRule type="expression" dxfId="3926" priority="4067" stopIfTrue="1">
      <formula>IF(BO$8="判定対象外",TRUE,FALSE)</formula>
    </cfRule>
  </conditionalFormatting>
  <conditionalFormatting sqref="BN51">
    <cfRule type="expression" dxfId="3925" priority="4066" stopIfTrue="1">
      <formula>IF(BO$8="判定対象外",TRUE,FALSE)</formula>
    </cfRule>
  </conditionalFormatting>
  <conditionalFormatting sqref="BN52 BN55 BN64 BN67 BN70">
    <cfRule type="expression" dxfId="3924" priority="4065" stopIfTrue="1">
      <formula>IF(BO$8="判定対象外",TRUE,FALSE)</formula>
    </cfRule>
  </conditionalFormatting>
  <conditionalFormatting sqref="BN11:BN20">
    <cfRule type="expression" dxfId="3923" priority="4064" stopIfTrue="1">
      <formula>IF(BO$8="判定対象外",TRUE,FALSE)</formula>
    </cfRule>
  </conditionalFormatting>
  <conditionalFormatting sqref="BN16:BN18">
    <cfRule type="expression" dxfId="3922" priority="4063" stopIfTrue="1">
      <formula>IF(BO$8="判定対象外",TRUE,FALSE)</formula>
    </cfRule>
  </conditionalFormatting>
  <conditionalFormatting sqref="BN20">
    <cfRule type="expression" dxfId="3921" priority="4062" stopIfTrue="1">
      <formula>IF(BO$8="判定対象外",TRUE,FALSE)</formula>
    </cfRule>
  </conditionalFormatting>
  <conditionalFormatting sqref="BN16:BN20">
    <cfRule type="expression" dxfId="3920" priority="4061" stopIfTrue="1">
      <formula>IF(BO$8="判定対象外",TRUE,FALSE)</formula>
    </cfRule>
  </conditionalFormatting>
  <conditionalFormatting sqref="BN11:BN20">
    <cfRule type="expression" dxfId="3919" priority="4060" stopIfTrue="1">
      <formula>IF(BO$8="判定対象外",TRUE,FALSE)</formula>
    </cfRule>
  </conditionalFormatting>
  <conditionalFormatting sqref="BN16:BN18">
    <cfRule type="expression" dxfId="3918" priority="4059" stopIfTrue="1">
      <formula>IF(BO$8="判定対象外",TRUE,FALSE)</formula>
    </cfRule>
  </conditionalFormatting>
  <conditionalFormatting sqref="BN20">
    <cfRule type="expression" dxfId="3917" priority="4058" stopIfTrue="1">
      <formula>IF(BO$8="判定対象外",TRUE,FALSE)</formula>
    </cfRule>
  </conditionalFormatting>
  <conditionalFormatting sqref="BN16:BN20">
    <cfRule type="expression" dxfId="3916" priority="4057" stopIfTrue="1">
      <formula>IF(BO$8="判定対象外",TRUE,FALSE)</formula>
    </cfRule>
  </conditionalFormatting>
  <conditionalFormatting sqref="BN11:BN20">
    <cfRule type="expression" dxfId="3915" priority="4056" stopIfTrue="1">
      <formula>IF(BO$8="判定対象外",TRUE,FALSE)</formula>
    </cfRule>
  </conditionalFormatting>
  <conditionalFormatting sqref="BN16:BN18">
    <cfRule type="expression" dxfId="3914" priority="4055" stopIfTrue="1">
      <formula>IF(BO$8="判定対象外",TRUE,FALSE)</formula>
    </cfRule>
  </conditionalFormatting>
  <conditionalFormatting sqref="BN20">
    <cfRule type="expression" dxfId="3913" priority="4054" stopIfTrue="1">
      <formula>IF(BO$8="判定対象外",TRUE,FALSE)</formula>
    </cfRule>
  </conditionalFormatting>
  <conditionalFormatting sqref="BN16:BN20">
    <cfRule type="expression" dxfId="3912" priority="4053" stopIfTrue="1">
      <formula>IF(BO$8="判定対象外",TRUE,FALSE)</formula>
    </cfRule>
  </conditionalFormatting>
  <conditionalFormatting sqref="BN11:BN13">
    <cfRule type="expression" dxfId="3911" priority="4052" stopIfTrue="1">
      <formula>IF(BO$8="判定対象外",TRUE,FALSE)</formula>
    </cfRule>
  </conditionalFormatting>
  <conditionalFormatting sqref="BN15">
    <cfRule type="expression" dxfId="3910" priority="4051" stopIfTrue="1">
      <formula>IF(BO$8="判定対象外",TRUE,FALSE)</formula>
    </cfRule>
  </conditionalFormatting>
  <conditionalFormatting sqref="BN19">
    <cfRule type="expression" dxfId="3909" priority="4050" stopIfTrue="1">
      <formula>IF(BO$8="判定対象外",TRUE,FALSE)</formula>
    </cfRule>
  </conditionalFormatting>
  <conditionalFormatting sqref="BN19">
    <cfRule type="expression" dxfId="3908" priority="4049" stopIfTrue="1">
      <formula>IF(BO$8="判定対象外",TRUE,FALSE)</formula>
    </cfRule>
  </conditionalFormatting>
  <conditionalFormatting sqref="BN20">
    <cfRule type="expression" dxfId="3907" priority="4048" stopIfTrue="1">
      <formula>IF(BO$8="判定対象外",TRUE,FALSE)</formula>
    </cfRule>
  </conditionalFormatting>
  <conditionalFormatting sqref="BN20">
    <cfRule type="expression" dxfId="3906" priority="4047" stopIfTrue="1">
      <formula>IF(BO$8="判定対象外",TRUE,FALSE)</formula>
    </cfRule>
  </conditionalFormatting>
  <conditionalFormatting sqref="BN20">
    <cfRule type="expression" dxfId="3905" priority="4046" stopIfTrue="1">
      <formula>IF(BO$8="判定対象外",TRUE,FALSE)</formula>
    </cfRule>
  </conditionalFormatting>
  <conditionalFormatting sqref="BN13">
    <cfRule type="expression" dxfId="3904" priority="4045" stopIfTrue="1">
      <formula>IF(BO$8="判定対象外",TRUE,FALSE)</formula>
    </cfRule>
  </conditionalFormatting>
  <conditionalFormatting sqref="BN47">
    <cfRule type="expression" dxfId="3903" priority="4044" stopIfTrue="1">
      <formula>IF(BO$8="判定対象外",TRUE,FALSE)</formula>
    </cfRule>
  </conditionalFormatting>
  <conditionalFormatting sqref="BN47">
    <cfRule type="expression" dxfId="3902" priority="4043" stopIfTrue="1">
      <formula>IF(BO$8="判定対象外",TRUE,FALSE)</formula>
    </cfRule>
  </conditionalFormatting>
  <conditionalFormatting sqref="BN49">
    <cfRule type="expression" dxfId="3901" priority="4042" stopIfTrue="1">
      <formula>IF(BO$8="判定対象外",TRUE,FALSE)</formula>
    </cfRule>
  </conditionalFormatting>
  <conditionalFormatting sqref="BN49">
    <cfRule type="expression" dxfId="3900" priority="4041" stopIfTrue="1">
      <formula>IF(BO$8="判定対象外",TRUE,FALSE)</formula>
    </cfRule>
  </conditionalFormatting>
  <conditionalFormatting sqref="BN50">
    <cfRule type="expression" dxfId="3899" priority="4040" stopIfTrue="1">
      <formula>IF(BO$8="判定対象外",TRUE,FALSE)</formula>
    </cfRule>
  </conditionalFormatting>
  <conditionalFormatting sqref="BN50">
    <cfRule type="expression" dxfId="3898" priority="4039" stopIfTrue="1">
      <formula>IF(BO$8="判定対象外",TRUE,FALSE)</formula>
    </cfRule>
  </conditionalFormatting>
  <conditionalFormatting sqref="BN53 BN56 BN62 BN65 BN68 BN71">
    <cfRule type="expression" dxfId="3897" priority="4038" stopIfTrue="1">
      <formula>IF(BO$8="判定対象外",TRUE,FALSE)</formula>
    </cfRule>
  </conditionalFormatting>
  <conditionalFormatting sqref="BN54 BN57 BN63 BN66 BN69">
    <cfRule type="expression" dxfId="3896" priority="4037" stopIfTrue="1">
      <formula>IF(BO$8="判定対象外",TRUE,FALSE)</formula>
    </cfRule>
  </conditionalFormatting>
  <conditionalFormatting sqref="BQ57">
    <cfRule type="expression" dxfId="3895" priority="4035" stopIfTrue="1">
      <formula>IF(BQ57="-",TRUE,FALSE)</formula>
    </cfRule>
    <cfRule type="expression" dxfId="3894" priority="4036" stopIfTrue="1">
      <formula>IF(OR(BQ57="OK"),FALSE,TRUE)</formula>
    </cfRule>
  </conditionalFormatting>
  <conditionalFormatting sqref="BP57">
    <cfRule type="expression" dxfId="3893" priority="4034" stopIfTrue="1">
      <formula>IF(BO$8="判定対象外",TRUE,FALSE)</formula>
    </cfRule>
  </conditionalFormatting>
  <conditionalFormatting sqref="BO57">
    <cfRule type="expression" dxfId="3892" priority="4033" stopIfTrue="1">
      <formula>IF(BO$8="判定対象外",TRUE,FALSE)</formula>
    </cfRule>
  </conditionalFormatting>
  <conditionalFormatting sqref="BQ62:BQ64">
    <cfRule type="expression" dxfId="3891" priority="4031" stopIfTrue="1">
      <formula>IF(BQ62="-",TRUE,FALSE)</formula>
    </cfRule>
    <cfRule type="expression" dxfId="3890" priority="4032" stopIfTrue="1">
      <formula>IF(OR(BQ62="OK"),FALSE,TRUE)</formula>
    </cfRule>
  </conditionalFormatting>
  <conditionalFormatting sqref="BP62:BP64">
    <cfRule type="expression" dxfId="3889" priority="4030" stopIfTrue="1">
      <formula>IF(BO$8="判定対象外",TRUE,FALSE)</formula>
    </cfRule>
  </conditionalFormatting>
  <conditionalFormatting sqref="BO62:BO64">
    <cfRule type="expression" dxfId="3888" priority="4029" stopIfTrue="1">
      <formula>IF(BO$8="判定対象外",TRUE,FALSE)</formula>
    </cfRule>
  </conditionalFormatting>
  <conditionalFormatting sqref="BQ65:BQ70">
    <cfRule type="expression" dxfId="3887" priority="4027" stopIfTrue="1">
      <formula>IF(BQ65="-",TRUE,FALSE)</formula>
    </cfRule>
    <cfRule type="expression" dxfId="3886" priority="4028" stopIfTrue="1">
      <formula>IF(OR(BQ65="OK"),FALSE,TRUE)</formula>
    </cfRule>
  </conditionalFormatting>
  <conditionalFormatting sqref="BP65:BP70">
    <cfRule type="expression" dxfId="3885" priority="4026" stopIfTrue="1">
      <formula>IF(BO$8="判定対象外",TRUE,FALSE)</formula>
    </cfRule>
  </conditionalFormatting>
  <conditionalFormatting sqref="BO65:BO70">
    <cfRule type="expression" dxfId="3884" priority="4025" stopIfTrue="1">
      <formula>IF(BO$8="判定対象外",TRUE,FALSE)</formula>
    </cfRule>
  </conditionalFormatting>
  <conditionalFormatting sqref="BU8:BU10">
    <cfRule type="expression" dxfId="3883" priority="4023" stopIfTrue="1">
      <formula>IF(BU8="-",TRUE,FALSE)</formula>
    </cfRule>
    <cfRule type="expression" dxfId="3882" priority="4024" stopIfTrue="1">
      <formula>IF(OR(BU8="OK"),FALSE,TRUE)</formula>
    </cfRule>
  </conditionalFormatting>
  <conditionalFormatting sqref="BR8:BR10">
    <cfRule type="expression" dxfId="3881" priority="4022" stopIfTrue="1">
      <formula>IF(BS$8="判定対象外",TRUE,FALSE)</formula>
    </cfRule>
  </conditionalFormatting>
  <conditionalFormatting sqref="BS8:BS10">
    <cfRule type="expression" dxfId="3880" priority="4021" stopIfTrue="1">
      <formula>IF(BS$8="判定対象外",TRUE,FALSE)</formula>
    </cfRule>
  </conditionalFormatting>
  <conditionalFormatting sqref="BT8:BT10">
    <cfRule type="expression" dxfId="3879" priority="4020" stopIfTrue="1">
      <formula>IF(BS$8="判定対象外",TRUE,FALSE)</formula>
    </cfRule>
  </conditionalFormatting>
  <conditionalFormatting sqref="BU11:BU34 BU71:BU81 BU36:BU56">
    <cfRule type="expression" dxfId="3878" priority="4017" stopIfTrue="1">
      <formula>IF(BU11="-",TRUE,FALSE)</formula>
    </cfRule>
    <cfRule type="expression" dxfId="3877" priority="4018" stopIfTrue="1">
      <formula>IF(OR(BU11="OK"),FALSE,TRUE)</formula>
    </cfRule>
  </conditionalFormatting>
  <conditionalFormatting sqref="BT11:BT34 BT71:BT81 BT36:BT56">
    <cfRule type="expression" dxfId="3876" priority="4016" stopIfTrue="1">
      <formula>IF(BS$8="判定対象外",TRUE,FALSE)</formula>
    </cfRule>
  </conditionalFormatting>
  <conditionalFormatting sqref="BR72:BR81 BR21:BR34 BR36:BR46">
    <cfRule type="expression" dxfId="3875" priority="4015" stopIfTrue="1">
      <formula>IF(BS$8="判定対象外",TRUE,FALSE)</formula>
    </cfRule>
  </conditionalFormatting>
  <conditionalFormatting sqref="BR29:BR32">
    <cfRule type="expression" dxfId="3874" priority="4014" stopIfTrue="1">
      <formula>IF(BS$8="判定対象外",TRUE,FALSE)</formula>
    </cfRule>
  </conditionalFormatting>
  <conditionalFormatting sqref="BR42:BR44">
    <cfRule type="expression" dxfId="3873" priority="4013" stopIfTrue="1">
      <formula>IF(BS$8="判定対象外",TRUE,FALSE)</formula>
    </cfRule>
  </conditionalFormatting>
  <conditionalFormatting sqref="BR46">
    <cfRule type="expression" dxfId="3872" priority="4012" stopIfTrue="1">
      <formula>IF(BS$8="判定対象外",TRUE,FALSE)</formula>
    </cfRule>
  </conditionalFormatting>
  <conditionalFormatting sqref="BR42:BR44">
    <cfRule type="expression" dxfId="3871" priority="4011" stopIfTrue="1">
      <formula>IF(BS$8="判定対象外",TRUE,FALSE)</formula>
    </cfRule>
  </conditionalFormatting>
  <conditionalFormatting sqref="BR42:BR44">
    <cfRule type="expression" dxfId="3870" priority="4010" stopIfTrue="1">
      <formula>IF(BS$8="判定対象外",TRUE,FALSE)</formula>
    </cfRule>
  </conditionalFormatting>
  <conditionalFormatting sqref="BR42:BR44">
    <cfRule type="expression" dxfId="3869" priority="4009" stopIfTrue="1">
      <formula>IF(BS$8="判定対象外",TRUE,FALSE)</formula>
    </cfRule>
  </conditionalFormatting>
  <conditionalFormatting sqref="BR42:BR44">
    <cfRule type="expression" dxfId="3868" priority="4008" stopIfTrue="1">
      <formula>IF(BS$8="判定対象外",TRUE,FALSE)</formula>
    </cfRule>
  </conditionalFormatting>
  <conditionalFormatting sqref="BR42:BR44">
    <cfRule type="expression" dxfId="3867" priority="4007" stopIfTrue="1">
      <formula>IF(BS$8="判定対象外",TRUE,FALSE)</formula>
    </cfRule>
  </conditionalFormatting>
  <conditionalFormatting sqref="BR42:BR44">
    <cfRule type="expression" dxfId="3866" priority="4006" stopIfTrue="1">
      <formula>IF(BS$8="判定対象外",TRUE,FALSE)</formula>
    </cfRule>
  </conditionalFormatting>
  <conditionalFormatting sqref="BR42:BR44">
    <cfRule type="expression" dxfId="3865" priority="4005" stopIfTrue="1">
      <formula>IF(BS$8="判定対象外",TRUE,FALSE)</formula>
    </cfRule>
  </conditionalFormatting>
  <conditionalFormatting sqref="BR38">
    <cfRule type="expression" dxfId="3864" priority="4019" stopIfTrue="1">
      <formula>IF(#REF!="判定対象外",TRUE,FALSE)</formula>
    </cfRule>
  </conditionalFormatting>
  <conditionalFormatting sqref="BS11:BS34 BS71:BS81 BS36:BS56">
    <cfRule type="expression" dxfId="3863" priority="4004" stopIfTrue="1">
      <formula>IF(BS$8="判定対象外",TRUE,FALSE)</formula>
    </cfRule>
  </conditionalFormatting>
  <conditionalFormatting sqref="BR48">
    <cfRule type="expression" dxfId="3862" priority="4003" stopIfTrue="1">
      <formula>IF(BS$8="判定対象外",TRUE,FALSE)</formula>
    </cfRule>
  </conditionalFormatting>
  <conditionalFormatting sqref="BR51">
    <cfRule type="expression" dxfId="3861" priority="4002" stopIfTrue="1">
      <formula>IF(BS$8="判定対象外",TRUE,FALSE)</formula>
    </cfRule>
  </conditionalFormatting>
  <conditionalFormatting sqref="BR52 BR55 BR64 BR67 BR70">
    <cfRule type="expression" dxfId="3860" priority="4001" stopIfTrue="1">
      <formula>IF(BS$8="判定対象外",TRUE,FALSE)</formula>
    </cfRule>
  </conditionalFormatting>
  <conditionalFormatting sqref="BR11:BR20">
    <cfRule type="expression" dxfId="3859" priority="4000" stopIfTrue="1">
      <formula>IF(BS$8="判定対象外",TRUE,FALSE)</formula>
    </cfRule>
  </conditionalFormatting>
  <conditionalFormatting sqref="BR16:BR18">
    <cfRule type="expression" dxfId="3858" priority="3999" stopIfTrue="1">
      <formula>IF(BS$8="判定対象外",TRUE,FALSE)</formula>
    </cfRule>
  </conditionalFormatting>
  <conditionalFormatting sqref="BR20">
    <cfRule type="expression" dxfId="3857" priority="3998" stopIfTrue="1">
      <formula>IF(BS$8="判定対象外",TRUE,FALSE)</formula>
    </cfRule>
  </conditionalFormatting>
  <conditionalFormatting sqref="BR16:BR20">
    <cfRule type="expression" dxfId="3856" priority="3997" stopIfTrue="1">
      <formula>IF(BS$8="判定対象外",TRUE,FALSE)</formula>
    </cfRule>
  </conditionalFormatting>
  <conditionalFormatting sqref="BR11:BR20">
    <cfRule type="expression" dxfId="3855" priority="3996" stopIfTrue="1">
      <formula>IF(BS$8="判定対象外",TRUE,FALSE)</formula>
    </cfRule>
  </conditionalFormatting>
  <conditionalFormatting sqref="BR16:BR18">
    <cfRule type="expression" dxfId="3854" priority="3995" stopIfTrue="1">
      <formula>IF(BS$8="判定対象外",TRUE,FALSE)</formula>
    </cfRule>
  </conditionalFormatting>
  <conditionalFormatting sqref="BR20">
    <cfRule type="expression" dxfId="3853" priority="3994" stopIfTrue="1">
      <formula>IF(BS$8="判定対象外",TRUE,FALSE)</formula>
    </cfRule>
  </conditionalFormatting>
  <conditionalFormatting sqref="BR16:BR20">
    <cfRule type="expression" dxfId="3852" priority="3993" stopIfTrue="1">
      <formula>IF(BS$8="判定対象外",TRUE,FALSE)</formula>
    </cfRule>
  </conditionalFormatting>
  <conditionalFormatting sqref="BR11:BR20">
    <cfRule type="expression" dxfId="3851" priority="3992" stopIfTrue="1">
      <formula>IF(BS$8="判定対象外",TRUE,FALSE)</formula>
    </cfRule>
  </conditionalFormatting>
  <conditionalFormatting sqref="BR16:BR18">
    <cfRule type="expression" dxfId="3850" priority="3991" stopIfTrue="1">
      <formula>IF(BS$8="判定対象外",TRUE,FALSE)</formula>
    </cfRule>
  </conditionalFormatting>
  <conditionalFormatting sqref="BR20">
    <cfRule type="expression" dxfId="3849" priority="3990" stopIfTrue="1">
      <formula>IF(BS$8="判定対象外",TRUE,FALSE)</formula>
    </cfRule>
  </conditionalFormatting>
  <conditionalFormatting sqref="BR16:BR20">
    <cfRule type="expression" dxfId="3848" priority="3989" stopIfTrue="1">
      <formula>IF(BS$8="判定対象外",TRUE,FALSE)</formula>
    </cfRule>
  </conditionalFormatting>
  <conditionalFormatting sqref="BR11:BR13">
    <cfRule type="expression" dxfId="3847" priority="3988" stopIfTrue="1">
      <formula>IF(BS$8="判定対象外",TRUE,FALSE)</formula>
    </cfRule>
  </conditionalFormatting>
  <conditionalFormatting sqref="BR15">
    <cfRule type="expression" dxfId="3846" priority="3987" stopIfTrue="1">
      <formula>IF(BS$8="判定対象外",TRUE,FALSE)</formula>
    </cfRule>
  </conditionalFormatting>
  <conditionalFormatting sqref="BR19">
    <cfRule type="expression" dxfId="3845" priority="3986" stopIfTrue="1">
      <formula>IF(BS$8="判定対象外",TRUE,FALSE)</formula>
    </cfRule>
  </conditionalFormatting>
  <conditionalFormatting sqref="BR19">
    <cfRule type="expression" dxfId="3844" priority="3985" stopIfTrue="1">
      <formula>IF(BS$8="判定対象外",TRUE,FALSE)</formula>
    </cfRule>
  </conditionalFormatting>
  <conditionalFormatting sqref="BR20">
    <cfRule type="expression" dxfId="3843" priority="3984" stopIfTrue="1">
      <formula>IF(BS$8="判定対象外",TRUE,FALSE)</formula>
    </cfRule>
  </conditionalFormatting>
  <conditionalFormatting sqref="BR20">
    <cfRule type="expression" dxfId="3842" priority="3983" stopIfTrue="1">
      <formula>IF(BS$8="判定対象外",TRUE,FALSE)</formula>
    </cfRule>
  </conditionalFormatting>
  <conditionalFormatting sqref="BR20">
    <cfRule type="expression" dxfId="3841" priority="3982" stopIfTrue="1">
      <formula>IF(BS$8="判定対象外",TRUE,FALSE)</formula>
    </cfRule>
  </conditionalFormatting>
  <conditionalFormatting sqref="BR13">
    <cfRule type="expression" dxfId="3840" priority="3981" stopIfTrue="1">
      <formula>IF(BS$8="判定対象外",TRUE,FALSE)</formula>
    </cfRule>
  </conditionalFormatting>
  <conditionalFormatting sqref="BR47">
    <cfRule type="expression" dxfId="3839" priority="3980" stopIfTrue="1">
      <formula>IF(BS$8="判定対象外",TRUE,FALSE)</formula>
    </cfRule>
  </conditionalFormatting>
  <conditionalFormatting sqref="BR47">
    <cfRule type="expression" dxfId="3838" priority="3979" stopIfTrue="1">
      <formula>IF(BS$8="判定対象外",TRUE,FALSE)</formula>
    </cfRule>
  </conditionalFormatting>
  <conditionalFormatting sqref="BR49">
    <cfRule type="expression" dxfId="3837" priority="3978" stopIfTrue="1">
      <formula>IF(BS$8="判定対象外",TRUE,FALSE)</formula>
    </cfRule>
  </conditionalFormatting>
  <conditionalFormatting sqref="BR49">
    <cfRule type="expression" dxfId="3836" priority="3977" stopIfTrue="1">
      <formula>IF(BS$8="判定対象外",TRUE,FALSE)</formula>
    </cfRule>
  </conditionalFormatting>
  <conditionalFormatting sqref="BR50">
    <cfRule type="expression" dxfId="3835" priority="3976" stopIfTrue="1">
      <formula>IF(BS$8="判定対象外",TRUE,FALSE)</formula>
    </cfRule>
  </conditionalFormatting>
  <conditionalFormatting sqref="BR50">
    <cfRule type="expression" dxfId="3834" priority="3975" stopIfTrue="1">
      <formula>IF(BS$8="判定対象外",TRUE,FALSE)</formula>
    </cfRule>
  </conditionalFormatting>
  <conditionalFormatting sqref="BR53 BR56 BR62 BR65 BR68 BR71">
    <cfRule type="expression" dxfId="3833" priority="3974" stopIfTrue="1">
      <formula>IF(BS$8="判定対象外",TRUE,FALSE)</formula>
    </cfRule>
  </conditionalFormatting>
  <conditionalFormatting sqref="BR54 BR57 BR63 BR66 BR69">
    <cfRule type="expression" dxfId="3832" priority="3973" stopIfTrue="1">
      <formula>IF(BS$8="判定対象外",TRUE,FALSE)</formula>
    </cfRule>
  </conditionalFormatting>
  <conditionalFormatting sqref="BU57">
    <cfRule type="expression" dxfId="3831" priority="3971" stopIfTrue="1">
      <formula>IF(BU57="-",TRUE,FALSE)</formula>
    </cfRule>
    <cfRule type="expression" dxfId="3830" priority="3972" stopIfTrue="1">
      <formula>IF(OR(BU57="OK"),FALSE,TRUE)</formula>
    </cfRule>
  </conditionalFormatting>
  <conditionalFormatting sqref="BT57">
    <cfRule type="expression" dxfId="3829" priority="3970" stopIfTrue="1">
      <formula>IF(BS$8="判定対象外",TRUE,FALSE)</formula>
    </cfRule>
  </conditionalFormatting>
  <conditionalFormatting sqref="BS57">
    <cfRule type="expression" dxfId="3828" priority="3969" stopIfTrue="1">
      <formula>IF(BS$8="判定対象外",TRUE,FALSE)</formula>
    </cfRule>
  </conditionalFormatting>
  <conditionalFormatting sqref="BU62:BU64">
    <cfRule type="expression" dxfId="3827" priority="3967" stopIfTrue="1">
      <formula>IF(BU62="-",TRUE,FALSE)</formula>
    </cfRule>
    <cfRule type="expression" dxfId="3826" priority="3968" stopIfTrue="1">
      <formula>IF(OR(BU62="OK"),FALSE,TRUE)</formula>
    </cfRule>
  </conditionalFormatting>
  <conditionalFormatting sqref="BT62:BT64">
    <cfRule type="expression" dxfId="3825" priority="3966" stopIfTrue="1">
      <formula>IF(BS$8="判定対象外",TRUE,FALSE)</formula>
    </cfRule>
  </conditionalFormatting>
  <conditionalFormatting sqref="BS62:BS64">
    <cfRule type="expression" dxfId="3824" priority="3965" stopIfTrue="1">
      <formula>IF(BS$8="判定対象外",TRUE,FALSE)</formula>
    </cfRule>
  </conditionalFormatting>
  <conditionalFormatting sqref="BU65:BU70">
    <cfRule type="expression" dxfId="3823" priority="3963" stopIfTrue="1">
      <formula>IF(BU65="-",TRUE,FALSE)</formula>
    </cfRule>
    <cfRule type="expression" dxfId="3822" priority="3964" stopIfTrue="1">
      <formula>IF(OR(BU65="OK"),FALSE,TRUE)</formula>
    </cfRule>
  </conditionalFormatting>
  <conditionalFormatting sqref="BT65:BT70">
    <cfRule type="expression" dxfId="3821" priority="3962" stopIfTrue="1">
      <formula>IF(BS$8="判定対象外",TRUE,FALSE)</formula>
    </cfRule>
  </conditionalFormatting>
  <conditionalFormatting sqref="BS65:BS70">
    <cfRule type="expression" dxfId="3820" priority="3961" stopIfTrue="1">
      <formula>IF(BS$8="判定対象外",TRUE,FALSE)</formula>
    </cfRule>
  </conditionalFormatting>
  <conditionalFormatting sqref="BV29:BV32">
    <cfRule type="expression" dxfId="3819" priority="3950" stopIfTrue="1">
      <formula>IF(BW$8="判定対象外",TRUE,FALSE)</formula>
    </cfRule>
  </conditionalFormatting>
  <conditionalFormatting sqref="BY8:BY10">
    <cfRule type="expression" dxfId="3818" priority="3959" stopIfTrue="1">
      <formula>IF(BY8="-",TRUE,FALSE)</formula>
    </cfRule>
    <cfRule type="expression" dxfId="3817" priority="3960" stopIfTrue="1">
      <formula>IF(OR(BY8="OK"),FALSE,TRUE)</formula>
    </cfRule>
  </conditionalFormatting>
  <conditionalFormatting sqref="BV8:BV10">
    <cfRule type="expression" dxfId="3816" priority="3958" stopIfTrue="1">
      <formula>IF(BW$8="判定対象外",TRUE,FALSE)</formula>
    </cfRule>
  </conditionalFormatting>
  <conditionalFormatting sqref="BW8:BW10">
    <cfRule type="expression" dxfId="3815" priority="3957" stopIfTrue="1">
      <formula>IF(BW$8="判定対象外",TRUE,FALSE)</formula>
    </cfRule>
  </conditionalFormatting>
  <conditionalFormatting sqref="BX8:BX10">
    <cfRule type="expression" dxfId="3814" priority="3956" stopIfTrue="1">
      <formula>IF(BW$8="判定対象外",TRUE,FALSE)</formula>
    </cfRule>
  </conditionalFormatting>
  <conditionalFormatting sqref="BY11:BY34 BY71:BY81 BY36:BY56">
    <cfRule type="expression" dxfId="3813" priority="3953" stopIfTrue="1">
      <formula>IF(BY11="-",TRUE,FALSE)</formula>
    </cfRule>
    <cfRule type="expression" dxfId="3812" priority="3954" stopIfTrue="1">
      <formula>IF(OR(BY11="OK"),FALSE,TRUE)</formula>
    </cfRule>
  </conditionalFormatting>
  <conditionalFormatting sqref="BX11:BX34 BX71:BX81 BX36:BX56">
    <cfRule type="expression" dxfId="3811" priority="3952" stopIfTrue="1">
      <formula>IF(BW$8="判定対象外",TRUE,FALSE)</formula>
    </cfRule>
  </conditionalFormatting>
  <conditionalFormatting sqref="BV72:BV81 BV21:BV34 BV36:BV46">
    <cfRule type="expression" dxfId="3810" priority="3951" stopIfTrue="1">
      <formula>IF(BW$8="判定対象外",TRUE,FALSE)</formula>
    </cfRule>
  </conditionalFormatting>
  <conditionalFormatting sqref="BV42:BV44">
    <cfRule type="expression" dxfId="3809" priority="3949" stopIfTrue="1">
      <formula>IF(BW$8="判定対象外",TRUE,FALSE)</formula>
    </cfRule>
  </conditionalFormatting>
  <conditionalFormatting sqref="BV46">
    <cfRule type="expression" dxfId="3808" priority="3948" stopIfTrue="1">
      <formula>IF(BW$8="判定対象外",TRUE,FALSE)</formula>
    </cfRule>
  </conditionalFormatting>
  <conditionalFormatting sqref="BV42:BV44">
    <cfRule type="expression" dxfId="3807" priority="3947" stopIfTrue="1">
      <formula>IF(BW$8="判定対象外",TRUE,FALSE)</formula>
    </cfRule>
  </conditionalFormatting>
  <conditionalFormatting sqref="BV42:BV44">
    <cfRule type="expression" dxfId="3806" priority="3946" stopIfTrue="1">
      <formula>IF(BW$8="判定対象外",TRUE,FALSE)</formula>
    </cfRule>
  </conditionalFormatting>
  <conditionalFormatting sqref="BV42:BV44">
    <cfRule type="expression" dxfId="3805" priority="3945" stopIfTrue="1">
      <formula>IF(BW$8="判定対象外",TRUE,FALSE)</formula>
    </cfRule>
  </conditionalFormatting>
  <conditionalFormatting sqref="BV42:BV44">
    <cfRule type="expression" dxfId="3804" priority="3944" stopIfTrue="1">
      <formula>IF(BW$8="判定対象外",TRUE,FALSE)</formula>
    </cfRule>
  </conditionalFormatting>
  <conditionalFormatting sqref="BV42:BV44">
    <cfRule type="expression" dxfId="3803" priority="3943" stopIfTrue="1">
      <formula>IF(BW$8="判定対象外",TRUE,FALSE)</formula>
    </cfRule>
  </conditionalFormatting>
  <conditionalFormatting sqref="BV42:BV44">
    <cfRule type="expression" dxfId="3802" priority="3942" stopIfTrue="1">
      <formula>IF(BW$8="判定対象外",TRUE,FALSE)</formula>
    </cfRule>
  </conditionalFormatting>
  <conditionalFormatting sqref="BV42:BV44">
    <cfRule type="expression" dxfId="3801" priority="3941" stopIfTrue="1">
      <formula>IF(BW$8="判定対象外",TRUE,FALSE)</formula>
    </cfRule>
  </conditionalFormatting>
  <conditionalFormatting sqref="BV38">
    <cfRule type="expression" dxfId="3800" priority="3955" stopIfTrue="1">
      <formula>IF(#REF!="判定対象外",TRUE,FALSE)</formula>
    </cfRule>
  </conditionalFormatting>
  <conditionalFormatting sqref="BW11:BW34 BW71:BW81 BW36:BW56">
    <cfRule type="expression" dxfId="3799" priority="3940" stopIfTrue="1">
      <formula>IF(BW$8="判定対象外",TRUE,FALSE)</formula>
    </cfRule>
  </conditionalFormatting>
  <conditionalFormatting sqref="BV48">
    <cfRule type="expression" dxfId="3798" priority="3939" stopIfTrue="1">
      <formula>IF(BW$8="判定対象外",TRUE,FALSE)</formula>
    </cfRule>
  </conditionalFormatting>
  <conditionalFormatting sqref="BV51">
    <cfRule type="expression" dxfId="3797" priority="3938" stopIfTrue="1">
      <formula>IF(BW$8="判定対象外",TRUE,FALSE)</formula>
    </cfRule>
  </conditionalFormatting>
  <conditionalFormatting sqref="BV52 BV55 BV64 BV67 BV70">
    <cfRule type="expression" dxfId="3796" priority="3937" stopIfTrue="1">
      <formula>IF(BW$8="判定対象外",TRUE,FALSE)</formula>
    </cfRule>
  </conditionalFormatting>
  <conditionalFormatting sqref="BV11:BV20">
    <cfRule type="expression" dxfId="3795" priority="3936" stopIfTrue="1">
      <formula>IF(BW$8="判定対象外",TRUE,FALSE)</formula>
    </cfRule>
  </conditionalFormatting>
  <conditionalFormatting sqref="BV16:BV18">
    <cfRule type="expression" dxfId="3794" priority="3935" stopIfTrue="1">
      <formula>IF(BW$8="判定対象外",TRUE,FALSE)</formula>
    </cfRule>
  </conditionalFormatting>
  <conditionalFormatting sqref="BV20">
    <cfRule type="expression" dxfId="3793" priority="3934" stopIfTrue="1">
      <formula>IF(BW$8="判定対象外",TRUE,FALSE)</formula>
    </cfRule>
  </conditionalFormatting>
  <conditionalFormatting sqref="BV16:BV20">
    <cfRule type="expression" dxfId="3792" priority="3933" stopIfTrue="1">
      <formula>IF(BW$8="判定対象外",TRUE,FALSE)</formula>
    </cfRule>
  </conditionalFormatting>
  <conditionalFormatting sqref="BV11:BV20">
    <cfRule type="expression" dxfId="3791" priority="3932" stopIfTrue="1">
      <formula>IF(BW$8="判定対象外",TRUE,FALSE)</formula>
    </cfRule>
  </conditionalFormatting>
  <conditionalFormatting sqref="BV20">
    <cfRule type="expression" dxfId="3790" priority="3930" stopIfTrue="1">
      <formula>IF(BW$8="判定対象外",TRUE,FALSE)</formula>
    </cfRule>
  </conditionalFormatting>
  <conditionalFormatting sqref="BV16:BV20">
    <cfRule type="expression" dxfId="3789" priority="3929" stopIfTrue="1">
      <formula>IF(BW$8="判定対象外",TRUE,FALSE)</formula>
    </cfRule>
  </conditionalFormatting>
  <conditionalFormatting sqref="BV11:BV20">
    <cfRule type="expression" dxfId="3788" priority="3928" stopIfTrue="1">
      <formula>IF(BW$8="判定対象外",TRUE,FALSE)</formula>
    </cfRule>
  </conditionalFormatting>
  <conditionalFormatting sqref="BV16:BV18">
    <cfRule type="expression" dxfId="3787" priority="3927" stopIfTrue="1">
      <formula>IF(BW$8="判定対象外",TRUE,FALSE)</formula>
    </cfRule>
  </conditionalFormatting>
  <conditionalFormatting sqref="BV20">
    <cfRule type="expression" dxfId="3786" priority="3926" stopIfTrue="1">
      <formula>IF(BW$8="判定対象外",TRUE,FALSE)</formula>
    </cfRule>
  </conditionalFormatting>
  <conditionalFormatting sqref="BV16:BV20">
    <cfRule type="expression" dxfId="3785" priority="3925" stopIfTrue="1">
      <formula>IF(BW$8="判定対象外",TRUE,FALSE)</formula>
    </cfRule>
  </conditionalFormatting>
  <conditionalFormatting sqref="BV11:BV13">
    <cfRule type="expression" dxfId="3784" priority="3924" stopIfTrue="1">
      <formula>IF(BW$8="判定対象外",TRUE,FALSE)</formula>
    </cfRule>
  </conditionalFormatting>
  <conditionalFormatting sqref="BV15">
    <cfRule type="expression" dxfId="3783" priority="3923" stopIfTrue="1">
      <formula>IF(BW$8="判定対象外",TRUE,FALSE)</formula>
    </cfRule>
  </conditionalFormatting>
  <conditionalFormatting sqref="BV19">
    <cfRule type="expression" dxfId="3782" priority="3922" stopIfTrue="1">
      <formula>IF(BW$8="判定対象外",TRUE,FALSE)</formula>
    </cfRule>
  </conditionalFormatting>
  <conditionalFormatting sqref="CH53 CH56 CH65 CH68 CH71">
    <cfRule type="expression" dxfId="3781" priority="3663" stopIfTrue="1">
      <formula>IF(CI$8="判定対象外",TRUE,FALSE)</formula>
    </cfRule>
  </conditionalFormatting>
  <conditionalFormatting sqref="BV20">
    <cfRule type="expression" dxfId="3780" priority="3920" stopIfTrue="1">
      <formula>IF(BW$8="判定対象外",TRUE,FALSE)</formula>
    </cfRule>
  </conditionalFormatting>
  <conditionalFormatting sqref="BV20">
    <cfRule type="expression" dxfId="3779" priority="3919" stopIfTrue="1">
      <formula>IF(BW$8="判定対象外",TRUE,FALSE)</formula>
    </cfRule>
  </conditionalFormatting>
  <conditionalFormatting sqref="BV20">
    <cfRule type="expression" dxfId="3778" priority="3918" stopIfTrue="1">
      <formula>IF(BW$8="判定対象外",TRUE,FALSE)</formula>
    </cfRule>
  </conditionalFormatting>
  <conditionalFormatting sqref="BV13">
    <cfRule type="expression" dxfId="3777" priority="3917" stopIfTrue="1">
      <formula>IF(BW$8="判定対象外",TRUE,FALSE)</formula>
    </cfRule>
  </conditionalFormatting>
  <conditionalFormatting sqref="BV47">
    <cfRule type="expression" dxfId="3776" priority="3916" stopIfTrue="1">
      <formula>IF(BW$8="判定対象外",TRUE,FALSE)</formula>
    </cfRule>
  </conditionalFormatting>
  <conditionalFormatting sqref="BV47">
    <cfRule type="expression" dxfId="3775" priority="3915" stopIfTrue="1">
      <formula>IF(BW$8="判定対象外",TRUE,FALSE)</formula>
    </cfRule>
  </conditionalFormatting>
  <conditionalFormatting sqref="BV49">
    <cfRule type="expression" dxfId="3774" priority="3914" stopIfTrue="1">
      <formula>IF(BW$8="判定対象外",TRUE,FALSE)</formula>
    </cfRule>
  </conditionalFormatting>
  <conditionalFormatting sqref="BV49">
    <cfRule type="expression" dxfId="3773" priority="3913" stopIfTrue="1">
      <formula>IF(BW$8="判定対象外",TRUE,FALSE)</formula>
    </cfRule>
  </conditionalFormatting>
  <conditionalFormatting sqref="BV50">
    <cfRule type="expression" dxfId="3772" priority="3912" stopIfTrue="1">
      <formula>IF(BW$8="判定対象外",TRUE,FALSE)</formula>
    </cfRule>
  </conditionalFormatting>
  <conditionalFormatting sqref="BV50">
    <cfRule type="expression" dxfId="3771" priority="3911" stopIfTrue="1">
      <formula>IF(BW$8="判定対象外",TRUE,FALSE)</formula>
    </cfRule>
  </conditionalFormatting>
  <conditionalFormatting sqref="BV53 BV56 BV62 BV65 BV68 BV71">
    <cfRule type="expression" dxfId="3770" priority="3910" stopIfTrue="1">
      <formula>IF(BW$8="判定対象外",TRUE,FALSE)</formula>
    </cfRule>
  </conditionalFormatting>
  <conditionalFormatting sqref="BV54 BV57 BV63 BV66 BV69">
    <cfRule type="expression" dxfId="3769" priority="3909" stopIfTrue="1">
      <formula>IF(BW$8="判定対象外",TRUE,FALSE)</formula>
    </cfRule>
  </conditionalFormatting>
  <conditionalFormatting sqref="BY57">
    <cfRule type="expression" dxfId="3768" priority="3907" stopIfTrue="1">
      <formula>IF(BY57="-",TRUE,FALSE)</formula>
    </cfRule>
    <cfRule type="expression" dxfId="3767" priority="3908" stopIfTrue="1">
      <formula>IF(OR(BY57="OK"),FALSE,TRUE)</formula>
    </cfRule>
  </conditionalFormatting>
  <conditionalFormatting sqref="BX57">
    <cfRule type="expression" dxfId="3766" priority="3906" stopIfTrue="1">
      <formula>IF(BW$8="判定対象外",TRUE,FALSE)</formula>
    </cfRule>
  </conditionalFormatting>
  <conditionalFormatting sqref="BW57">
    <cfRule type="expression" dxfId="3765" priority="3905" stopIfTrue="1">
      <formula>IF(BW$8="判定対象外",TRUE,FALSE)</formula>
    </cfRule>
  </conditionalFormatting>
  <conditionalFormatting sqref="BY58:BY64">
    <cfRule type="expression" dxfId="3764" priority="3903" stopIfTrue="1">
      <formula>IF(BY58="-",TRUE,FALSE)</formula>
    </cfRule>
    <cfRule type="expression" dxfId="3763" priority="3904" stopIfTrue="1">
      <formula>IF(OR(BY58="OK"),FALSE,TRUE)</formula>
    </cfRule>
  </conditionalFormatting>
  <conditionalFormatting sqref="BX58:BX64">
    <cfRule type="expression" dxfId="3762" priority="3902" stopIfTrue="1">
      <formula>IF(BW$8="判定対象外",TRUE,FALSE)</formula>
    </cfRule>
  </conditionalFormatting>
  <conditionalFormatting sqref="BW58:BW64">
    <cfRule type="expression" dxfId="3761" priority="3901" stopIfTrue="1">
      <formula>IF(BW$8="判定対象外",TRUE,FALSE)</formula>
    </cfRule>
  </conditionalFormatting>
  <conditionalFormatting sqref="BY65:BY70">
    <cfRule type="expression" dxfId="3760" priority="3899" stopIfTrue="1">
      <formula>IF(BY65="-",TRUE,FALSE)</formula>
    </cfRule>
    <cfRule type="expression" dxfId="3759" priority="3900" stopIfTrue="1">
      <formula>IF(OR(BY65="OK"),FALSE,TRUE)</formula>
    </cfRule>
  </conditionalFormatting>
  <conditionalFormatting sqref="BX65:BX70">
    <cfRule type="expression" dxfId="3758" priority="3898" stopIfTrue="1">
      <formula>IF(BW$8="判定対象外",TRUE,FALSE)</formula>
    </cfRule>
  </conditionalFormatting>
  <conditionalFormatting sqref="BW65:BW70">
    <cfRule type="expression" dxfId="3757" priority="3897" stopIfTrue="1">
      <formula>IF(BW$8="判定対象外",TRUE,FALSE)</formula>
    </cfRule>
  </conditionalFormatting>
  <conditionalFormatting sqref="BV58">
    <cfRule type="expression" dxfId="3756" priority="3886" stopIfTrue="1">
      <formula>IF(BW$8="判定対象外",TRUE,FALSE)</formula>
    </cfRule>
  </conditionalFormatting>
  <conditionalFormatting sqref="BN58">
    <cfRule type="expression" dxfId="3755" priority="3896" stopIfTrue="1">
      <formula>IF(BO$8="判定対象外",TRUE,FALSE)</formula>
    </cfRule>
  </conditionalFormatting>
  <conditionalFormatting sqref="BQ58">
    <cfRule type="expression" dxfId="3754" priority="3894" stopIfTrue="1">
      <formula>IF(BQ58="-",TRUE,FALSE)</formula>
    </cfRule>
    <cfRule type="expression" dxfId="3753" priority="3895" stopIfTrue="1">
      <formula>IF(OR(BQ58="OK"),FALSE,TRUE)</formula>
    </cfRule>
  </conditionalFormatting>
  <conditionalFormatting sqref="BP58">
    <cfRule type="expression" dxfId="3752" priority="3893" stopIfTrue="1">
      <formula>IF(BO$8="判定対象外",TRUE,FALSE)</formula>
    </cfRule>
  </conditionalFormatting>
  <conditionalFormatting sqref="BO58">
    <cfRule type="expression" dxfId="3751" priority="3892" stopIfTrue="1">
      <formula>IF(BO$8="判定対象外",TRUE,FALSE)</formula>
    </cfRule>
  </conditionalFormatting>
  <conditionalFormatting sqref="BR58">
    <cfRule type="expression" dxfId="3750" priority="3891" stopIfTrue="1">
      <formula>IF(BS$8="判定対象外",TRUE,FALSE)</formula>
    </cfRule>
  </conditionalFormatting>
  <conditionalFormatting sqref="BU58">
    <cfRule type="expression" dxfId="3749" priority="3889" stopIfTrue="1">
      <formula>IF(BU58="-",TRUE,FALSE)</formula>
    </cfRule>
    <cfRule type="expression" dxfId="3748" priority="3890" stopIfTrue="1">
      <formula>IF(OR(BU58="OK"),FALSE,TRUE)</formula>
    </cfRule>
  </conditionalFormatting>
  <conditionalFormatting sqref="BT58">
    <cfRule type="expression" dxfId="3747" priority="3888" stopIfTrue="1">
      <formula>IF(BS$8="判定対象外",TRUE,FALSE)</formula>
    </cfRule>
  </conditionalFormatting>
  <conditionalFormatting sqref="BS58">
    <cfRule type="expression" dxfId="3746" priority="3887" stopIfTrue="1">
      <formula>IF(BS$8="判定対象外",TRUE,FALSE)</formula>
    </cfRule>
  </conditionalFormatting>
  <conditionalFormatting sqref="BZ60">
    <cfRule type="expression" dxfId="3745" priority="3616" stopIfTrue="1">
      <formula>IF(CA$8="判定対象外",TRUE,FALSE)</formula>
    </cfRule>
  </conditionalFormatting>
  <conditionalFormatting sqref="CC60">
    <cfRule type="expression" dxfId="3744" priority="3614" stopIfTrue="1">
      <formula>IF(CC60="-",TRUE,FALSE)</formula>
    </cfRule>
    <cfRule type="expression" dxfId="3743" priority="3615" stopIfTrue="1">
      <formula>IF(OR(CC60="OK"),FALSE,TRUE)</formula>
    </cfRule>
  </conditionalFormatting>
  <conditionalFormatting sqref="CB60">
    <cfRule type="expression" dxfId="3742" priority="3613" stopIfTrue="1">
      <formula>IF(CA$8="判定対象外",TRUE,FALSE)</formula>
    </cfRule>
  </conditionalFormatting>
  <conditionalFormatting sqref="CA60">
    <cfRule type="expression" dxfId="3741" priority="3612" stopIfTrue="1">
      <formula>IF(CA$8="判定対象外",TRUE,FALSE)</formula>
    </cfRule>
  </conditionalFormatting>
  <conditionalFormatting sqref="FY69">
    <cfRule type="expression" dxfId="3740" priority="1106" stopIfTrue="1">
      <formula>IF(FY69="-",TRUE,FALSE)</formula>
    </cfRule>
    <cfRule type="expression" dxfId="3739" priority="1107" stopIfTrue="1">
      <formula>IF(OR(FY69="OK"),FALSE,TRUE)</formula>
    </cfRule>
  </conditionalFormatting>
  <conditionalFormatting sqref="FX69">
    <cfRule type="expression" dxfId="3738" priority="1105" stopIfTrue="1">
      <formula>IF(FW$8="判定対象外",TRUE,FALSE)</formula>
    </cfRule>
  </conditionalFormatting>
  <conditionalFormatting sqref="FW69">
    <cfRule type="expression" dxfId="3737" priority="1104" stopIfTrue="1">
      <formula>IF(FW$8="判定対象外",TRUE,FALSE)</formula>
    </cfRule>
  </conditionalFormatting>
  <conditionalFormatting sqref="FV69">
    <cfRule type="expression" dxfId="3736" priority="1103" stopIfTrue="1">
      <formula>IF(FW$8="判定対象外",TRUE,FALSE)</formula>
    </cfRule>
  </conditionalFormatting>
  <conditionalFormatting sqref="CL61">
    <cfRule type="expression" dxfId="3735" priority="3347" stopIfTrue="1">
      <formula>IF(CM$8="判定対象外",TRUE,FALSE)</formula>
    </cfRule>
  </conditionalFormatting>
  <conditionalFormatting sqref="CO61">
    <cfRule type="expression" dxfId="3734" priority="3345" stopIfTrue="1">
      <formula>IF(CO61="-",TRUE,FALSE)</formula>
    </cfRule>
    <cfRule type="expression" dxfId="3733" priority="3346" stopIfTrue="1">
      <formula>IF(OR(CO61="OK"),FALSE,TRUE)</formula>
    </cfRule>
  </conditionalFormatting>
  <conditionalFormatting sqref="CN61">
    <cfRule type="expression" dxfId="3732" priority="3344" stopIfTrue="1">
      <formula>IF(CM$8="判定対象外",TRUE,FALSE)</formula>
    </cfRule>
  </conditionalFormatting>
  <conditionalFormatting sqref="CM61">
    <cfRule type="expression" dxfId="3731" priority="3343" stopIfTrue="1">
      <formula>IF(CM$8="判定対象外",TRUE,FALSE)</formula>
    </cfRule>
  </conditionalFormatting>
  <conditionalFormatting sqref="BR59">
    <cfRule type="expression" dxfId="3730" priority="3869" stopIfTrue="1">
      <formula>IF(BS$8="判定対象外",TRUE,FALSE)</formula>
    </cfRule>
  </conditionalFormatting>
  <conditionalFormatting sqref="BU59">
    <cfRule type="expression" dxfId="3729" priority="3867" stopIfTrue="1">
      <formula>IF(BU59="-",TRUE,FALSE)</formula>
    </cfRule>
    <cfRule type="expression" dxfId="3728" priority="3868" stopIfTrue="1">
      <formula>IF(OR(BU59="OK"),FALSE,TRUE)</formula>
    </cfRule>
  </conditionalFormatting>
  <conditionalFormatting sqref="BT59">
    <cfRule type="expression" dxfId="3727" priority="3866" stopIfTrue="1">
      <formula>IF(BS$8="判定対象外",TRUE,FALSE)</formula>
    </cfRule>
  </conditionalFormatting>
  <conditionalFormatting sqref="BS59">
    <cfRule type="expression" dxfId="3726" priority="3865" stopIfTrue="1">
      <formula>IF(BS$8="判定対象外",TRUE,FALSE)</formula>
    </cfRule>
  </conditionalFormatting>
  <conditionalFormatting sqref="DF62">
    <cfRule type="expression" dxfId="3725" priority="3057" stopIfTrue="1">
      <formula>IF(DG$8="判定対象外",TRUE,FALSE)</formula>
    </cfRule>
  </conditionalFormatting>
  <conditionalFormatting sqref="CH62">
    <cfRule type="expression" dxfId="3724" priority="3595" stopIfTrue="1">
      <formula>IF(CI$8="判定対象外",TRUE,FALSE)</formula>
    </cfRule>
  </conditionalFormatting>
  <conditionalFormatting sqref="BN61">
    <cfRule type="expression" dxfId="3723" priority="3863" stopIfTrue="1">
      <formula>IF(BO$8="判定対象外",TRUE,FALSE)</formula>
    </cfRule>
  </conditionalFormatting>
  <conditionalFormatting sqref="BQ61">
    <cfRule type="expression" dxfId="3722" priority="3861" stopIfTrue="1">
      <formula>IF(BQ61="-",TRUE,FALSE)</formula>
    </cfRule>
    <cfRule type="expression" dxfId="3721" priority="3862" stopIfTrue="1">
      <formula>IF(OR(BQ61="OK"),FALSE,TRUE)</formula>
    </cfRule>
  </conditionalFormatting>
  <conditionalFormatting sqref="BP61">
    <cfRule type="expression" dxfId="3720" priority="3860" stopIfTrue="1">
      <formula>IF(BO$8="判定対象外",TRUE,FALSE)</formula>
    </cfRule>
  </conditionalFormatting>
  <conditionalFormatting sqref="BO61">
    <cfRule type="expression" dxfId="3719" priority="3859" stopIfTrue="1">
      <formula>IF(BO$8="判定対象外",TRUE,FALSE)</formula>
    </cfRule>
  </conditionalFormatting>
  <conditionalFormatting sqref="BU61">
    <cfRule type="expression" dxfId="3718" priority="3857" stopIfTrue="1">
      <formula>IF(BU61="-",TRUE,FALSE)</formula>
    </cfRule>
    <cfRule type="expression" dxfId="3717" priority="3858" stopIfTrue="1">
      <formula>IF(OR(BU61="OK"),FALSE,TRUE)</formula>
    </cfRule>
  </conditionalFormatting>
  <conditionalFormatting sqref="BT61">
    <cfRule type="expression" dxfId="3716" priority="3856" stopIfTrue="1">
      <formula>IF(BS$8="判定対象外",TRUE,FALSE)</formula>
    </cfRule>
  </conditionalFormatting>
  <conditionalFormatting sqref="BS61">
    <cfRule type="expression" dxfId="3715" priority="3855" stopIfTrue="1">
      <formula>IF(BS$8="判定対象外",TRUE,FALSE)</formula>
    </cfRule>
  </conditionalFormatting>
  <conditionalFormatting sqref="BN60">
    <cfRule type="expression" dxfId="3714" priority="3852" stopIfTrue="1">
      <formula>IF(BO$8="判定対象外",TRUE,FALSE)</formula>
    </cfRule>
  </conditionalFormatting>
  <conditionalFormatting sqref="BQ60">
    <cfRule type="expression" dxfId="3713" priority="3850" stopIfTrue="1">
      <formula>IF(BQ60="-",TRUE,FALSE)</formula>
    </cfRule>
    <cfRule type="expression" dxfId="3712" priority="3851" stopIfTrue="1">
      <formula>IF(OR(BQ60="OK"),FALSE,TRUE)</formula>
    </cfRule>
  </conditionalFormatting>
  <conditionalFormatting sqref="BP60">
    <cfRule type="expression" dxfId="3711" priority="3849" stopIfTrue="1">
      <formula>IF(BO$8="判定対象外",TRUE,FALSE)</formula>
    </cfRule>
  </conditionalFormatting>
  <conditionalFormatting sqref="BO60">
    <cfRule type="expression" dxfId="3710" priority="3848" stopIfTrue="1">
      <formula>IF(BO$8="判定対象外",TRUE,FALSE)</formula>
    </cfRule>
  </conditionalFormatting>
  <conditionalFormatting sqref="BR60">
    <cfRule type="expression" dxfId="3709" priority="3847" stopIfTrue="1">
      <formula>IF(BS$8="判定対象外",TRUE,FALSE)</formula>
    </cfRule>
  </conditionalFormatting>
  <conditionalFormatting sqref="BU60">
    <cfRule type="expression" dxfId="3708" priority="3845" stopIfTrue="1">
      <formula>IF(BU60="-",TRUE,FALSE)</formula>
    </cfRule>
    <cfRule type="expression" dxfId="3707" priority="3846" stopIfTrue="1">
      <formula>IF(OR(BU60="OK"),FALSE,TRUE)</formula>
    </cfRule>
  </conditionalFormatting>
  <conditionalFormatting sqref="BT60">
    <cfRule type="expression" dxfId="3706" priority="3844" stopIfTrue="1">
      <formula>IF(BS$8="判定対象外",TRUE,FALSE)</formula>
    </cfRule>
  </conditionalFormatting>
  <conditionalFormatting sqref="BS60">
    <cfRule type="expression" dxfId="3705" priority="3843" stopIfTrue="1">
      <formula>IF(BS$8="判定対象外",TRUE,FALSE)</formula>
    </cfRule>
  </conditionalFormatting>
  <conditionalFormatting sqref="BV60">
    <cfRule type="expression" dxfId="3704" priority="3842" stopIfTrue="1">
      <formula>IF(BW$8="判定対象外",TRUE,FALSE)</formula>
    </cfRule>
  </conditionalFormatting>
  <conditionalFormatting sqref="CH19">
    <cfRule type="expression" dxfId="3703" priority="3674" stopIfTrue="1">
      <formula>IF(CI$8="判定対象外",TRUE,FALSE)</formula>
    </cfRule>
  </conditionalFormatting>
  <conditionalFormatting sqref="CH59">
    <cfRule type="expression" dxfId="3702" priority="3628" stopIfTrue="1">
      <formula>IF(CI$8="判定対象外",TRUE,FALSE)</formula>
    </cfRule>
  </conditionalFormatting>
  <conditionalFormatting sqref="BZ59">
    <cfRule type="expression" dxfId="3701" priority="3638" stopIfTrue="1">
      <formula>IF(CA$8="判定対象外",TRUE,FALSE)</formula>
    </cfRule>
  </conditionalFormatting>
  <conditionalFormatting sqref="CC59">
    <cfRule type="expression" dxfId="3700" priority="3636" stopIfTrue="1">
      <formula>IF(CC59="-",TRUE,FALSE)</formula>
    </cfRule>
    <cfRule type="expression" dxfId="3699" priority="3637" stopIfTrue="1">
      <formula>IF(OR(CC59="OK"),FALSE,TRUE)</formula>
    </cfRule>
  </conditionalFormatting>
  <conditionalFormatting sqref="CB59">
    <cfRule type="expression" dxfId="3698" priority="3635" stopIfTrue="1">
      <formula>IF(CA$8="判定対象外",TRUE,FALSE)</formula>
    </cfRule>
  </conditionalFormatting>
  <conditionalFormatting sqref="CA59">
    <cfRule type="expression" dxfId="3697" priority="3634" stopIfTrue="1">
      <formula>IF(CA$8="判定対象外",TRUE,FALSE)</formula>
    </cfRule>
  </conditionalFormatting>
  <conditionalFormatting sqref="DR63">
    <cfRule type="expression" dxfId="3696" priority="2774" stopIfTrue="1">
      <formula>IF(DS$8="判定対象外",TRUE,FALSE)</formula>
    </cfRule>
  </conditionalFormatting>
  <conditionalFormatting sqref="CH16:CH18">
    <cfRule type="expression" dxfId="3695" priority="3684" stopIfTrue="1">
      <formula>IF(CI$8="判定対象外",TRUE,FALSE)</formula>
    </cfRule>
  </conditionalFormatting>
  <conditionalFormatting sqref="CC8:CC10">
    <cfRule type="expression" dxfId="3694" priority="3840" stopIfTrue="1">
      <formula>IF(CC8="-",TRUE,FALSE)</formula>
    </cfRule>
    <cfRule type="expression" dxfId="3693" priority="3841" stopIfTrue="1">
      <formula>IF(OR(CC8="OK"),FALSE,TRUE)</formula>
    </cfRule>
  </conditionalFormatting>
  <conditionalFormatting sqref="BZ8:BZ10">
    <cfRule type="expression" dxfId="3692" priority="3839" stopIfTrue="1">
      <formula>IF(CA$8="判定対象外",TRUE,FALSE)</formula>
    </cfRule>
  </conditionalFormatting>
  <conditionalFormatting sqref="CA8:CA10">
    <cfRule type="expression" dxfId="3691" priority="3838" stopIfTrue="1">
      <formula>IF(CA$8="判定対象外",TRUE,FALSE)</formula>
    </cfRule>
  </conditionalFormatting>
  <conditionalFormatting sqref="CB8:CB10">
    <cfRule type="expression" dxfId="3690" priority="3837" stopIfTrue="1">
      <formula>IF(CA$8="判定対象外",TRUE,FALSE)</formula>
    </cfRule>
  </conditionalFormatting>
  <conditionalFormatting sqref="CC11:CC34 CC71:CC81 CC36:CC56">
    <cfRule type="expression" dxfId="3689" priority="3834" stopIfTrue="1">
      <formula>IF(CC11="-",TRUE,FALSE)</formula>
    </cfRule>
    <cfRule type="expression" dxfId="3688" priority="3835" stopIfTrue="1">
      <formula>IF(OR(CC11="OK"),FALSE,TRUE)</formula>
    </cfRule>
  </conditionalFormatting>
  <conditionalFormatting sqref="CB11:CB34 CB71:CB81 CB36:CB56">
    <cfRule type="expression" dxfId="3687" priority="3833" stopIfTrue="1">
      <formula>IF(CA$8="判定対象外",TRUE,FALSE)</formula>
    </cfRule>
  </conditionalFormatting>
  <conditionalFormatting sqref="BZ72:BZ81 BZ21:BZ34 BZ36:BZ46">
    <cfRule type="expression" dxfId="3686" priority="3832" stopIfTrue="1">
      <formula>IF(CA$8="判定対象外",TRUE,FALSE)</formula>
    </cfRule>
  </conditionalFormatting>
  <conditionalFormatting sqref="BZ29:BZ32">
    <cfRule type="expression" dxfId="3685" priority="3831" stopIfTrue="1">
      <formula>IF(CA$8="判定対象外",TRUE,FALSE)</formula>
    </cfRule>
  </conditionalFormatting>
  <conditionalFormatting sqref="BZ42:BZ44">
    <cfRule type="expression" dxfId="3684" priority="3830" stopIfTrue="1">
      <formula>IF(CA$8="判定対象外",TRUE,FALSE)</formula>
    </cfRule>
  </conditionalFormatting>
  <conditionalFormatting sqref="BZ46">
    <cfRule type="expression" dxfId="3683" priority="3829" stopIfTrue="1">
      <formula>IF(CA$8="判定対象外",TRUE,FALSE)</formula>
    </cfRule>
  </conditionalFormatting>
  <conditionalFormatting sqref="BZ42:BZ44">
    <cfRule type="expression" dxfId="3682" priority="3828" stopIfTrue="1">
      <formula>IF(CA$8="判定対象外",TRUE,FALSE)</formula>
    </cfRule>
  </conditionalFormatting>
  <conditionalFormatting sqref="BZ42:BZ44">
    <cfRule type="expression" dxfId="3681" priority="3827" stopIfTrue="1">
      <formula>IF(CA$8="判定対象外",TRUE,FALSE)</formula>
    </cfRule>
  </conditionalFormatting>
  <conditionalFormatting sqref="BZ42:BZ44">
    <cfRule type="expression" dxfId="3680" priority="3826" stopIfTrue="1">
      <formula>IF(CA$8="判定対象外",TRUE,FALSE)</formula>
    </cfRule>
  </conditionalFormatting>
  <conditionalFormatting sqref="BZ42:BZ44">
    <cfRule type="expression" dxfId="3679" priority="3825" stopIfTrue="1">
      <formula>IF(CA$8="判定対象外",TRUE,FALSE)</formula>
    </cfRule>
  </conditionalFormatting>
  <conditionalFormatting sqref="BZ42:BZ44">
    <cfRule type="expression" dxfId="3678" priority="3824" stopIfTrue="1">
      <formula>IF(CA$8="判定対象外",TRUE,FALSE)</formula>
    </cfRule>
  </conditionalFormatting>
  <conditionalFormatting sqref="BZ42:BZ44">
    <cfRule type="expression" dxfId="3677" priority="3823" stopIfTrue="1">
      <formula>IF(CA$8="判定対象外",TRUE,FALSE)</formula>
    </cfRule>
  </conditionalFormatting>
  <conditionalFormatting sqref="BZ42:BZ44">
    <cfRule type="expression" dxfId="3676" priority="3822" stopIfTrue="1">
      <formula>IF(CA$8="判定対象外",TRUE,FALSE)</formula>
    </cfRule>
  </conditionalFormatting>
  <conditionalFormatting sqref="BZ38">
    <cfRule type="expression" dxfId="3675" priority="3836" stopIfTrue="1">
      <formula>IF(#REF!="判定対象外",TRUE,FALSE)</formula>
    </cfRule>
  </conditionalFormatting>
  <conditionalFormatting sqref="CA11:CA34 CA71:CA81 CA36:CA56">
    <cfRule type="expression" dxfId="3674" priority="3821" stopIfTrue="1">
      <formula>IF(CA$8="判定対象外",TRUE,FALSE)</formula>
    </cfRule>
  </conditionalFormatting>
  <conditionalFormatting sqref="BZ48">
    <cfRule type="expression" dxfId="3673" priority="3820" stopIfTrue="1">
      <formula>IF(CA$8="判定対象外",TRUE,FALSE)</formula>
    </cfRule>
  </conditionalFormatting>
  <conditionalFormatting sqref="BZ51">
    <cfRule type="expression" dxfId="3672" priority="3819" stopIfTrue="1">
      <formula>IF(CA$8="判定対象外",TRUE,FALSE)</formula>
    </cfRule>
  </conditionalFormatting>
  <conditionalFormatting sqref="BZ52 BZ55 BZ64 BZ67 BZ70">
    <cfRule type="expression" dxfId="3671" priority="3818" stopIfTrue="1">
      <formula>IF(CA$8="判定対象外",TRUE,FALSE)</formula>
    </cfRule>
  </conditionalFormatting>
  <conditionalFormatting sqref="BZ11:BZ20">
    <cfRule type="expression" dxfId="3670" priority="3817" stopIfTrue="1">
      <formula>IF(CA$8="判定対象外",TRUE,FALSE)</formula>
    </cfRule>
  </conditionalFormatting>
  <conditionalFormatting sqref="BZ16:BZ18">
    <cfRule type="expression" dxfId="3669" priority="3816" stopIfTrue="1">
      <formula>IF(CA$8="判定対象外",TRUE,FALSE)</formula>
    </cfRule>
  </conditionalFormatting>
  <conditionalFormatting sqref="BZ20">
    <cfRule type="expression" dxfId="3668" priority="3815" stopIfTrue="1">
      <formula>IF(CA$8="判定対象外",TRUE,FALSE)</formula>
    </cfRule>
  </conditionalFormatting>
  <conditionalFormatting sqref="BZ16:BZ20">
    <cfRule type="expression" dxfId="3667" priority="3814" stopIfTrue="1">
      <formula>IF(CA$8="判定対象外",TRUE,FALSE)</formula>
    </cfRule>
  </conditionalFormatting>
  <conditionalFormatting sqref="BZ11:BZ20">
    <cfRule type="expression" dxfId="3666" priority="3813" stopIfTrue="1">
      <formula>IF(CA$8="判定対象外",TRUE,FALSE)</formula>
    </cfRule>
  </conditionalFormatting>
  <conditionalFormatting sqref="BZ16:BZ18">
    <cfRule type="expression" dxfId="3665" priority="3812" stopIfTrue="1">
      <formula>IF(CA$8="判定対象外",TRUE,FALSE)</formula>
    </cfRule>
  </conditionalFormatting>
  <conditionalFormatting sqref="BZ20">
    <cfRule type="expression" dxfId="3664" priority="3811" stopIfTrue="1">
      <formula>IF(CA$8="判定対象外",TRUE,FALSE)</formula>
    </cfRule>
  </conditionalFormatting>
  <conditionalFormatting sqref="BZ16:BZ20">
    <cfRule type="expression" dxfId="3663" priority="3810" stopIfTrue="1">
      <formula>IF(CA$8="判定対象外",TRUE,FALSE)</formula>
    </cfRule>
  </conditionalFormatting>
  <conditionalFormatting sqref="BZ11:BZ20">
    <cfRule type="expression" dxfId="3662" priority="3809" stopIfTrue="1">
      <formula>IF(CA$8="判定対象外",TRUE,FALSE)</formula>
    </cfRule>
  </conditionalFormatting>
  <conditionalFormatting sqref="BZ16:BZ18">
    <cfRule type="expression" dxfId="3661" priority="3808" stopIfTrue="1">
      <formula>IF(CA$8="判定対象外",TRUE,FALSE)</formula>
    </cfRule>
  </conditionalFormatting>
  <conditionalFormatting sqref="BZ20">
    <cfRule type="expression" dxfId="3660" priority="3807" stopIfTrue="1">
      <formula>IF(CA$8="判定対象外",TRUE,FALSE)</formula>
    </cfRule>
  </conditionalFormatting>
  <conditionalFormatting sqref="BZ16:BZ20">
    <cfRule type="expression" dxfId="3659" priority="3806" stopIfTrue="1">
      <formula>IF(CA$8="判定対象外",TRUE,FALSE)</formula>
    </cfRule>
  </conditionalFormatting>
  <conditionalFormatting sqref="BZ11:BZ13">
    <cfRule type="expression" dxfId="3658" priority="3805" stopIfTrue="1">
      <formula>IF(CA$8="判定対象外",TRUE,FALSE)</formula>
    </cfRule>
  </conditionalFormatting>
  <conditionalFormatting sqref="BZ15">
    <cfRule type="expression" dxfId="3657" priority="3804" stopIfTrue="1">
      <formula>IF(CA$8="判定対象外",TRUE,FALSE)</formula>
    </cfRule>
  </conditionalFormatting>
  <conditionalFormatting sqref="BZ19">
    <cfRule type="expression" dxfId="3656" priority="3803" stopIfTrue="1">
      <formula>IF(CA$8="判定対象外",TRUE,FALSE)</formula>
    </cfRule>
  </conditionalFormatting>
  <conditionalFormatting sqref="BZ19">
    <cfRule type="expression" dxfId="3655" priority="3802" stopIfTrue="1">
      <formula>IF(CA$8="判定対象外",TRUE,FALSE)</formula>
    </cfRule>
  </conditionalFormatting>
  <conditionalFormatting sqref="BZ20">
    <cfRule type="expression" dxfId="3654" priority="3801" stopIfTrue="1">
      <formula>IF(CA$8="判定対象外",TRUE,FALSE)</formula>
    </cfRule>
  </conditionalFormatting>
  <conditionalFormatting sqref="BZ20">
    <cfRule type="expression" dxfId="3653" priority="3800" stopIfTrue="1">
      <formula>IF(CA$8="判定対象外",TRUE,FALSE)</formula>
    </cfRule>
  </conditionalFormatting>
  <conditionalFormatting sqref="BZ20">
    <cfRule type="expression" dxfId="3652" priority="3799" stopIfTrue="1">
      <formula>IF(CA$8="判定対象外",TRUE,FALSE)</formula>
    </cfRule>
  </conditionalFormatting>
  <conditionalFormatting sqref="BZ13">
    <cfRule type="expression" dxfId="3651" priority="3798" stopIfTrue="1">
      <formula>IF(CA$8="判定対象外",TRUE,FALSE)</formula>
    </cfRule>
  </conditionalFormatting>
  <conditionalFormatting sqref="BZ47">
    <cfRule type="expression" dxfId="3650" priority="3797" stopIfTrue="1">
      <formula>IF(CA$8="判定対象外",TRUE,FALSE)</formula>
    </cfRule>
  </conditionalFormatting>
  <conditionalFormatting sqref="BZ47">
    <cfRule type="expression" dxfId="3649" priority="3796" stopIfTrue="1">
      <formula>IF(CA$8="判定対象外",TRUE,FALSE)</formula>
    </cfRule>
  </conditionalFormatting>
  <conditionalFormatting sqref="BZ49">
    <cfRule type="expression" dxfId="3648" priority="3795" stopIfTrue="1">
      <formula>IF(CA$8="判定対象外",TRUE,FALSE)</formula>
    </cfRule>
  </conditionalFormatting>
  <conditionalFormatting sqref="BZ49">
    <cfRule type="expression" dxfId="3647" priority="3794" stopIfTrue="1">
      <formula>IF(CA$8="判定対象外",TRUE,FALSE)</formula>
    </cfRule>
  </conditionalFormatting>
  <conditionalFormatting sqref="BZ50">
    <cfRule type="expression" dxfId="3646" priority="3793" stopIfTrue="1">
      <formula>IF(CA$8="判定対象外",TRUE,FALSE)</formula>
    </cfRule>
  </conditionalFormatting>
  <conditionalFormatting sqref="BZ50">
    <cfRule type="expression" dxfId="3645" priority="3792" stopIfTrue="1">
      <formula>IF(CA$8="判定対象外",TRUE,FALSE)</formula>
    </cfRule>
  </conditionalFormatting>
  <conditionalFormatting sqref="BZ53 BZ56 BZ65 BZ68 BZ71">
    <cfRule type="expression" dxfId="3644" priority="3791" stopIfTrue="1">
      <formula>IF(CA$8="判定対象外",TRUE,FALSE)</formula>
    </cfRule>
  </conditionalFormatting>
  <conditionalFormatting sqref="BZ54 BZ57 BZ63 BZ66 BZ69">
    <cfRule type="expression" dxfId="3643" priority="3790" stopIfTrue="1">
      <formula>IF(CA$8="判定対象外",TRUE,FALSE)</formula>
    </cfRule>
  </conditionalFormatting>
  <conditionalFormatting sqref="CC57">
    <cfRule type="expression" dxfId="3642" priority="3788" stopIfTrue="1">
      <formula>IF(CC57="-",TRUE,FALSE)</formula>
    </cfRule>
    <cfRule type="expression" dxfId="3641" priority="3789" stopIfTrue="1">
      <formula>IF(OR(CC57="OK"),FALSE,TRUE)</formula>
    </cfRule>
  </conditionalFormatting>
  <conditionalFormatting sqref="CB57">
    <cfRule type="expression" dxfId="3640" priority="3787" stopIfTrue="1">
      <formula>IF(CA$8="判定対象外",TRUE,FALSE)</formula>
    </cfRule>
  </conditionalFormatting>
  <conditionalFormatting sqref="CA57">
    <cfRule type="expression" dxfId="3639" priority="3786" stopIfTrue="1">
      <formula>IF(CA$8="判定対象外",TRUE,FALSE)</formula>
    </cfRule>
  </conditionalFormatting>
  <conditionalFormatting sqref="CC63:CC64">
    <cfRule type="expression" dxfId="3638" priority="3784" stopIfTrue="1">
      <formula>IF(CC63="-",TRUE,FALSE)</formula>
    </cfRule>
    <cfRule type="expression" dxfId="3637" priority="3785" stopIfTrue="1">
      <formula>IF(OR(CC63="OK"),FALSE,TRUE)</formula>
    </cfRule>
  </conditionalFormatting>
  <conditionalFormatting sqref="CB63:CB64">
    <cfRule type="expression" dxfId="3636" priority="3783" stopIfTrue="1">
      <formula>IF(CA$8="判定対象外",TRUE,FALSE)</formula>
    </cfRule>
  </conditionalFormatting>
  <conditionalFormatting sqref="CA63:CA64">
    <cfRule type="expression" dxfId="3635" priority="3782" stopIfTrue="1">
      <formula>IF(CA$8="判定対象外",TRUE,FALSE)</formula>
    </cfRule>
  </conditionalFormatting>
  <conditionalFormatting sqref="CC65:CC70">
    <cfRule type="expression" dxfId="3634" priority="3780" stopIfTrue="1">
      <formula>IF(CC65="-",TRUE,FALSE)</formula>
    </cfRule>
    <cfRule type="expression" dxfId="3633" priority="3781" stopIfTrue="1">
      <formula>IF(OR(CC65="OK"),FALSE,TRUE)</formula>
    </cfRule>
  </conditionalFormatting>
  <conditionalFormatting sqref="CB65:CB70">
    <cfRule type="expression" dxfId="3632" priority="3779" stopIfTrue="1">
      <formula>IF(CA$8="判定対象外",TRUE,FALSE)</formula>
    </cfRule>
  </conditionalFormatting>
  <conditionalFormatting sqref="CA65:CA70">
    <cfRule type="expression" dxfId="3631" priority="3778" stopIfTrue="1">
      <formula>IF(CA$8="判定対象外",TRUE,FALSE)</formula>
    </cfRule>
  </conditionalFormatting>
  <conditionalFormatting sqref="CG8:CG10">
    <cfRule type="expression" dxfId="3630" priority="3776" stopIfTrue="1">
      <formula>IF(CG8="-",TRUE,FALSE)</formula>
    </cfRule>
    <cfRule type="expression" dxfId="3629" priority="3777" stopIfTrue="1">
      <formula>IF(OR(CG8="OK"),FALSE,TRUE)</formula>
    </cfRule>
  </conditionalFormatting>
  <conditionalFormatting sqref="CD8:CD10">
    <cfRule type="expression" dxfId="3628" priority="3775" stopIfTrue="1">
      <formula>IF(CE$8="判定対象外",TRUE,FALSE)</formula>
    </cfRule>
  </conditionalFormatting>
  <conditionalFormatting sqref="CE8:CE10">
    <cfRule type="expression" dxfId="3627" priority="3774" stopIfTrue="1">
      <formula>IF(CE$8="判定対象外",TRUE,FALSE)</formula>
    </cfRule>
  </conditionalFormatting>
  <conditionalFormatting sqref="CF8:CF10">
    <cfRule type="expression" dxfId="3626" priority="3773" stopIfTrue="1">
      <formula>IF(CE$8="判定対象外",TRUE,FALSE)</formula>
    </cfRule>
  </conditionalFormatting>
  <conditionalFormatting sqref="CG11:CG34 CG71:CG81 CG36:CG56">
    <cfRule type="expression" dxfId="3625" priority="3770" stopIfTrue="1">
      <formula>IF(CG11="-",TRUE,FALSE)</formula>
    </cfRule>
    <cfRule type="expression" dxfId="3624" priority="3771" stopIfTrue="1">
      <formula>IF(OR(CG11="OK"),FALSE,TRUE)</formula>
    </cfRule>
  </conditionalFormatting>
  <conditionalFormatting sqref="CF11:CF34 CF71:CF81 CF36:CF56">
    <cfRule type="expression" dxfId="3623" priority="3769" stopIfTrue="1">
      <formula>IF(CE$8="判定対象外",TRUE,FALSE)</formula>
    </cfRule>
  </conditionalFormatting>
  <conditionalFormatting sqref="CD72:CD81 CD21:CD34 CD36:CD46">
    <cfRule type="expression" dxfId="3622" priority="3768" stopIfTrue="1">
      <formula>IF(CE$8="判定対象外",TRUE,FALSE)</formula>
    </cfRule>
  </conditionalFormatting>
  <conditionalFormatting sqref="CD29:CD32">
    <cfRule type="expression" dxfId="3621" priority="3767" stopIfTrue="1">
      <formula>IF(CE$8="判定対象外",TRUE,FALSE)</formula>
    </cfRule>
  </conditionalFormatting>
  <conditionalFormatting sqref="CD42:CD44">
    <cfRule type="expression" dxfId="3620" priority="3766" stopIfTrue="1">
      <formula>IF(CE$8="判定対象外",TRUE,FALSE)</formula>
    </cfRule>
  </conditionalFormatting>
  <conditionalFormatting sqref="CD46">
    <cfRule type="expression" dxfId="3619" priority="3765" stopIfTrue="1">
      <formula>IF(CE$8="判定対象外",TRUE,FALSE)</formula>
    </cfRule>
  </conditionalFormatting>
  <conditionalFormatting sqref="CD42:CD44">
    <cfRule type="expression" dxfId="3618" priority="3764" stopIfTrue="1">
      <formula>IF(CE$8="判定対象外",TRUE,FALSE)</formula>
    </cfRule>
  </conditionalFormatting>
  <conditionalFormatting sqref="CD42:CD44">
    <cfRule type="expression" dxfId="3617" priority="3763" stopIfTrue="1">
      <formula>IF(CE$8="判定対象外",TRUE,FALSE)</formula>
    </cfRule>
  </conditionalFormatting>
  <conditionalFormatting sqref="CD42:CD44">
    <cfRule type="expression" dxfId="3616" priority="3762" stopIfTrue="1">
      <formula>IF(CE$8="判定対象外",TRUE,FALSE)</formula>
    </cfRule>
  </conditionalFormatting>
  <conditionalFormatting sqref="CD42:CD44">
    <cfRule type="expression" dxfId="3615" priority="3761" stopIfTrue="1">
      <formula>IF(CE$8="判定対象外",TRUE,FALSE)</formula>
    </cfRule>
  </conditionalFormatting>
  <conditionalFormatting sqref="CD42:CD44">
    <cfRule type="expression" dxfId="3614" priority="3760" stopIfTrue="1">
      <formula>IF(CE$8="判定対象外",TRUE,FALSE)</formula>
    </cfRule>
  </conditionalFormatting>
  <conditionalFormatting sqref="CD42:CD44">
    <cfRule type="expression" dxfId="3613" priority="3759" stopIfTrue="1">
      <formula>IF(CE$8="判定対象外",TRUE,FALSE)</formula>
    </cfRule>
  </conditionalFormatting>
  <conditionalFormatting sqref="CD42:CD44">
    <cfRule type="expression" dxfId="3612" priority="3758" stopIfTrue="1">
      <formula>IF(CE$8="判定対象外",TRUE,FALSE)</formula>
    </cfRule>
  </conditionalFormatting>
  <conditionalFormatting sqref="CD38">
    <cfRule type="expression" dxfId="3611" priority="3772" stopIfTrue="1">
      <formula>IF(#REF!="判定対象外",TRUE,FALSE)</formula>
    </cfRule>
  </conditionalFormatting>
  <conditionalFormatting sqref="CE11:CE34 CE71:CE81 CE36:CE56">
    <cfRule type="expression" dxfId="3610" priority="3757" stopIfTrue="1">
      <formula>IF(CE$8="判定対象外",TRUE,FALSE)</formula>
    </cfRule>
  </conditionalFormatting>
  <conditionalFormatting sqref="CD48">
    <cfRule type="expression" dxfId="3609" priority="3756" stopIfTrue="1">
      <formula>IF(CE$8="判定対象外",TRUE,FALSE)</formula>
    </cfRule>
  </conditionalFormatting>
  <conditionalFormatting sqref="CD51">
    <cfRule type="expression" dxfId="3608" priority="3755" stopIfTrue="1">
      <formula>IF(CE$8="判定対象外",TRUE,FALSE)</formula>
    </cfRule>
  </conditionalFormatting>
  <conditionalFormatting sqref="CD52 CD55 CD64 CD67 CD70">
    <cfRule type="expression" dxfId="3607" priority="3754" stopIfTrue="1">
      <formula>IF(CE$8="判定対象外",TRUE,FALSE)</formula>
    </cfRule>
  </conditionalFormatting>
  <conditionalFormatting sqref="CD11:CD20">
    <cfRule type="expression" dxfId="3606" priority="3753" stopIfTrue="1">
      <formula>IF(CE$8="判定対象外",TRUE,FALSE)</formula>
    </cfRule>
  </conditionalFormatting>
  <conditionalFormatting sqref="CD16:CD18">
    <cfRule type="expression" dxfId="3605" priority="3752" stopIfTrue="1">
      <formula>IF(CE$8="判定対象外",TRUE,FALSE)</formula>
    </cfRule>
  </conditionalFormatting>
  <conditionalFormatting sqref="CD20">
    <cfRule type="expression" dxfId="3604" priority="3751" stopIfTrue="1">
      <formula>IF(CE$8="判定対象外",TRUE,FALSE)</formula>
    </cfRule>
  </conditionalFormatting>
  <conditionalFormatting sqref="CD16:CD20">
    <cfRule type="expression" dxfId="3603" priority="3750" stopIfTrue="1">
      <formula>IF(CE$8="判定対象外",TRUE,FALSE)</formula>
    </cfRule>
  </conditionalFormatting>
  <conditionalFormatting sqref="CD11:CD20">
    <cfRule type="expression" dxfId="3602" priority="3749" stopIfTrue="1">
      <formula>IF(CE$8="判定対象外",TRUE,FALSE)</formula>
    </cfRule>
  </conditionalFormatting>
  <conditionalFormatting sqref="CD16:CD18">
    <cfRule type="expression" dxfId="3601" priority="3748" stopIfTrue="1">
      <formula>IF(CE$8="判定対象外",TRUE,FALSE)</formula>
    </cfRule>
  </conditionalFormatting>
  <conditionalFormatting sqref="CD20">
    <cfRule type="expression" dxfId="3600" priority="3747" stopIfTrue="1">
      <formula>IF(CE$8="判定対象外",TRUE,FALSE)</formula>
    </cfRule>
  </conditionalFormatting>
  <conditionalFormatting sqref="CD16:CD20">
    <cfRule type="expression" dxfId="3599" priority="3746" stopIfTrue="1">
      <formula>IF(CE$8="判定対象外",TRUE,FALSE)</formula>
    </cfRule>
  </conditionalFormatting>
  <conditionalFormatting sqref="CD11:CD20">
    <cfRule type="expression" dxfId="3598" priority="3745" stopIfTrue="1">
      <formula>IF(CE$8="判定対象外",TRUE,FALSE)</formula>
    </cfRule>
  </conditionalFormatting>
  <conditionalFormatting sqref="CD16:CD18">
    <cfRule type="expression" dxfId="3597" priority="3744" stopIfTrue="1">
      <formula>IF(CE$8="判定対象外",TRUE,FALSE)</formula>
    </cfRule>
  </conditionalFormatting>
  <conditionalFormatting sqref="CD20">
    <cfRule type="expression" dxfId="3596" priority="3743" stopIfTrue="1">
      <formula>IF(CE$8="判定対象外",TRUE,FALSE)</formula>
    </cfRule>
  </conditionalFormatting>
  <conditionalFormatting sqref="CD16:CD20">
    <cfRule type="expression" dxfId="3595" priority="3742" stopIfTrue="1">
      <formula>IF(CE$8="判定対象外",TRUE,FALSE)</formula>
    </cfRule>
  </conditionalFormatting>
  <conditionalFormatting sqref="CD11:CD13">
    <cfRule type="expression" dxfId="3594" priority="3741" stopIfTrue="1">
      <formula>IF(CE$8="判定対象外",TRUE,FALSE)</formula>
    </cfRule>
  </conditionalFormatting>
  <conditionalFormatting sqref="CD15">
    <cfRule type="expression" dxfId="3593" priority="3740" stopIfTrue="1">
      <formula>IF(CE$8="判定対象外",TRUE,FALSE)</formula>
    </cfRule>
  </conditionalFormatting>
  <conditionalFormatting sqref="CD19">
    <cfRule type="expression" dxfId="3592" priority="3739" stopIfTrue="1">
      <formula>IF(CE$8="判定対象外",TRUE,FALSE)</formula>
    </cfRule>
  </conditionalFormatting>
  <conditionalFormatting sqref="CD19">
    <cfRule type="expression" dxfId="3591" priority="3738" stopIfTrue="1">
      <formula>IF(CE$8="判定対象外",TRUE,FALSE)</formula>
    </cfRule>
  </conditionalFormatting>
  <conditionalFormatting sqref="CD20">
    <cfRule type="expression" dxfId="3590" priority="3737" stopIfTrue="1">
      <formula>IF(CE$8="判定対象外",TRUE,FALSE)</formula>
    </cfRule>
  </conditionalFormatting>
  <conditionalFormatting sqref="CD20">
    <cfRule type="expression" dxfId="3589" priority="3736" stopIfTrue="1">
      <formula>IF(CE$8="判定対象外",TRUE,FALSE)</formula>
    </cfRule>
  </conditionalFormatting>
  <conditionalFormatting sqref="CD20">
    <cfRule type="expression" dxfId="3588" priority="3735" stopIfTrue="1">
      <formula>IF(CE$8="判定対象外",TRUE,FALSE)</formula>
    </cfRule>
  </conditionalFormatting>
  <conditionalFormatting sqref="CD13">
    <cfRule type="expression" dxfId="3587" priority="3734" stopIfTrue="1">
      <formula>IF(CE$8="判定対象外",TRUE,FALSE)</formula>
    </cfRule>
  </conditionalFormatting>
  <conditionalFormatting sqref="CD47">
    <cfRule type="expression" dxfId="3586" priority="3733" stopIfTrue="1">
      <formula>IF(CE$8="判定対象外",TRUE,FALSE)</formula>
    </cfRule>
  </conditionalFormatting>
  <conditionalFormatting sqref="CD47">
    <cfRule type="expression" dxfId="3585" priority="3732" stopIfTrue="1">
      <formula>IF(CE$8="判定対象外",TRUE,FALSE)</formula>
    </cfRule>
  </conditionalFormatting>
  <conditionalFormatting sqref="CD49">
    <cfRule type="expression" dxfId="3584" priority="3731" stopIfTrue="1">
      <formula>IF(CE$8="判定対象外",TRUE,FALSE)</formula>
    </cfRule>
  </conditionalFormatting>
  <conditionalFormatting sqref="CD49">
    <cfRule type="expression" dxfId="3583" priority="3730" stopIfTrue="1">
      <formula>IF(CE$8="判定対象外",TRUE,FALSE)</formula>
    </cfRule>
  </conditionalFormatting>
  <conditionalFormatting sqref="CD50">
    <cfRule type="expression" dxfId="3582" priority="3729" stopIfTrue="1">
      <formula>IF(CE$8="判定対象外",TRUE,FALSE)</formula>
    </cfRule>
  </conditionalFormatting>
  <conditionalFormatting sqref="CD50">
    <cfRule type="expression" dxfId="3581" priority="3728" stopIfTrue="1">
      <formula>IF(CE$8="判定対象外",TRUE,FALSE)</formula>
    </cfRule>
  </conditionalFormatting>
  <conditionalFormatting sqref="CD53 CD56 CD65 CD68 CD71">
    <cfRule type="expression" dxfId="3580" priority="3727" stopIfTrue="1">
      <formula>IF(CE$8="判定対象外",TRUE,FALSE)</formula>
    </cfRule>
  </conditionalFormatting>
  <conditionalFormatting sqref="CD54 CD57 CD63 CD66 CD69">
    <cfRule type="expression" dxfId="3579" priority="3726" stopIfTrue="1">
      <formula>IF(CE$8="判定対象外",TRUE,FALSE)</formula>
    </cfRule>
  </conditionalFormatting>
  <conditionalFormatting sqref="CG57">
    <cfRule type="expression" dxfId="3578" priority="3724" stopIfTrue="1">
      <formula>IF(CG57="-",TRUE,FALSE)</formula>
    </cfRule>
    <cfRule type="expression" dxfId="3577" priority="3725" stopIfTrue="1">
      <formula>IF(OR(CG57="OK"),FALSE,TRUE)</formula>
    </cfRule>
  </conditionalFormatting>
  <conditionalFormatting sqref="CF57">
    <cfRule type="expression" dxfId="3576" priority="3723" stopIfTrue="1">
      <formula>IF(CE$8="判定対象外",TRUE,FALSE)</formula>
    </cfRule>
  </conditionalFormatting>
  <conditionalFormatting sqref="CE57">
    <cfRule type="expression" dxfId="3575" priority="3722" stopIfTrue="1">
      <formula>IF(CE$8="判定対象外",TRUE,FALSE)</formula>
    </cfRule>
  </conditionalFormatting>
  <conditionalFormatting sqref="CG63:CG64">
    <cfRule type="expression" dxfId="3574" priority="3720" stopIfTrue="1">
      <formula>IF(CG63="-",TRUE,FALSE)</formula>
    </cfRule>
    <cfRule type="expression" dxfId="3573" priority="3721" stopIfTrue="1">
      <formula>IF(OR(CG63="OK"),FALSE,TRUE)</formula>
    </cfRule>
  </conditionalFormatting>
  <conditionalFormatting sqref="CF63:CF64">
    <cfRule type="expression" dxfId="3572" priority="3719" stopIfTrue="1">
      <formula>IF(CE$8="判定対象外",TRUE,FALSE)</formula>
    </cfRule>
  </conditionalFormatting>
  <conditionalFormatting sqref="CE63:CE64">
    <cfRule type="expression" dxfId="3571" priority="3718" stopIfTrue="1">
      <formula>IF(CE$8="判定対象外",TRUE,FALSE)</formula>
    </cfRule>
  </conditionalFormatting>
  <conditionalFormatting sqref="CG65:CG70">
    <cfRule type="expression" dxfId="3570" priority="3716" stopIfTrue="1">
      <formula>IF(CG65="-",TRUE,FALSE)</formula>
    </cfRule>
    <cfRule type="expression" dxfId="3569" priority="3717" stopIfTrue="1">
      <formula>IF(OR(CG65="OK"),FALSE,TRUE)</formula>
    </cfRule>
  </conditionalFormatting>
  <conditionalFormatting sqref="CF65:CF70">
    <cfRule type="expression" dxfId="3568" priority="3715" stopIfTrue="1">
      <formula>IF(CE$8="判定対象外",TRUE,FALSE)</formula>
    </cfRule>
  </conditionalFormatting>
  <conditionalFormatting sqref="CE65:CE70">
    <cfRule type="expression" dxfId="3567" priority="3714" stopIfTrue="1">
      <formula>IF(CE$8="判定対象外",TRUE,FALSE)</formula>
    </cfRule>
  </conditionalFormatting>
  <conditionalFormatting sqref="CH29:CH32">
    <cfRule type="expression" dxfId="3566" priority="3703" stopIfTrue="1">
      <formula>IF(CI$8="判定対象外",TRUE,FALSE)</formula>
    </cfRule>
  </conditionalFormatting>
  <conditionalFormatting sqref="CK8:CK10">
    <cfRule type="expression" dxfId="3565" priority="3712" stopIfTrue="1">
      <formula>IF(CK8="-",TRUE,FALSE)</formula>
    </cfRule>
    <cfRule type="expression" dxfId="3564" priority="3713" stopIfTrue="1">
      <formula>IF(OR(CK8="OK"),FALSE,TRUE)</formula>
    </cfRule>
  </conditionalFormatting>
  <conditionalFormatting sqref="CH8:CH10">
    <cfRule type="expression" dxfId="3563" priority="3711" stopIfTrue="1">
      <formula>IF(CI$8="判定対象外",TRUE,FALSE)</formula>
    </cfRule>
  </conditionalFormatting>
  <conditionalFormatting sqref="CI8:CI10">
    <cfRule type="expression" dxfId="3562" priority="3710" stopIfTrue="1">
      <formula>IF(CI$8="判定対象外",TRUE,FALSE)</formula>
    </cfRule>
  </conditionalFormatting>
  <conditionalFormatting sqref="CJ8:CJ10">
    <cfRule type="expression" dxfId="3561" priority="3709" stopIfTrue="1">
      <formula>IF(CI$8="判定対象外",TRUE,FALSE)</formula>
    </cfRule>
  </conditionalFormatting>
  <conditionalFormatting sqref="CK11:CK34 CK71:CK81 CK36:CK56">
    <cfRule type="expression" dxfId="3560" priority="3706" stopIfTrue="1">
      <formula>IF(CK11="-",TRUE,FALSE)</formula>
    </cfRule>
    <cfRule type="expression" dxfId="3559" priority="3707" stopIfTrue="1">
      <formula>IF(OR(CK11="OK"),FALSE,TRUE)</formula>
    </cfRule>
  </conditionalFormatting>
  <conditionalFormatting sqref="CJ11:CJ34 CJ71:CJ81 CJ36:CJ56">
    <cfRule type="expression" dxfId="3558" priority="3705" stopIfTrue="1">
      <formula>IF(CI$8="判定対象外",TRUE,FALSE)</formula>
    </cfRule>
  </conditionalFormatting>
  <conditionalFormatting sqref="CH72:CH81 CH21:CH34 CH36:CH46">
    <cfRule type="expression" dxfId="3557" priority="3704" stopIfTrue="1">
      <formula>IF(CI$8="判定対象外",TRUE,FALSE)</formula>
    </cfRule>
  </conditionalFormatting>
  <conditionalFormatting sqref="CH42:CH44">
    <cfRule type="expression" dxfId="3556" priority="3702" stopIfTrue="1">
      <formula>IF(CI$8="判定対象外",TRUE,FALSE)</formula>
    </cfRule>
  </conditionalFormatting>
  <conditionalFormatting sqref="CH46">
    <cfRule type="expression" dxfId="3555" priority="3701" stopIfTrue="1">
      <formula>IF(CI$8="判定対象外",TRUE,FALSE)</formula>
    </cfRule>
  </conditionalFormatting>
  <conditionalFormatting sqref="CH42:CH44">
    <cfRule type="expression" dxfId="3554" priority="3700" stopIfTrue="1">
      <formula>IF(CI$8="判定対象外",TRUE,FALSE)</formula>
    </cfRule>
  </conditionalFormatting>
  <conditionalFormatting sqref="CH42:CH44">
    <cfRule type="expression" dxfId="3553" priority="3699" stopIfTrue="1">
      <formula>IF(CI$8="判定対象外",TRUE,FALSE)</formula>
    </cfRule>
  </conditionalFormatting>
  <conditionalFormatting sqref="CH42:CH44">
    <cfRule type="expression" dxfId="3552" priority="3698" stopIfTrue="1">
      <formula>IF(CI$8="判定対象外",TRUE,FALSE)</formula>
    </cfRule>
  </conditionalFormatting>
  <conditionalFormatting sqref="CH42:CH44">
    <cfRule type="expression" dxfId="3551" priority="3697" stopIfTrue="1">
      <formula>IF(CI$8="判定対象外",TRUE,FALSE)</formula>
    </cfRule>
  </conditionalFormatting>
  <conditionalFormatting sqref="CH42:CH44">
    <cfRule type="expression" dxfId="3550" priority="3696" stopIfTrue="1">
      <formula>IF(CI$8="判定対象外",TRUE,FALSE)</formula>
    </cfRule>
  </conditionalFormatting>
  <conditionalFormatting sqref="CH42:CH44">
    <cfRule type="expression" dxfId="3549" priority="3695" stopIfTrue="1">
      <formula>IF(CI$8="判定対象外",TRUE,FALSE)</formula>
    </cfRule>
  </conditionalFormatting>
  <conditionalFormatting sqref="CH42:CH44">
    <cfRule type="expression" dxfId="3548" priority="3694" stopIfTrue="1">
      <formula>IF(CI$8="判定対象外",TRUE,FALSE)</formula>
    </cfRule>
  </conditionalFormatting>
  <conditionalFormatting sqref="CH38">
    <cfRule type="expression" dxfId="3547" priority="3708" stopIfTrue="1">
      <formula>IF(#REF!="判定対象外",TRUE,FALSE)</formula>
    </cfRule>
  </conditionalFormatting>
  <conditionalFormatting sqref="CI11:CI34 CI71:CI81 CI36:CI56">
    <cfRule type="expression" dxfId="3546" priority="3693" stopIfTrue="1">
      <formula>IF(CI$8="判定対象外",TRUE,FALSE)</formula>
    </cfRule>
  </conditionalFormatting>
  <conditionalFormatting sqref="CH48">
    <cfRule type="expression" dxfId="3545" priority="3692" stopIfTrue="1">
      <formula>IF(CI$8="判定対象外",TRUE,FALSE)</formula>
    </cfRule>
  </conditionalFormatting>
  <conditionalFormatting sqref="CH51">
    <cfRule type="expression" dxfId="3544" priority="3691" stopIfTrue="1">
      <formula>IF(CI$8="判定対象外",TRUE,FALSE)</formula>
    </cfRule>
  </conditionalFormatting>
  <conditionalFormatting sqref="CH52 CH55 CH64 CH67 CH70">
    <cfRule type="expression" dxfId="3543" priority="3690" stopIfTrue="1">
      <formula>IF(CI$8="判定対象外",TRUE,FALSE)</formula>
    </cfRule>
  </conditionalFormatting>
  <conditionalFormatting sqref="CH11:CH20">
    <cfRule type="expression" dxfId="3542" priority="3689" stopIfTrue="1">
      <formula>IF(CI$8="判定対象外",TRUE,FALSE)</formula>
    </cfRule>
  </conditionalFormatting>
  <conditionalFormatting sqref="CH16:CH18">
    <cfRule type="expression" dxfId="3541" priority="3688" stopIfTrue="1">
      <formula>IF(CI$8="判定対象外",TRUE,FALSE)</formula>
    </cfRule>
  </conditionalFormatting>
  <conditionalFormatting sqref="CH20">
    <cfRule type="expression" dxfId="3540" priority="3687" stopIfTrue="1">
      <formula>IF(CI$8="判定対象外",TRUE,FALSE)</formula>
    </cfRule>
  </conditionalFormatting>
  <conditionalFormatting sqref="CH16:CH20">
    <cfRule type="expression" dxfId="3539" priority="3686" stopIfTrue="1">
      <formula>IF(CI$8="判定対象外",TRUE,FALSE)</formula>
    </cfRule>
  </conditionalFormatting>
  <conditionalFormatting sqref="CH11:CH20">
    <cfRule type="expression" dxfId="3538" priority="3685" stopIfTrue="1">
      <formula>IF(CI$8="判定対象外",TRUE,FALSE)</formula>
    </cfRule>
  </conditionalFormatting>
  <conditionalFormatting sqref="CH20">
    <cfRule type="expression" dxfId="3537" priority="3683" stopIfTrue="1">
      <formula>IF(CI$8="判定対象外",TRUE,FALSE)</formula>
    </cfRule>
  </conditionalFormatting>
  <conditionalFormatting sqref="CH16:CH20">
    <cfRule type="expression" dxfId="3536" priority="3682" stopIfTrue="1">
      <formula>IF(CI$8="判定対象外",TRUE,FALSE)</formula>
    </cfRule>
  </conditionalFormatting>
  <conditionalFormatting sqref="CH11:CH20">
    <cfRule type="expression" dxfId="3535" priority="3681" stopIfTrue="1">
      <formula>IF(CI$8="判定対象外",TRUE,FALSE)</formula>
    </cfRule>
  </conditionalFormatting>
  <conditionalFormatting sqref="CH16:CH18">
    <cfRule type="expression" dxfId="3534" priority="3680" stopIfTrue="1">
      <formula>IF(CI$8="判定対象外",TRUE,FALSE)</formula>
    </cfRule>
  </conditionalFormatting>
  <conditionalFormatting sqref="CH20">
    <cfRule type="expression" dxfId="3533" priority="3679" stopIfTrue="1">
      <formula>IF(CI$8="判定対象外",TRUE,FALSE)</formula>
    </cfRule>
  </conditionalFormatting>
  <conditionalFormatting sqref="CH16:CH20">
    <cfRule type="expression" dxfId="3532" priority="3678" stopIfTrue="1">
      <formula>IF(CI$8="判定対象外",TRUE,FALSE)</formula>
    </cfRule>
  </conditionalFormatting>
  <conditionalFormatting sqref="CH11:CH13">
    <cfRule type="expression" dxfId="3531" priority="3677" stopIfTrue="1">
      <formula>IF(CI$8="判定対象外",TRUE,FALSE)</formula>
    </cfRule>
  </conditionalFormatting>
  <conditionalFormatting sqref="CH15">
    <cfRule type="expression" dxfId="3530" priority="3676" stopIfTrue="1">
      <formula>IF(CI$8="判定対象外",TRUE,FALSE)</formula>
    </cfRule>
  </conditionalFormatting>
  <conditionalFormatting sqref="CH19">
    <cfRule type="expression" dxfId="3529" priority="3675" stopIfTrue="1">
      <formula>IF(CI$8="判定対象外",TRUE,FALSE)</formula>
    </cfRule>
  </conditionalFormatting>
  <conditionalFormatting sqref="CH20">
    <cfRule type="expression" dxfId="3528" priority="3673" stopIfTrue="1">
      <formula>IF(CI$8="判定対象外",TRUE,FALSE)</formula>
    </cfRule>
  </conditionalFormatting>
  <conditionalFormatting sqref="CH20">
    <cfRule type="expression" dxfId="3527" priority="3672" stopIfTrue="1">
      <formula>IF(CI$8="判定対象外",TRUE,FALSE)</formula>
    </cfRule>
  </conditionalFormatting>
  <conditionalFormatting sqref="CH20">
    <cfRule type="expression" dxfId="3526" priority="3671" stopIfTrue="1">
      <formula>IF(CI$8="判定対象外",TRUE,FALSE)</formula>
    </cfRule>
  </conditionalFormatting>
  <conditionalFormatting sqref="CH13">
    <cfRule type="expression" dxfId="3525" priority="3670" stopIfTrue="1">
      <formula>IF(CI$8="判定対象外",TRUE,FALSE)</formula>
    </cfRule>
  </conditionalFormatting>
  <conditionalFormatting sqref="CH47">
    <cfRule type="expression" dxfId="3524" priority="3669" stopIfTrue="1">
      <formula>IF(CI$8="判定対象外",TRUE,FALSE)</formula>
    </cfRule>
  </conditionalFormatting>
  <conditionalFormatting sqref="CH47">
    <cfRule type="expression" dxfId="3523" priority="3668" stopIfTrue="1">
      <formula>IF(CI$8="判定対象外",TRUE,FALSE)</formula>
    </cfRule>
  </conditionalFormatting>
  <conditionalFormatting sqref="CH49">
    <cfRule type="expression" dxfId="3522" priority="3667" stopIfTrue="1">
      <formula>IF(CI$8="判定対象外",TRUE,FALSE)</formula>
    </cfRule>
  </conditionalFormatting>
  <conditionalFormatting sqref="CH49">
    <cfRule type="expression" dxfId="3521" priority="3666" stopIfTrue="1">
      <formula>IF(CI$8="判定対象外",TRUE,FALSE)</formula>
    </cfRule>
  </conditionalFormatting>
  <conditionalFormatting sqref="CH50">
    <cfRule type="expression" dxfId="3520" priority="3665" stopIfTrue="1">
      <formula>IF(CI$8="判定対象外",TRUE,FALSE)</formula>
    </cfRule>
  </conditionalFormatting>
  <conditionalFormatting sqref="CH50">
    <cfRule type="expression" dxfId="3519" priority="3664" stopIfTrue="1">
      <formula>IF(CI$8="判定対象外",TRUE,FALSE)</formula>
    </cfRule>
  </conditionalFormatting>
  <conditionalFormatting sqref="FF67">
    <cfRule type="expression" dxfId="3518" priority="1564" stopIfTrue="1">
      <formula>IF(FG$8="判定対象外",TRUE,FALSE)</formula>
    </cfRule>
  </conditionalFormatting>
  <conditionalFormatting sqref="CH54 CH57 CH63 CH66 CH69">
    <cfRule type="expression" dxfId="3517" priority="3662" stopIfTrue="1">
      <formula>IF(CI$8="判定対象外",TRUE,FALSE)</formula>
    </cfRule>
  </conditionalFormatting>
  <conditionalFormatting sqref="CK57">
    <cfRule type="expression" dxfId="3516" priority="3660" stopIfTrue="1">
      <formula>IF(CK57="-",TRUE,FALSE)</formula>
    </cfRule>
    <cfRule type="expression" dxfId="3515" priority="3661" stopIfTrue="1">
      <formula>IF(OR(CK57="OK"),FALSE,TRUE)</formula>
    </cfRule>
  </conditionalFormatting>
  <conditionalFormatting sqref="CJ57">
    <cfRule type="expression" dxfId="3514" priority="3659" stopIfTrue="1">
      <formula>IF(CI$8="判定対象外",TRUE,FALSE)</formula>
    </cfRule>
  </conditionalFormatting>
  <conditionalFormatting sqref="CI57">
    <cfRule type="expression" dxfId="3513" priority="3658" stopIfTrue="1">
      <formula>IF(CI$8="判定対象外",TRUE,FALSE)</formula>
    </cfRule>
  </conditionalFormatting>
  <conditionalFormatting sqref="CK58:CK64">
    <cfRule type="expression" dxfId="3512" priority="3656" stopIfTrue="1">
      <formula>IF(CK58="-",TRUE,FALSE)</formula>
    </cfRule>
    <cfRule type="expression" dxfId="3511" priority="3657" stopIfTrue="1">
      <formula>IF(OR(CK58="OK"),FALSE,TRUE)</formula>
    </cfRule>
  </conditionalFormatting>
  <conditionalFormatting sqref="CJ58:CJ64">
    <cfRule type="expression" dxfId="3510" priority="3655" stopIfTrue="1">
      <formula>IF(CI$8="判定対象外",TRUE,FALSE)</formula>
    </cfRule>
  </conditionalFormatting>
  <conditionalFormatting sqref="CI58:CI64">
    <cfRule type="expression" dxfId="3509" priority="3654" stopIfTrue="1">
      <formula>IF(CI$8="判定対象外",TRUE,FALSE)</formula>
    </cfRule>
  </conditionalFormatting>
  <conditionalFormatting sqref="CK65:CK70">
    <cfRule type="expression" dxfId="3508" priority="3652" stopIfTrue="1">
      <formula>IF(CK65="-",TRUE,FALSE)</formula>
    </cfRule>
    <cfRule type="expression" dxfId="3507" priority="3653" stopIfTrue="1">
      <formula>IF(OR(CK65="OK"),FALSE,TRUE)</formula>
    </cfRule>
  </conditionalFormatting>
  <conditionalFormatting sqref="CJ65:CJ70">
    <cfRule type="expression" dxfId="3506" priority="3651" stopIfTrue="1">
      <formula>IF(CI$8="判定対象外",TRUE,FALSE)</formula>
    </cfRule>
  </conditionalFormatting>
  <conditionalFormatting sqref="CI65:CI70">
    <cfRule type="expression" dxfId="3505" priority="3650" stopIfTrue="1">
      <formula>IF(CI$8="判定対象外",TRUE,FALSE)</formula>
    </cfRule>
  </conditionalFormatting>
  <conditionalFormatting sqref="CH58">
    <cfRule type="expression" dxfId="3504" priority="3639" stopIfTrue="1">
      <formula>IF(CI$8="判定対象外",TRUE,FALSE)</formula>
    </cfRule>
  </conditionalFormatting>
  <conditionalFormatting sqref="BZ58">
    <cfRule type="expression" dxfId="3503" priority="3649" stopIfTrue="1">
      <formula>IF(CA$8="判定対象外",TRUE,FALSE)</formula>
    </cfRule>
  </conditionalFormatting>
  <conditionalFormatting sqref="CC58">
    <cfRule type="expression" dxfId="3502" priority="3647" stopIfTrue="1">
      <formula>IF(CC58="-",TRUE,FALSE)</formula>
    </cfRule>
    <cfRule type="expression" dxfId="3501" priority="3648" stopIfTrue="1">
      <formula>IF(OR(CC58="OK"),FALSE,TRUE)</formula>
    </cfRule>
  </conditionalFormatting>
  <conditionalFormatting sqref="CB58">
    <cfRule type="expression" dxfId="3500" priority="3646" stopIfTrue="1">
      <formula>IF(CA$8="判定対象外",TRUE,FALSE)</formula>
    </cfRule>
  </conditionalFormatting>
  <conditionalFormatting sqref="CA58">
    <cfRule type="expression" dxfId="3499" priority="3645" stopIfTrue="1">
      <formula>IF(CA$8="判定対象外",TRUE,FALSE)</formula>
    </cfRule>
  </conditionalFormatting>
  <conditionalFormatting sqref="CD58">
    <cfRule type="expression" dxfId="3498" priority="3644" stopIfTrue="1">
      <formula>IF(CE$8="判定対象外",TRUE,FALSE)</formula>
    </cfRule>
  </conditionalFormatting>
  <conditionalFormatting sqref="CG58">
    <cfRule type="expression" dxfId="3497" priority="3642" stopIfTrue="1">
      <formula>IF(CG58="-",TRUE,FALSE)</formula>
    </cfRule>
    <cfRule type="expression" dxfId="3496" priority="3643" stopIfTrue="1">
      <formula>IF(OR(CG58="OK"),FALSE,TRUE)</formula>
    </cfRule>
  </conditionalFormatting>
  <conditionalFormatting sqref="CF58">
    <cfRule type="expression" dxfId="3495" priority="3641" stopIfTrue="1">
      <formula>IF(CE$8="判定対象外",TRUE,FALSE)</formula>
    </cfRule>
  </conditionalFormatting>
  <conditionalFormatting sqref="CE58">
    <cfRule type="expression" dxfId="3494" priority="3640" stopIfTrue="1">
      <formula>IF(CE$8="判定対象外",TRUE,FALSE)</formula>
    </cfRule>
  </conditionalFormatting>
  <conditionalFormatting sqref="CD59">
    <cfRule type="expression" dxfId="3493" priority="3633" stopIfTrue="1">
      <formula>IF(CE$8="判定対象外",TRUE,FALSE)</formula>
    </cfRule>
  </conditionalFormatting>
  <conditionalFormatting sqref="CG59">
    <cfRule type="expression" dxfId="3492" priority="3631" stopIfTrue="1">
      <formula>IF(CG59="-",TRUE,FALSE)</formula>
    </cfRule>
    <cfRule type="expression" dxfId="3491" priority="3632" stopIfTrue="1">
      <formula>IF(OR(CG59="OK"),FALSE,TRUE)</formula>
    </cfRule>
  </conditionalFormatting>
  <conditionalFormatting sqref="CF59">
    <cfRule type="expression" dxfId="3490" priority="3630" stopIfTrue="1">
      <formula>IF(CE$8="判定対象外",TRUE,FALSE)</formula>
    </cfRule>
  </conditionalFormatting>
  <conditionalFormatting sqref="CE59">
    <cfRule type="expression" dxfId="3489" priority="3629" stopIfTrue="1">
      <formula>IF(CE$8="判定対象外",TRUE,FALSE)</formula>
    </cfRule>
  </conditionalFormatting>
  <conditionalFormatting sqref="CX62">
    <cfRule type="expression" dxfId="3488" priority="3067" stopIfTrue="1">
      <formula>IF(CY$8="判定対象外",TRUE,FALSE)</formula>
    </cfRule>
  </conditionalFormatting>
  <conditionalFormatting sqref="DA62">
    <cfRule type="expression" dxfId="3487" priority="3065" stopIfTrue="1">
      <formula>IF(DA62="-",TRUE,FALSE)</formula>
    </cfRule>
    <cfRule type="expression" dxfId="3486" priority="3066" stopIfTrue="1">
      <formula>IF(OR(DA62="OK"),FALSE,TRUE)</formula>
    </cfRule>
  </conditionalFormatting>
  <conditionalFormatting sqref="CZ62">
    <cfRule type="expression" dxfId="3485" priority="3064" stopIfTrue="1">
      <formula>IF(CY$8="判定対象外",TRUE,FALSE)</formula>
    </cfRule>
  </conditionalFormatting>
  <conditionalFormatting sqref="CY62">
    <cfRule type="expression" dxfId="3484" priority="3063" stopIfTrue="1">
      <formula>IF(CY$8="判定対象外",TRUE,FALSE)</formula>
    </cfRule>
  </conditionalFormatting>
  <conditionalFormatting sqref="GK70">
    <cfRule type="expression" dxfId="3483" priority="628" stopIfTrue="1">
      <formula>IF(GK70="-",TRUE,FALSE)</formula>
    </cfRule>
    <cfRule type="expression" dxfId="3482" priority="629" stopIfTrue="1">
      <formula>IF(OR(GK70="OK"),FALSE,TRUE)</formula>
    </cfRule>
  </conditionalFormatting>
  <conditionalFormatting sqref="GJ70">
    <cfRule type="expression" dxfId="3481" priority="627" stopIfTrue="1">
      <formula>IF(GI$8="判定対象外",TRUE,FALSE)</formula>
    </cfRule>
  </conditionalFormatting>
  <conditionalFormatting sqref="GI70">
    <cfRule type="expression" dxfId="3480" priority="626" stopIfTrue="1">
      <formula>IF(GI$8="判定対象外",TRUE,FALSE)</formula>
    </cfRule>
  </conditionalFormatting>
  <conditionalFormatting sqref="GH70">
    <cfRule type="expression" dxfId="3479" priority="625" stopIfTrue="1">
      <formula>IF(GI$8="判定対象外",TRUE,FALSE)</formula>
    </cfRule>
  </conditionalFormatting>
  <conditionalFormatting sqref="DJ63">
    <cfRule type="expression" dxfId="3478" priority="2784" stopIfTrue="1">
      <formula>IF(DK$8="判定対象外",TRUE,FALSE)</formula>
    </cfRule>
  </conditionalFormatting>
  <conditionalFormatting sqref="DM63">
    <cfRule type="expression" dxfId="3477" priority="2782" stopIfTrue="1">
      <formula>IF(DM63="-",TRUE,FALSE)</formula>
    </cfRule>
    <cfRule type="expression" dxfId="3476" priority="2783" stopIfTrue="1">
      <formula>IF(OR(DM63="OK"),FALSE,TRUE)</formula>
    </cfRule>
  </conditionalFormatting>
  <conditionalFormatting sqref="DL63">
    <cfRule type="expression" dxfId="3475" priority="2781" stopIfTrue="1">
      <formula>IF(DK$8="判定対象外",TRUE,FALSE)</formula>
    </cfRule>
  </conditionalFormatting>
  <conditionalFormatting sqref="DK63">
    <cfRule type="expression" dxfId="3474" priority="2780" stopIfTrue="1">
      <formula>IF(DK$8="判定対象外",TRUE,FALSE)</formula>
    </cfRule>
  </conditionalFormatting>
  <conditionalFormatting sqref="CD60">
    <cfRule type="expression" dxfId="3473" priority="3611" stopIfTrue="1">
      <formula>IF(CE$8="判定対象外",TRUE,FALSE)</formula>
    </cfRule>
  </conditionalFormatting>
  <conditionalFormatting sqref="CG60">
    <cfRule type="expression" dxfId="3472" priority="3609" stopIfTrue="1">
      <formula>IF(CG60="-",TRUE,FALSE)</formula>
    </cfRule>
    <cfRule type="expression" dxfId="3471" priority="3610" stopIfTrue="1">
      <formula>IF(OR(CG60="OK"),FALSE,TRUE)</formula>
    </cfRule>
  </conditionalFormatting>
  <conditionalFormatting sqref="CF60">
    <cfRule type="expression" dxfId="3470" priority="3608" stopIfTrue="1">
      <formula>IF(CE$8="判定対象外",TRUE,FALSE)</formula>
    </cfRule>
  </conditionalFormatting>
  <conditionalFormatting sqref="CE60">
    <cfRule type="expression" dxfId="3469" priority="3607" stopIfTrue="1">
      <formula>IF(CE$8="判定対象外",TRUE,FALSE)</formula>
    </cfRule>
  </conditionalFormatting>
  <conditionalFormatting sqref="ED64">
    <cfRule type="expression" dxfId="3468" priority="2480" stopIfTrue="1">
      <formula>IF(EE$8="判定対象外",TRUE,FALSE)</formula>
    </cfRule>
  </conditionalFormatting>
  <conditionalFormatting sqref="CT63">
    <cfRule type="expression" dxfId="3467" priority="3326" stopIfTrue="1">
      <formula>IF(CU$8="判定対象外",TRUE,FALSE)</formula>
    </cfRule>
  </conditionalFormatting>
  <conditionalFormatting sqref="BZ62">
    <cfRule type="expression" dxfId="3466" priority="3605" stopIfTrue="1">
      <formula>IF(CA$8="判定対象外",TRUE,FALSE)</formula>
    </cfRule>
  </conditionalFormatting>
  <conditionalFormatting sqref="CC62">
    <cfRule type="expression" dxfId="3465" priority="3603" stopIfTrue="1">
      <formula>IF(CC62="-",TRUE,FALSE)</formula>
    </cfRule>
    <cfRule type="expression" dxfId="3464" priority="3604" stopIfTrue="1">
      <formula>IF(OR(CC62="OK"),FALSE,TRUE)</formula>
    </cfRule>
  </conditionalFormatting>
  <conditionalFormatting sqref="CB62">
    <cfRule type="expression" dxfId="3463" priority="3602" stopIfTrue="1">
      <formula>IF(CA$8="判定対象外",TRUE,FALSE)</formula>
    </cfRule>
  </conditionalFormatting>
  <conditionalFormatting sqref="CA62">
    <cfRule type="expression" dxfId="3462" priority="3601" stopIfTrue="1">
      <formula>IF(CA$8="判定対象外",TRUE,FALSE)</formula>
    </cfRule>
  </conditionalFormatting>
  <conditionalFormatting sqref="CG62">
    <cfRule type="expression" dxfId="3461" priority="3599" stopIfTrue="1">
      <formula>IF(CG62="-",TRUE,FALSE)</formula>
    </cfRule>
    <cfRule type="expression" dxfId="3460" priority="3600" stopIfTrue="1">
      <formula>IF(OR(CG62="OK"),FALSE,TRUE)</formula>
    </cfRule>
  </conditionalFormatting>
  <conditionalFormatting sqref="CF62">
    <cfRule type="expression" dxfId="3459" priority="3598" stopIfTrue="1">
      <formula>IF(CE$8="判定対象外",TRUE,FALSE)</formula>
    </cfRule>
  </conditionalFormatting>
  <conditionalFormatting sqref="CE62">
    <cfRule type="expression" dxfId="3458" priority="3597" stopIfTrue="1">
      <formula>IF(CE$8="判定対象外",TRUE,FALSE)</formula>
    </cfRule>
  </conditionalFormatting>
  <conditionalFormatting sqref="BZ61">
    <cfRule type="expression" dxfId="3457" priority="3594" stopIfTrue="1">
      <formula>IF(CA$8="判定対象外",TRUE,FALSE)</formula>
    </cfRule>
  </conditionalFormatting>
  <conditionalFormatting sqref="CC61">
    <cfRule type="expression" dxfId="3456" priority="3592" stopIfTrue="1">
      <formula>IF(CC61="-",TRUE,FALSE)</formula>
    </cfRule>
    <cfRule type="expression" dxfId="3455" priority="3593" stopIfTrue="1">
      <formula>IF(OR(CC61="OK"),FALSE,TRUE)</formula>
    </cfRule>
  </conditionalFormatting>
  <conditionalFormatting sqref="CB61">
    <cfRule type="expression" dxfId="3454" priority="3591" stopIfTrue="1">
      <formula>IF(CA$8="判定対象外",TRUE,FALSE)</formula>
    </cfRule>
  </conditionalFormatting>
  <conditionalFormatting sqref="CA61">
    <cfRule type="expression" dxfId="3453" priority="3590" stopIfTrue="1">
      <formula>IF(CA$8="判定対象外",TRUE,FALSE)</formula>
    </cfRule>
  </conditionalFormatting>
  <conditionalFormatting sqref="CD61">
    <cfRule type="expression" dxfId="3452" priority="3589" stopIfTrue="1">
      <formula>IF(CE$8="判定対象外",TRUE,FALSE)</formula>
    </cfRule>
  </conditionalFormatting>
  <conditionalFormatting sqref="CG61">
    <cfRule type="expression" dxfId="3451" priority="3587" stopIfTrue="1">
      <formula>IF(CG61="-",TRUE,FALSE)</formula>
    </cfRule>
    <cfRule type="expression" dxfId="3450" priority="3588" stopIfTrue="1">
      <formula>IF(OR(CG61="OK"),FALSE,TRUE)</formula>
    </cfRule>
  </conditionalFormatting>
  <conditionalFormatting sqref="CF61">
    <cfRule type="expression" dxfId="3449" priority="3586" stopIfTrue="1">
      <formula>IF(CE$8="判定対象外",TRUE,FALSE)</formula>
    </cfRule>
  </conditionalFormatting>
  <conditionalFormatting sqref="CE61">
    <cfRule type="expression" dxfId="3448" priority="3585" stopIfTrue="1">
      <formula>IF(CE$8="判定対象外",TRUE,FALSE)</formula>
    </cfRule>
  </conditionalFormatting>
  <conditionalFormatting sqref="CH61">
    <cfRule type="expression" dxfId="3447" priority="3584" stopIfTrue="1">
      <formula>IF(CI$8="判定対象外",TRUE,FALSE)</formula>
    </cfRule>
  </conditionalFormatting>
  <conditionalFormatting sqref="CT60">
    <cfRule type="expression" dxfId="3446" priority="3359" stopIfTrue="1">
      <formula>IF(CU$8="判定対象外",TRUE,FALSE)</formula>
    </cfRule>
  </conditionalFormatting>
  <conditionalFormatting sqref="CT53 CT56 CT65 CT68 CT71">
    <cfRule type="expression" dxfId="3445" priority="3405" stopIfTrue="1">
      <formula>IF(CU$8="判定対象外",TRUE,FALSE)</formula>
    </cfRule>
  </conditionalFormatting>
  <conditionalFormatting sqref="CL60">
    <cfRule type="expression" dxfId="3444" priority="3369" stopIfTrue="1">
      <formula>IF(CM$8="判定対象外",TRUE,FALSE)</formula>
    </cfRule>
  </conditionalFormatting>
  <conditionalFormatting sqref="CO60">
    <cfRule type="expression" dxfId="3443" priority="3367" stopIfTrue="1">
      <formula>IF(CO60="-",TRUE,FALSE)</formula>
    </cfRule>
    <cfRule type="expression" dxfId="3442" priority="3368" stopIfTrue="1">
      <formula>IF(OR(CO60="OK"),FALSE,TRUE)</formula>
    </cfRule>
  </conditionalFormatting>
  <conditionalFormatting sqref="CN60">
    <cfRule type="expression" dxfId="3441" priority="3366" stopIfTrue="1">
      <formula>IF(CM$8="判定対象外",TRUE,FALSE)</formula>
    </cfRule>
  </conditionalFormatting>
  <conditionalFormatting sqref="CM60">
    <cfRule type="expression" dxfId="3440" priority="3365" stopIfTrue="1">
      <formula>IF(CM$8="判定対象外",TRUE,FALSE)</formula>
    </cfRule>
  </conditionalFormatting>
  <conditionalFormatting sqref="EP65">
    <cfRule type="expression" dxfId="3439" priority="2175" stopIfTrue="1">
      <formula>IF(EQ$8="判定対象外",TRUE,FALSE)</formula>
    </cfRule>
  </conditionalFormatting>
  <conditionalFormatting sqref="CT19">
    <cfRule type="expression" dxfId="3438" priority="3416" stopIfTrue="1">
      <formula>IF(CU$8="判定対象外",TRUE,FALSE)</formula>
    </cfRule>
  </conditionalFormatting>
  <conditionalFormatting sqref="CT59">
    <cfRule type="expression" dxfId="3437" priority="3370" stopIfTrue="1">
      <formula>IF(CU$8="判定対象外",TRUE,FALSE)</formula>
    </cfRule>
  </conditionalFormatting>
  <conditionalFormatting sqref="CL59">
    <cfRule type="expression" dxfId="3436" priority="3380" stopIfTrue="1">
      <formula>IF(CM$8="判定対象外",TRUE,FALSE)</formula>
    </cfRule>
  </conditionalFormatting>
  <conditionalFormatting sqref="CO59">
    <cfRule type="expression" dxfId="3435" priority="3378" stopIfTrue="1">
      <formula>IF(CO59="-",TRUE,FALSE)</formula>
    </cfRule>
    <cfRule type="expression" dxfId="3434" priority="3379" stopIfTrue="1">
      <formula>IF(OR(CO59="OK"),FALSE,TRUE)</formula>
    </cfRule>
  </conditionalFormatting>
  <conditionalFormatting sqref="CN59">
    <cfRule type="expression" dxfId="3433" priority="3377" stopIfTrue="1">
      <formula>IF(CM$8="判定対象外",TRUE,FALSE)</formula>
    </cfRule>
  </conditionalFormatting>
  <conditionalFormatting sqref="CM59">
    <cfRule type="expression" dxfId="3432" priority="3376" stopIfTrue="1">
      <formula>IF(CM$8="判定対象外",TRUE,FALSE)</formula>
    </cfRule>
  </conditionalFormatting>
  <conditionalFormatting sqref="CT16:CT18">
    <cfRule type="expression" dxfId="3431" priority="3426" stopIfTrue="1">
      <formula>IF(CU$8="判定対象外",TRUE,FALSE)</formula>
    </cfRule>
  </conditionalFormatting>
  <conditionalFormatting sqref="CO8:CO10">
    <cfRule type="expression" dxfId="3430" priority="3582" stopIfTrue="1">
      <formula>IF(CO8="-",TRUE,FALSE)</formula>
    </cfRule>
    <cfRule type="expression" dxfId="3429" priority="3583" stopIfTrue="1">
      <formula>IF(OR(CO8="OK"),FALSE,TRUE)</formula>
    </cfRule>
  </conditionalFormatting>
  <conditionalFormatting sqref="CL8:CL10">
    <cfRule type="expression" dxfId="3428" priority="3581" stopIfTrue="1">
      <formula>IF(CM$8="判定対象外",TRUE,FALSE)</formula>
    </cfRule>
  </conditionalFormatting>
  <conditionalFormatting sqref="CM8:CM10">
    <cfRule type="expression" dxfId="3427" priority="3580" stopIfTrue="1">
      <formula>IF(CM$8="判定対象外",TRUE,FALSE)</formula>
    </cfRule>
  </conditionalFormatting>
  <conditionalFormatting sqref="CN8:CN10">
    <cfRule type="expression" dxfId="3426" priority="3579" stopIfTrue="1">
      <formula>IF(CM$8="判定対象外",TRUE,FALSE)</formula>
    </cfRule>
  </conditionalFormatting>
  <conditionalFormatting sqref="CO11:CO34 CO71:CO81 CO36:CO56">
    <cfRule type="expression" dxfId="3425" priority="3576" stopIfTrue="1">
      <formula>IF(CO11="-",TRUE,FALSE)</formula>
    </cfRule>
    <cfRule type="expression" dxfId="3424" priority="3577" stopIfTrue="1">
      <formula>IF(OR(CO11="OK"),FALSE,TRUE)</formula>
    </cfRule>
  </conditionalFormatting>
  <conditionalFormatting sqref="CN11:CN34 CN71:CN81 CN36:CN56">
    <cfRule type="expression" dxfId="3423" priority="3575" stopIfTrue="1">
      <formula>IF(CM$8="判定対象外",TRUE,FALSE)</formula>
    </cfRule>
  </conditionalFormatting>
  <conditionalFormatting sqref="CL72:CL81 CL21:CL34 CL36:CL46">
    <cfRule type="expression" dxfId="3422" priority="3574" stopIfTrue="1">
      <formula>IF(CM$8="判定対象外",TRUE,FALSE)</formula>
    </cfRule>
  </conditionalFormatting>
  <conditionalFormatting sqref="CL29:CL32">
    <cfRule type="expression" dxfId="3421" priority="3573" stopIfTrue="1">
      <formula>IF(CM$8="判定対象外",TRUE,FALSE)</formula>
    </cfRule>
  </conditionalFormatting>
  <conditionalFormatting sqref="CL42:CL44">
    <cfRule type="expression" dxfId="3420" priority="3572" stopIfTrue="1">
      <formula>IF(CM$8="判定対象外",TRUE,FALSE)</formula>
    </cfRule>
  </conditionalFormatting>
  <conditionalFormatting sqref="CL46">
    <cfRule type="expression" dxfId="3419" priority="3571" stopIfTrue="1">
      <formula>IF(CM$8="判定対象外",TRUE,FALSE)</formula>
    </cfRule>
  </conditionalFormatting>
  <conditionalFormatting sqref="CL42:CL44">
    <cfRule type="expression" dxfId="3418" priority="3570" stopIfTrue="1">
      <formula>IF(CM$8="判定対象外",TRUE,FALSE)</formula>
    </cfRule>
  </conditionalFormatting>
  <conditionalFormatting sqref="CL42:CL44">
    <cfRule type="expression" dxfId="3417" priority="3569" stopIfTrue="1">
      <formula>IF(CM$8="判定対象外",TRUE,FALSE)</formula>
    </cfRule>
  </conditionalFormatting>
  <conditionalFormatting sqref="CL42:CL44">
    <cfRule type="expression" dxfId="3416" priority="3568" stopIfTrue="1">
      <formula>IF(CM$8="判定対象外",TRUE,FALSE)</formula>
    </cfRule>
  </conditionalFormatting>
  <conditionalFormatting sqref="CL42:CL44">
    <cfRule type="expression" dxfId="3415" priority="3567" stopIfTrue="1">
      <formula>IF(CM$8="判定対象外",TRUE,FALSE)</formula>
    </cfRule>
  </conditionalFormatting>
  <conditionalFormatting sqref="CL42:CL44">
    <cfRule type="expression" dxfId="3414" priority="3566" stopIfTrue="1">
      <formula>IF(CM$8="判定対象外",TRUE,FALSE)</formula>
    </cfRule>
  </conditionalFormatting>
  <conditionalFormatting sqref="CL42:CL44">
    <cfRule type="expression" dxfId="3413" priority="3565" stopIfTrue="1">
      <formula>IF(CM$8="判定対象外",TRUE,FALSE)</formula>
    </cfRule>
  </conditionalFormatting>
  <conditionalFormatting sqref="CL42:CL44">
    <cfRule type="expression" dxfId="3412" priority="3564" stopIfTrue="1">
      <formula>IF(CM$8="判定対象外",TRUE,FALSE)</formula>
    </cfRule>
  </conditionalFormatting>
  <conditionalFormatting sqref="CL38">
    <cfRule type="expression" dxfId="3411" priority="3578" stopIfTrue="1">
      <formula>IF(#REF!="判定対象外",TRUE,FALSE)</formula>
    </cfRule>
  </conditionalFormatting>
  <conditionalFormatting sqref="CM11:CM34 CM71:CM81 CM36:CM56">
    <cfRule type="expression" dxfId="3410" priority="3563" stopIfTrue="1">
      <formula>IF(CM$8="判定対象外",TRUE,FALSE)</formula>
    </cfRule>
  </conditionalFormatting>
  <conditionalFormatting sqref="CL48">
    <cfRule type="expression" dxfId="3409" priority="3562" stopIfTrue="1">
      <formula>IF(CM$8="判定対象外",TRUE,FALSE)</formula>
    </cfRule>
  </conditionalFormatting>
  <conditionalFormatting sqref="CL51">
    <cfRule type="expression" dxfId="3408" priority="3561" stopIfTrue="1">
      <formula>IF(CM$8="判定対象外",TRUE,FALSE)</formula>
    </cfRule>
  </conditionalFormatting>
  <conditionalFormatting sqref="CL52 CL55 CL64 CL67 CL70">
    <cfRule type="expression" dxfId="3407" priority="3560" stopIfTrue="1">
      <formula>IF(CM$8="判定対象外",TRUE,FALSE)</formula>
    </cfRule>
  </conditionalFormatting>
  <conditionalFormatting sqref="CL11:CL20">
    <cfRule type="expression" dxfId="3406" priority="3559" stopIfTrue="1">
      <formula>IF(CM$8="判定対象外",TRUE,FALSE)</formula>
    </cfRule>
  </conditionalFormatting>
  <conditionalFormatting sqref="CL16:CL18">
    <cfRule type="expression" dxfId="3405" priority="3558" stopIfTrue="1">
      <formula>IF(CM$8="判定対象外",TRUE,FALSE)</formula>
    </cfRule>
  </conditionalFormatting>
  <conditionalFormatting sqref="CL20">
    <cfRule type="expression" dxfId="3404" priority="3557" stopIfTrue="1">
      <formula>IF(CM$8="判定対象外",TRUE,FALSE)</formula>
    </cfRule>
  </conditionalFormatting>
  <conditionalFormatting sqref="CL16:CL20">
    <cfRule type="expression" dxfId="3403" priority="3556" stopIfTrue="1">
      <formula>IF(CM$8="判定対象外",TRUE,FALSE)</formula>
    </cfRule>
  </conditionalFormatting>
  <conditionalFormatting sqref="CL11:CL20">
    <cfRule type="expression" dxfId="3402" priority="3555" stopIfTrue="1">
      <formula>IF(CM$8="判定対象外",TRUE,FALSE)</formula>
    </cfRule>
  </conditionalFormatting>
  <conditionalFormatting sqref="CL16:CL18">
    <cfRule type="expression" dxfId="3401" priority="3554" stopIfTrue="1">
      <formula>IF(CM$8="判定対象外",TRUE,FALSE)</formula>
    </cfRule>
  </conditionalFormatting>
  <conditionalFormatting sqref="CL20">
    <cfRule type="expression" dxfId="3400" priority="3553" stopIfTrue="1">
      <formula>IF(CM$8="判定対象外",TRUE,FALSE)</formula>
    </cfRule>
  </conditionalFormatting>
  <conditionalFormatting sqref="CL16:CL20">
    <cfRule type="expression" dxfId="3399" priority="3552" stopIfTrue="1">
      <formula>IF(CM$8="判定対象外",TRUE,FALSE)</formula>
    </cfRule>
  </conditionalFormatting>
  <conditionalFormatting sqref="CL11:CL20">
    <cfRule type="expression" dxfId="3398" priority="3551" stopIfTrue="1">
      <formula>IF(CM$8="判定対象外",TRUE,FALSE)</formula>
    </cfRule>
  </conditionalFormatting>
  <conditionalFormatting sqref="CL16:CL18">
    <cfRule type="expression" dxfId="3397" priority="3550" stopIfTrue="1">
      <formula>IF(CM$8="判定対象外",TRUE,FALSE)</formula>
    </cfRule>
  </conditionalFormatting>
  <conditionalFormatting sqref="CL20">
    <cfRule type="expression" dxfId="3396" priority="3549" stopIfTrue="1">
      <formula>IF(CM$8="判定対象外",TRUE,FALSE)</formula>
    </cfRule>
  </conditionalFormatting>
  <conditionalFormatting sqref="CL16:CL20">
    <cfRule type="expression" dxfId="3395" priority="3548" stopIfTrue="1">
      <formula>IF(CM$8="判定対象外",TRUE,FALSE)</formula>
    </cfRule>
  </conditionalFormatting>
  <conditionalFormatting sqref="CL11:CL13">
    <cfRule type="expression" dxfId="3394" priority="3547" stopIfTrue="1">
      <formula>IF(CM$8="判定対象外",TRUE,FALSE)</formula>
    </cfRule>
  </conditionalFormatting>
  <conditionalFormatting sqref="CL15">
    <cfRule type="expression" dxfId="3393" priority="3546" stopIfTrue="1">
      <formula>IF(CM$8="判定対象外",TRUE,FALSE)</formula>
    </cfRule>
  </conditionalFormatting>
  <conditionalFormatting sqref="CL19">
    <cfRule type="expression" dxfId="3392" priority="3545" stopIfTrue="1">
      <formula>IF(CM$8="判定対象外",TRUE,FALSE)</formula>
    </cfRule>
  </conditionalFormatting>
  <conditionalFormatting sqref="CL19">
    <cfRule type="expression" dxfId="3391" priority="3544" stopIfTrue="1">
      <formula>IF(CM$8="判定対象外",TRUE,FALSE)</formula>
    </cfRule>
  </conditionalFormatting>
  <conditionalFormatting sqref="CL20">
    <cfRule type="expression" dxfId="3390" priority="3543" stopIfTrue="1">
      <formula>IF(CM$8="判定対象外",TRUE,FALSE)</formula>
    </cfRule>
  </conditionalFormatting>
  <conditionalFormatting sqref="CL20">
    <cfRule type="expression" dxfId="3389" priority="3542" stopIfTrue="1">
      <formula>IF(CM$8="判定対象外",TRUE,FALSE)</formula>
    </cfRule>
  </conditionalFormatting>
  <conditionalFormatting sqref="CL20">
    <cfRule type="expression" dxfId="3388" priority="3541" stopIfTrue="1">
      <formula>IF(CM$8="判定対象外",TRUE,FALSE)</formula>
    </cfRule>
  </conditionalFormatting>
  <conditionalFormatting sqref="CL13">
    <cfRule type="expression" dxfId="3387" priority="3540" stopIfTrue="1">
      <formula>IF(CM$8="判定対象外",TRUE,FALSE)</formula>
    </cfRule>
  </conditionalFormatting>
  <conditionalFormatting sqref="CL47">
    <cfRule type="expression" dxfId="3386" priority="3539" stopIfTrue="1">
      <formula>IF(CM$8="判定対象外",TRUE,FALSE)</formula>
    </cfRule>
  </conditionalFormatting>
  <conditionalFormatting sqref="CL47">
    <cfRule type="expression" dxfId="3385" priority="3538" stopIfTrue="1">
      <formula>IF(CM$8="判定対象外",TRUE,FALSE)</formula>
    </cfRule>
  </conditionalFormatting>
  <conditionalFormatting sqref="CL49">
    <cfRule type="expression" dxfId="3384" priority="3537" stopIfTrue="1">
      <formula>IF(CM$8="判定対象外",TRUE,FALSE)</formula>
    </cfRule>
  </conditionalFormatting>
  <conditionalFormatting sqref="CL49">
    <cfRule type="expression" dxfId="3383" priority="3536" stopIfTrue="1">
      <formula>IF(CM$8="判定対象外",TRUE,FALSE)</formula>
    </cfRule>
  </conditionalFormatting>
  <conditionalFormatting sqref="CL50">
    <cfRule type="expression" dxfId="3382" priority="3535" stopIfTrue="1">
      <formula>IF(CM$8="判定対象外",TRUE,FALSE)</formula>
    </cfRule>
  </conditionalFormatting>
  <conditionalFormatting sqref="CL50">
    <cfRule type="expression" dxfId="3381" priority="3534" stopIfTrue="1">
      <formula>IF(CM$8="判定対象外",TRUE,FALSE)</formula>
    </cfRule>
  </conditionalFormatting>
  <conditionalFormatting sqref="CL53 CL56 CL65 CL68 CL71">
    <cfRule type="expression" dxfId="3380" priority="3533" stopIfTrue="1">
      <formula>IF(CM$8="判定対象外",TRUE,FALSE)</formula>
    </cfRule>
  </conditionalFormatting>
  <conditionalFormatting sqref="CL54 CL57 CL66 CL69">
    <cfRule type="expression" dxfId="3379" priority="3532" stopIfTrue="1">
      <formula>IF(CM$8="判定対象外",TRUE,FALSE)</formula>
    </cfRule>
  </conditionalFormatting>
  <conditionalFormatting sqref="CO57">
    <cfRule type="expression" dxfId="3378" priority="3530" stopIfTrue="1">
      <formula>IF(CO57="-",TRUE,FALSE)</formula>
    </cfRule>
    <cfRule type="expression" dxfId="3377" priority="3531" stopIfTrue="1">
      <formula>IF(OR(CO57="OK"),FALSE,TRUE)</formula>
    </cfRule>
  </conditionalFormatting>
  <conditionalFormatting sqref="CN57">
    <cfRule type="expression" dxfId="3376" priority="3529" stopIfTrue="1">
      <formula>IF(CM$8="判定対象外",TRUE,FALSE)</formula>
    </cfRule>
  </conditionalFormatting>
  <conditionalFormatting sqref="CM57">
    <cfRule type="expression" dxfId="3375" priority="3528" stopIfTrue="1">
      <formula>IF(CM$8="判定対象外",TRUE,FALSE)</formula>
    </cfRule>
  </conditionalFormatting>
  <conditionalFormatting sqref="CO64">
    <cfRule type="expression" dxfId="3374" priority="3526" stopIfTrue="1">
      <formula>IF(CO64="-",TRUE,FALSE)</formula>
    </cfRule>
    <cfRule type="expression" dxfId="3373" priority="3527" stopIfTrue="1">
      <formula>IF(OR(CO64="OK"),FALSE,TRUE)</formula>
    </cfRule>
  </conditionalFormatting>
  <conditionalFormatting sqref="CN64">
    <cfRule type="expression" dxfId="3372" priority="3525" stopIfTrue="1">
      <formula>IF(CM$8="判定対象外",TRUE,FALSE)</formula>
    </cfRule>
  </conditionalFormatting>
  <conditionalFormatting sqref="CM64">
    <cfRule type="expression" dxfId="3371" priority="3524" stopIfTrue="1">
      <formula>IF(CM$8="判定対象外",TRUE,FALSE)</formula>
    </cfRule>
  </conditionalFormatting>
  <conditionalFormatting sqref="CO65:CO70">
    <cfRule type="expression" dxfId="3370" priority="3522" stopIfTrue="1">
      <formula>IF(CO65="-",TRUE,FALSE)</formula>
    </cfRule>
    <cfRule type="expression" dxfId="3369" priority="3523" stopIfTrue="1">
      <formula>IF(OR(CO65="OK"),FALSE,TRUE)</formula>
    </cfRule>
  </conditionalFormatting>
  <conditionalFormatting sqref="CN65:CN70">
    <cfRule type="expression" dxfId="3368" priority="3521" stopIfTrue="1">
      <formula>IF(CM$8="判定対象外",TRUE,FALSE)</formula>
    </cfRule>
  </conditionalFormatting>
  <conditionalFormatting sqref="CM65:CM70">
    <cfRule type="expression" dxfId="3367" priority="3520" stopIfTrue="1">
      <formula>IF(CM$8="判定対象外",TRUE,FALSE)</formula>
    </cfRule>
  </conditionalFormatting>
  <conditionalFormatting sqref="CS8:CS10">
    <cfRule type="expression" dxfId="3366" priority="3518" stopIfTrue="1">
      <formula>IF(CS8="-",TRUE,FALSE)</formula>
    </cfRule>
    <cfRule type="expression" dxfId="3365" priority="3519" stopIfTrue="1">
      <formula>IF(OR(CS8="OK"),FALSE,TRUE)</formula>
    </cfRule>
  </conditionalFormatting>
  <conditionalFormatting sqref="CP8:CP10">
    <cfRule type="expression" dxfId="3364" priority="3517" stopIfTrue="1">
      <formula>IF(CQ$8="判定対象外",TRUE,FALSE)</formula>
    </cfRule>
  </conditionalFormatting>
  <conditionalFormatting sqref="CQ8:CQ10">
    <cfRule type="expression" dxfId="3363" priority="3516" stopIfTrue="1">
      <formula>IF(CQ$8="判定対象外",TRUE,FALSE)</formula>
    </cfRule>
  </conditionalFormatting>
  <conditionalFormatting sqref="CR8:CR10">
    <cfRule type="expression" dxfId="3362" priority="3515" stopIfTrue="1">
      <formula>IF(CQ$8="判定対象外",TRUE,FALSE)</formula>
    </cfRule>
  </conditionalFormatting>
  <conditionalFormatting sqref="CS11:CS34 CS71:CS81 CS36:CS56">
    <cfRule type="expression" dxfId="3361" priority="3512" stopIfTrue="1">
      <formula>IF(CS11="-",TRUE,FALSE)</formula>
    </cfRule>
    <cfRule type="expression" dxfId="3360" priority="3513" stopIfTrue="1">
      <formula>IF(OR(CS11="OK"),FALSE,TRUE)</formula>
    </cfRule>
  </conditionalFormatting>
  <conditionalFormatting sqref="CR11:CR34 CR71:CR81 CR36:CR56">
    <cfRule type="expression" dxfId="3359" priority="3511" stopIfTrue="1">
      <formula>IF(CQ$8="判定対象外",TRUE,FALSE)</formula>
    </cfRule>
  </conditionalFormatting>
  <conditionalFormatting sqref="CP72:CP81 CP21:CP34 CP36:CP46">
    <cfRule type="expression" dxfId="3358" priority="3510" stopIfTrue="1">
      <formula>IF(CQ$8="判定対象外",TRUE,FALSE)</formula>
    </cfRule>
  </conditionalFormatting>
  <conditionalFormatting sqref="CP29:CP32">
    <cfRule type="expression" dxfId="3357" priority="3509" stopIfTrue="1">
      <formula>IF(CQ$8="判定対象外",TRUE,FALSE)</formula>
    </cfRule>
  </conditionalFormatting>
  <conditionalFormatting sqref="CP42:CP44">
    <cfRule type="expression" dxfId="3356" priority="3508" stopIfTrue="1">
      <formula>IF(CQ$8="判定対象外",TRUE,FALSE)</formula>
    </cfRule>
  </conditionalFormatting>
  <conditionalFormatting sqref="CP46">
    <cfRule type="expression" dxfId="3355" priority="3507" stopIfTrue="1">
      <formula>IF(CQ$8="判定対象外",TRUE,FALSE)</formula>
    </cfRule>
  </conditionalFormatting>
  <conditionalFormatting sqref="CP42:CP44">
    <cfRule type="expression" dxfId="3354" priority="3506" stopIfTrue="1">
      <formula>IF(CQ$8="判定対象外",TRUE,FALSE)</formula>
    </cfRule>
  </conditionalFormatting>
  <conditionalFormatting sqref="CP42:CP44">
    <cfRule type="expression" dxfId="3353" priority="3505" stopIfTrue="1">
      <formula>IF(CQ$8="判定対象外",TRUE,FALSE)</formula>
    </cfRule>
  </conditionalFormatting>
  <conditionalFormatting sqref="CP42:CP44">
    <cfRule type="expression" dxfId="3352" priority="3504" stopIfTrue="1">
      <formula>IF(CQ$8="判定対象外",TRUE,FALSE)</formula>
    </cfRule>
  </conditionalFormatting>
  <conditionalFormatting sqref="CP42:CP44">
    <cfRule type="expression" dxfId="3351" priority="3503" stopIfTrue="1">
      <formula>IF(CQ$8="判定対象外",TRUE,FALSE)</formula>
    </cfRule>
  </conditionalFormatting>
  <conditionalFormatting sqref="CP42:CP44">
    <cfRule type="expression" dxfId="3350" priority="3502" stopIfTrue="1">
      <formula>IF(CQ$8="判定対象外",TRUE,FALSE)</formula>
    </cfRule>
  </conditionalFormatting>
  <conditionalFormatting sqref="CP42:CP44">
    <cfRule type="expression" dxfId="3349" priority="3501" stopIfTrue="1">
      <formula>IF(CQ$8="判定対象外",TRUE,FALSE)</formula>
    </cfRule>
  </conditionalFormatting>
  <conditionalFormatting sqref="CP42:CP44">
    <cfRule type="expression" dxfId="3348" priority="3500" stopIfTrue="1">
      <formula>IF(CQ$8="判定対象外",TRUE,FALSE)</formula>
    </cfRule>
  </conditionalFormatting>
  <conditionalFormatting sqref="CP38">
    <cfRule type="expression" dxfId="3347" priority="3514" stopIfTrue="1">
      <formula>IF(#REF!="判定対象外",TRUE,FALSE)</formula>
    </cfRule>
  </conditionalFormatting>
  <conditionalFormatting sqref="CQ11:CQ34 CQ71:CQ81 CQ36:CQ56">
    <cfRule type="expression" dxfId="3346" priority="3499" stopIfTrue="1">
      <formula>IF(CQ$8="判定対象外",TRUE,FALSE)</formula>
    </cfRule>
  </conditionalFormatting>
  <conditionalFormatting sqref="CP48">
    <cfRule type="expression" dxfId="3345" priority="3498" stopIfTrue="1">
      <formula>IF(CQ$8="判定対象外",TRUE,FALSE)</formula>
    </cfRule>
  </conditionalFormatting>
  <conditionalFormatting sqref="CP51">
    <cfRule type="expression" dxfId="3344" priority="3497" stopIfTrue="1">
      <formula>IF(CQ$8="判定対象外",TRUE,FALSE)</formula>
    </cfRule>
  </conditionalFormatting>
  <conditionalFormatting sqref="CP52 CP55 CP64 CP67 CP70">
    <cfRule type="expression" dxfId="3343" priority="3496" stopIfTrue="1">
      <formula>IF(CQ$8="判定対象外",TRUE,FALSE)</formula>
    </cfRule>
  </conditionalFormatting>
  <conditionalFormatting sqref="CP11:CP20">
    <cfRule type="expression" dxfId="3342" priority="3495" stopIfTrue="1">
      <formula>IF(CQ$8="判定対象外",TRUE,FALSE)</formula>
    </cfRule>
  </conditionalFormatting>
  <conditionalFormatting sqref="CP16:CP18">
    <cfRule type="expression" dxfId="3341" priority="3494" stopIfTrue="1">
      <formula>IF(CQ$8="判定対象外",TRUE,FALSE)</formula>
    </cfRule>
  </conditionalFormatting>
  <conditionalFormatting sqref="CP20">
    <cfRule type="expression" dxfId="3340" priority="3493" stopIfTrue="1">
      <formula>IF(CQ$8="判定対象外",TRUE,FALSE)</formula>
    </cfRule>
  </conditionalFormatting>
  <conditionalFormatting sqref="CP16:CP20">
    <cfRule type="expression" dxfId="3339" priority="3492" stopIfTrue="1">
      <formula>IF(CQ$8="判定対象外",TRUE,FALSE)</formula>
    </cfRule>
  </conditionalFormatting>
  <conditionalFormatting sqref="CP11:CP20">
    <cfRule type="expression" dxfId="3338" priority="3491" stopIfTrue="1">
      <formula>IF(CQ$8="判定対象外",TRUE,FALSE)</formula>
    </cfRule>
  </conditionalFormatting>
  <conditionalFormatting sqref="CP16:CP18">
    <cfRule type="expression" dxfId="3337" priority="3490" stopIfTrue="1">
      <formula>IF(CQ$8="判定対象外",TRUE,FALSE)</formula>
    </cfRule>
  </conditionalFormatting>
  <conditionalFormatting sqref="CP20">
    <cfRule type="expression" dxfId="3336" priority="3489" stopIfTrue="1">
      <formula>IF(CQ$8="判定対象外",TRUE,FALSE)</formula>
    </cfRule>
  </conditionalFormatting>
  <conditionalFormatting sqref="CP16:CP20">
    <cfRule type="expression" dxfId="3335" priority="3488" stopIfTrue="1">
      <formula>IF(CQ$8="判定対象外",TRUE,FALSE)</formula>
    </cfRule>
  </conditionalFormatting>
  <conditionalFormatting sqref="CP11:CP20">
    <cfRule type="expression" dxfId="3334" priority="3487" stopIfTrue="1">
      <formula>IF(CQ$8="判定対象外",TRUE,FALSE)</formula>
    </cfRule>
  </conditionalFormatting>
  <conditionalFormatting sqref="CP16:CP18">
    <cfRule type="expression" dxfId="3333" priority="3486" stopIfTrue="1">
      <formula>IF(CQ$8="判定対象外",TRUE,FALSE)</formula>
    </cfRule>
  </conditionalFormatting>
  <conditionalFormatting sqref="CP20">
    <cfRule type="expression" dxfId="3332" priority="3485" stopIfTrue="1">
      <formula>IF(CQ$8="判定対象外",TRUE,FALSE)</formula>
    </cfRule>
  </conditionalFormatting>
  <conditionalFormatting sqref="CP16:CP20">
    <cfRule type="expression" dxfId="3331" priority="3484" stopIfTrue="1">
      <formula>IF(CQ$8="判定対象外",TRUE,FALSE)</formula>
    </cfRule>
  </conditionalFormatting>
  <conditionalFormatting sqref="CP11:CP13">
    <cfRule type="expression" dxfId="3330" priority="3483" stopIfTrue="1">
      <formula>IF(CQ$8="判定対象外",TRUE,FALSE)</formula>
    </cfRule>
  </conditionalFormatting>
  <conditionalFormatting sqref="CP15">
    <cfRule type="expression" dxfId="3329" priority="3482" stopIfTrue="1">
      <formula>IF(CQ$8="判定対象外",TRUE,FALSE)</formula>
    </cfRule>
  </conditionalFormatting>
  <conditionalFormatting sqref="CP19">
    <cfRule type="expression" dxfId="3328" priority="3481" stopIfTrue="1">
      <formula>IF(CQ$8="判定対象外",TRUE,FALSE)</formula>
    </cfRule>
  </conditionalFormatting>
  <conditionalFormatting sqref="CP19">
    <cfRule type="expression" dxfId="3327" priority="3480" stopIfTrue="1">
      <formula>IF(CQ$8="判定対象外",TRUE,FALSE)</formula>
    </cfRule>
  </conditionalFormatting>
  <conditionalFormatting sqref="CP20">
    <cfRule type="expression" dxfId="3326" priority="3479" stopIfTrue="1">
      <formula>IF(CQ$8="判定対象外",TRUE,FALSE)</formula>
    </cfRule>
  </conditionalFormatting>
  <conditionalFormatting sqref="CP20">
    <cfRule type="expression" dxfId="3325" priority="3478" stopIfTrue="1">
      <formula>IF(CQ$8="判定対象外",TRUE,FALSE)</formula>
    </cfRule>
  </conditionalFormatting>
  <conditionalFormatting sqref="CP20">
    <cfRule type="expression" dxfId="3324" priority="3477" stopIfTrue="1">
      <formula>IF(CQ$8="判定対象外",TRUE,FALSE)</formula>
    </cfRule>
  </conditionalFormatting>
  <conditionalFormatting sqref="CP13">
    <cfRule type="expression" dxfId="3323" priority="3476" stopIfTrue="1">
      <formula>IF(CQ$8="判定対象外",TRUE,FALSE)</formula>
    </cfRule>
  </conditionalFormatting>
  <conditionalFormatting sqref="CP47">
    <cfRule type="expression" dxfId="3322" priority="3475" stopIfTrue="1">
      <formula>IF(CQ$8="判定対象外",TRUE,FALSE)</formula>
    </cfRule>
  </conditionalFormatting>
  <conditionalFormatting sqref="CP47">
    <cfRule type="expression" dxfId="3321" priority="3474" stopIfTrue="1">
      <formula>IF(CQ$8="判定対象外",TRUE,FALSE)</formula>
    </cfRule>
  </conditionalFormatting>
  <conditionalFormatting sqref="CP49">
    <cfRule type="expression" dxfId="3320" priority="3473" stopIfTrue="1">
      <formula>IF(CQ$8="判定対象外",TRUE,FALSE)</formula>
    </cfRule>
  </conditionalFormatting>
  <conditionalFormatting sqref="CP49">
    <cfRule type="expression" dxfId="3319" priority="3472" stopIfTrue="1">
      <formula>IF(CQ$8="判定対象外",TRUE,FALSE)</formula>
    </cfRule>
  </conditionalFormatting>
  <conditionalFormatting sqref="CP50">
    <cfRule type="expression" dxfId="3318" priority="3471" stopIfTrue="1">
      <formula>IF(CQ$8="判定対象外",TRUE,FALSE)</formula>
    </cfRule>
  </conditionalFormatting>
  <conditionalFormatting sqref="CP50">
    <cfRule type="expression" dxfId="3317" priority="3470" stopIfTrue="1">
      <formula>IF(CQ$8="判定対象外",TRUE,FALSE)</formula>
    </cfRule>
  </conditionalFormatting>
  <conditionalFormatting sqref="CP53 CP56 CP65 CP68 CP71">
    <cfRule type="expression" dxfId="3316" priority="3469" stopIfTrue="1">
      <formula>IF(CQ$8="判定対象外",TRUE,FALSE)</formula>
    </cfRule>
  </conditionalFormatting>
  <conditionalFormatting sqref="CP54 CP57 CP66 CP69">
    <cfRule type="expression" dxfId="3315" priority="3468" stopIfTrue="1">
      <formula>IF(CQ$8="判定対象外",TRUE,FALSE)</formula>
    </cfRule>
  </conditionalFormatting>
  <conditionalFormatting sqref="CS57">
    <cfRule type="expression" dxfId="3314" priority="3466" stopIfTrue="1">
      <formula>IF(CS57="-",TRUE,FALSE)</formula>
    </cfRule>
    <cfRule type="expression" dxfId="3313" priority="3467" stopIfTrue="1">
      <formula>IF(OR(CS57="OK"),FALSE,TRUE)</formula>
    </cfRule>
  </conditionalFormatting>
  <conditionalFormatting sqref="CR57">
    <cfRule type="expression" dxfId="3312" priority="3465" stopIfTrue="1">
      <formula>IF(CQ$8="判定対象外",TRUE,FALSE)</formula>
    </cfRule>
  </conditionalFormatting>
  <conditionalFormatting sqref="CQ57">
    <cfRule type="expression" dxfId="3311" priority="3464" stopIfTrue="1">
      <formula>IF(CQ$8="判定対象外",TRUE,FALSE)</formula>
    </cfRule>
  </conditionalFormatting>
  <conditionalFormatting sqref="CS64">
    <cfRule type="expression" dxfId="3310" priority="3462" stopIfTrue="1">
      <formula>IF(CS64="-",TRUE,FALSE)</formula>
    </cfRule>
    <cfRule type="expression" dxfId="3309" priority="3463" stopIfTrue="1">
      <formula>IF(OR(CS64="OK"),FALSE,TRUE)</formula>
    </cfRule>
  </conditionalFormatting>
  <conditionalFormatting sqref="CR64">
    <cfRule type="expression" dxfId="3308" priority="3461" stopIfTrue="1">
      <formula>IF(CQ$8="判定対象外",TRUE,FALSE)</formula>
    </cfRule>
  </conditionalFormatting>
  <conditionalFormatting sqref="CQ64">
    <cfRule type="expression" dxfId="3307" priority="3460" stopIfTrue="1">
      <formula>IF(CQ$8="判定対象外",TRUE,FALSE)</formula>
    </cfRule>
  </conditionalFormatting>
  <conditionalFormatting sqref="CS65:CS70">
    <cfRule type="expression" dxfId="3306" priority="3458" stopIfTrue="1">
      <formula>IF(CS65="-",TRUE,FALSE)</formula>
    </cfRule>
    <cfRule type="expression" dxfId="3305" priority="3459" stopIfTrue="1">
      <formula>IF(OR(CS65="OK"),FALSE,TRUE)</formula>
    </cfRule>
  </conditionalFormatting>
  <conditionalFormatting sqref="CR65:CR70">
    <cfRule type="expression" dxfId="3304" priority="3457" stopIfTrue="1">
      <formula>IF(CQ$8="判定対象外",TRUE,FALSE)</formula>
    </cfRule>
  </conditionalFormatting>
  <conditionalFormatting sqref="CQ65:CQ70">
    <cfRule type="expression" dxfId="3303" priority="3456" stopIfTrue="1">
      <formula>IF(CQ$8="判定対象外",TRUE,FALSE)</formula>
    </cfRule>
  </conditionalFormatting>
  <conditionalFormatting sqref="CT29:CT32">
    <cfRule type="expression" dxfId="3302" priority="3445" stopIfTrue="1">
      <formula>IF(CU$8="判定対象外",TRUE,FALSE)</formula>
    </cfRule>
  </conditionalFormatting>
  <conditionalFormatting sqref="CW8:CW10">
    <cfRule type="expression" dxfId="3301" priority="3454" stopIfTrue="1">
      <formula>IF(CW8="-",TRUE,FALSE)</formula>
    </cfRule>
    <cfRule type="expression" dxfId="3300" priority="3455" stopIfTrue="1">
      <formula>IF(OR(CW8="OK"),FALSE,TRUE)</formula>
    </cfRule>
  </conditionalFormatting>
  <conditionalFormatting sqref="CT8:CT10">
    <cfRule type="expression" dxfId="3299" priority="3453" stopIfTrue="1">
      <formula>IF(CU$8="判定対象外",TRUE,FALSE)</formula>
    </cfRule>
  </conditionalFormatting>
  <conditionalFormatting sqref="CU8:CU10">
    <cfRule type="expression" dxfId="3298" priority="3452" stopIfTrue="1">
      <formula>IF(CU$8="判定対象外",TRUE,FALSE)</formula>
    </cfRule>
  </conditionalFormatting>
  <conditionalFormatting sqref="CV8:CV10">
    <cfRule type="expression" dxfId="3297" priority="3451" stopIfTrue="1">
      <formula>IF(CU$8="判定対象外",TRUE,FALSE)</formula>
    </cfRule>
  </conditionalFormatting>
  <conditionalFormatting sqref="CW11:CW34 CW71:CW81 CW36:CW56">
    <cfRule type="expression" dxfId="3296" priority="3448" stopIfTrue="1">
      <formula>IF(CW11="-",TRUE,FALSE)</formula>
    </cfRule>
    <cfRule type="expression" dxfId="3295" priority="3449" stopIfTrue="1">
      <formula>IF(OR(CW11="OK"),FALSE,TRUE)</formula>
    </cfRule>
  </conditionalFormatting>
  <conditionalFormatting sqref="CV11:CV34 CV71:CV81 CV36:CV56">
    <cfRule type="expression" dxfId="3294" priority="3447" stopIfTrue="1">
      <formula>IF(CU$8="判定対象外",TRUE,FALSE)</formula>
    </cfRule>
  </conditionalFormatting>
  <conditionalFormatting sqref="CT72:CT81 CT21:CT34 CT36:CT46">
    <cfRule type="expression" dxfId="3293" priority="3446" stopIfTrue="1">
      <formula>IF(CU$8="判定対象外",TRUE,FALSE)</formula>
    </cfRule>
  </conditionalFormatting>
  <conditionalFormatting sqref="CT42:CT44">
    <cfRule type="expression" dxfId="3292" priority="3444" stopIfTrue="1">
      <formula>IF(CU$8="判定対象外",TRUE,FALSE)</formula>
    </cfRule>
  </conditionalFormatting>
  <conditionalFormatting sqref="CT46">
    <cfRule type="expression" dxfId="3291" priority="3443" stopIfTrue="1">
      <formula>IF(CU$8="判定対象外",TRUE,FALSE)</formula>
    </cfRule>
  </conditionalFormatting>
  <conditionalFormatting sqref="CT42:CT44">
    <cfRule type="expression" dxfId="3290" priority="3442" stopIfTrue="1">
      <formula>IF(CU$8="判定対象外",TRUE,FALSE)</formula>
    </cfRule>
  </conditionalFormatting>
  <conditionalFormatting sqref="CT42:CT44">
    <cfRule type="expression" dxfId="3289" priority="3441" stopIfTrue="1">
      <formula>IF(CU$8="判定対象外",TRUE,FALSE)</formula>
    </cfRule>
  </conditionalFormatting>
  <conditionalFormatting sqref="CT42:CT44">
    <cfRule type="expression" dxfId="3288" priority="3440" stopIfTrue="1">
      <formula>IF(CU$8="判定対象外",TRUE,FALSE)</formula>
    </cfRule>
  </conditionalFormatting>
  <conditionalFormatting sqref="CT42:CT44">
    <cfRule type="expression" dxfId="3287" priority="3439" stopIfTrue="1">
      <formula>IF(CU$8="判定対象外",TRUE,FALSE)</formula>
    </cfRule>
  </conditionalFormatting>
  <conditionalFormatting sqref="CT42:CT44">
    <cfRule type="expression" dxfId="3286" priority="3438" stopIfTrue="1">
      <formula>IF(CU$8="判定対象外",TRUE,FALSE)</formula>
    </cfRule>
  </conditionalFormatting>
  <conditionalFormatting sqref="CT42:CT44">
    <cfRule type="expression" dxfId="3285" priority="3437" stopIfTrue="1">
      <formula>IF(CU$8="判定対象外",TRUE,FALSE)</formula>
    </cfRule>
  </conditionalFormatting>
  <conditionalFormatting sqref="CT42:CT44">
    <cfRule type="expression" dxfId="3284" priority="3436" stopIfTrue="1">
      <formula>IF(CU$8="判定対象外",TRUE,FALSE)</formula>
    </cfRule>
  </conditionalFormatting>
  <conditionalFormatting sqref="CT38">
    <cfRule type="expression" dxfId="3283" priority="3450" stopIfTrue="1">
      <formula>IF(#REF!="判定対象外",TRUE,FALSE)</formula>
    </cfRule>
  </conditionalFormatting>
  <conditionalFormatting sqref="CU11:CU34 CU71:CU81 CU36:CU56">
    <cfRule type="expression" dxfId="3282" priority="3435" stopIfTrue="1">
      <formula>IF(CU$8="判定対象外",TRUE,FALSE)</formula>
    </cfRule>
  </conditionalFormatting>
  <conditionalFormatting sqref="CT48">
    <cfRule type="expression" dxfId="3281" priority="3434" stopIfTrue="1">
      <formula>IF(CU$8="判定対象外",TRUE,FALSE)</formula>
    </cfRule>
  </conditionalFormatting>
  <conditionalFormatting sqref="CT51">
    <cfRule type="expression" dxfId="3280" priority="3433" stopIfTrue="1">
      <formula>IF(CU$8="判定対象外",TRUE,FALSE)</formula>
    </cfRule>
  </conditionalFormatting>
  <conditionalFormatting sqref="CT52 CT55 CT64 CT67 CT70">
    <cfRule type="expression" dxfId="3279" priority="3432" stopIfTrue="1">
      <formula>IF(CU$8="判定対象外",TRUE,FALSE)</formula>
    </cfRule>
  </conditionalFormatting>
  <conditionalFormatting sqref="CT11:CT20">
    <cfRule type="expression" dxfId="3278" priority="3431" stopIfTrue="1">
      <formula>IF(CU$8="判定対象外",TRUE,FALSE)</formula>
    </cfRule>
  </conditionalFormatting>
  <conditionalFormatting sqref="CT16:CT18">
    <cfRule type="expression" dxfId="3277" priority="3430" stopIfTrue="1">
      <formula>IF(CU$8="判定対象外",TRUE,FALSE)</formula>
    </cfRule>
  </conditionalFormatting>
  <conditionalFormatting sqref="CT20">
    <cfRule type="expression" dxfId="3276" priority="3429" stopIfTrue="1">
      <formula>IF(CU$8="判定対象外",TRUE,FALSE)</formula>
    </cfRule>
  </conditionalFormatting>
  <conditionalFormatting sqref="CT16:CT20">
    <cfRule type="expression" dxfId="3275" priority="3428" stopIfTrue="1">
      <formula>IF(CU$8="判定対象外",TRUE,FALSE)</formula>
    </cfRule>
  </conditionalFormatting>
  <conditionalFormatting sqref="CT11:CT20">
    <cfRule type="expression" dxfId="3274" priority="3427" stopIfTrue="1">
      <formula>IF(CU$8="判定対象外",TRUE,FALSE)</formula>
    </cfRule>
  </conditionalFormatting>
  <conditionalFormatting sqref="CT20">
    <cfRule type="expression" dxfId="3273" priority="3425" stopIfTrue="1">
      <formula>IF(CU$8="判定対象外",TRUE,FALSE)</formula>
    </cfRule>
  </conditionalFormatting>
  <conditionalFormatting sqref="CT16:CT20">
    <cfRule type="expression" dxfId="3272" priority="3424" stopIfTrue="1">
      <formula>IF(CU$8="判定対象外",TRUE,FALSE)</formula>
    </cfRule>
  </conditionalFormatting>
  <conditionalFormatting sqref="CT11:CT20">
    <cfRule type="expression" dxfId="3271" priority="3423" stopIfTrue="1">
      <formula>IF(CU$8="判定対象外",TRUE,FALSE)</formula>
    </cfRule>
  </conditionalFormatting>
  <conditionalFormatting sqref="CT16:CT18">
    <cfRule type="expression" dxfId="3270" priority="3422" stopIfTrue="1">
      <formula>IF(CU$8="判定対象外",TRUE,FALSE)</formula>
    </cfRule>
  </conditionalFormatting>
  <conditionalFormatting sqref="CT20">
    <cfRule type="expression" dxfId="3269" priority="3421" stopIfTrue="1">
      <formula>IF(CU$8="判定対象外",TRUE,FALSE)</formula>
    </cfRule>
  </conditionalFormatting>
  <conditionalFormatting sqref="CT16:CT20">
    <cfRule type="expression" dxfId="3268" priority="3420" stopIfTrue="1">
      <formula>IF(CU$8="判定対象外",TRUE,FALSE)</formula>
    </cfRule>
  </conditionalFormatting>
  <conditionalFormatting sqref="CT11:CT13">
    <cfRule type="expression" dxfId="3267" priority="3419" stopIfTrue="1">
      <formula>IF(CU$8="判定対象外",TRUE,FALSE)</formula>
    </cfRule>
  </conditionalFormatting>
  <conditionalFormatting sqref="CT15">
    <cfRule type="expression" dxfId="3266" priority="3418" stopIfTrue="1">
      <formula>IF(CU$8="判定対象外",TRUE,FALSE)</formula>
    </cfRule>
  </conditionalFormatting>
  <conditionalFormatting sqref="CT19">
    <cfRule type="expression" dxfId="3265" priority="3417" stopIfTrue="1">
      <formula>IF(CU$8="判定対象外",TRUE,FALSE)</formula>
    </cfRule>
  </conditionalFormatting>
  <conditionalFormatting sqref="CT20">
    <cfRule type="expression" dxfId="3264" priority="3415" stopIfTrue="1">
      <formula>IF(CU$8="判定対象外",TRUE,FALSE)</formula>
    </cfRule>
  </conditionalFormatting>
  <conditionalFormatting sqref="CT20">
    <cfRule type="expression" dxfId="3263" priority="3414" stopIfTrue="1">
      <formula>IF(CU$8="判定対象外",TRUE,FALSE)</formula>
    </cfRule>
  </conditionalFormatting>
  <conditionalFormatting sqref="CT20">
    <cfRule type="expression" dxfId="3262" priority="3413" stopIfTrue="1">
      <formula>IF(CU$8="判定対象外",TRUE,FALSE)</formula>
    </cfRule>
  </conditionalFormatting>
  <conditionalFormatting sqref="CT13">
    <cfRule type="expression" dxfId="3261" priority="3412" stopIfTrue="1">
      <formula>IF(CU$8="判定対象外",TRUE,FALSE)</formula>
    </cfRule>
  </conditionalFormatting>
  <conditionalFormatting sqref="CT47">
    <cfRule type="expression" dxfId="3260" priority="3411" stopIfTrue="1">
      <formula>IF(CU$8="判定対象外",TRUE,FALSE)</formula>
    </cfRule>
  </conditionalFormatting>
  <conditionalFormatting sqref="CT47">
    <cfRule type="expression" dxfId="3259" priority="3410" stopIfTrue="1">
      <formula>IF(CU$8="判定対象外",TRUE,FALSE)</formula>
    </cfRule>
  </conditionalFormatting>
  <conditionalFormatting sqref="CT49">
    <cfRule type="expression" dxfId="3258" priority="3409" stopIfTrue="1">
      <formula>IF(CU$8="判定対象外",TRUE,FALSE)</formula>
    </cfRule>
  </conditionalFormatting>
  <conditionalFormatting sqref="CT49">
    <cfRule type="expression" dxfId="3257" priority="3408" stopIfTrue="1">
      <formula>IF(CU$8="判定対象外",TRUE,FALSE)</formula>
    </cfRule>
  </conditionalFormatting>
  <conditionalFormatting sqref="CT50">
    <cfRule type="expression" dxfId="3256" priority="3407" stopIfTrue="1">
      <formula>IF(CU$8="判定対象外",TRUE,FALSE)</formula>
    </cfRule>
  </conditionalFormatting>
  <conditionalFormatting sqref="CT50">
    <cfRule type="expression" dxfId="3255" priority="3406" stopIfTrue="1">
      <formula>IF(CU$8="判定対象外",TRUE,FALSE)</formula>
    </cfRule>
  </conditionalFormatting>
  <conditionalFormatting sqref="CT54 CT57 CT66 CT69">
    <cfRule type="expression" dxfId="3254" priority="3404" stopIfTrue="1">
      <formula>IF(CU$8="判定対象外",TRUE,FALSE)</formula>
    </cfRule>
  </conditionalFormatting>
  <conditionalFormatting sqref="CW57">
    <cfRule type="expression" dxfId="3253" priority="3402" stopIfTrue="1">
      <formula>IF(CW57="-",TRUE,FALSE)</formula>
    </cfRule>
    <cfRule type="expression" dxfId="3252" priority="3403" stopIfTrue="1">
      <formula>IF(OR(CW57="OK"),FALSE,TRUE)</formula>
    </cfRule>
  </conditionalFormatting>
  <conditionalFormatting sqref="CV57">
    <cfRule type="expression" dxfId="3251" priority="3401" stopIfTrue="1">
      <formula>IF(CU$8="判定対象外",TRUE,FALSE)</formula>
    </cfRule>
  </conditionalFormatting>
  <conditionalFormatting sqref="CU57">
    <cfRule type="expression" dxfId="3250" priority="3400" stopIfTrue="1">
      <formula>IF(CU$8="判定対象外",TRUE,FALSE)</formula>
    </cfRule>
  </conditionalFormatting>
  <conditionalFormatting sqref="CW58:CW64">
    <cfRule type="expression" dxfId="3249" priority="3398" stopIfTrue="1">
      <formula>IF(CW58="-",TRUE,FALSE)</formula>
    </cfRule>
    <cfRule type="expression" dxfId="3248" priority="3399" stopIfTrue="1">
      <formula>IF(OR(CW58="OK"),FALSE,TRUE)</formula>
    </cfRule>
  </conditionalFormatting>
  <conditionalFormatting sqref="CV58:CV64">
    <cfRule type="expression" dxfId="3247" priority="3397" stopIfTrue="1">
      <formula>IF(CU$8="判定対象外",TRUE,FALSE)</formula>
    </cfRule>
  </conditionalFormatting>
  <conditionalFormatting sqref="CU58:CU64">
    <cfRule type="expression" dxfId="3246" priority="3396" stopIfTrue="1">
      <formula>IF(CU$8="判定対象外",TRUE,FALSE)</formula>
    </cfRule>
  </conditionalFormatting>
  <conditionalFormatting sqref="CW65:CW70">
    <cfRule type="expression" dxfId="3245" priority="3394" stopIfTrue="1">
      <formula>IF(CW65="-",TRUE,FALSE)</formula>
    </cfRule>
    <cfRule type="expression" dxfId="3244" priority="3395" stopIfTrue="1">
      <formula>IF(OR(CW65="OK"),FALSE,TRUE)</formula>
    </cfRule>
  </conditionalFormatting>
  <conditionalFormatting sqref="CV65:CV70">
    <cfRule type="expression" dxfId="3243" priority="3393" stopIfTrue="1">
      <formula>IF(CU$8="判定対象外",TRUE,FALSE)</formula>
    </cfRule>
  </conditionalFormatting>
  <conditionalFormatting sqref="CU65:CU70">
    <cfRule type="expression" dxfId="3242" priority="3392" stopIfTrue="1">
      <formula>IF(CU$8="判定対象外",TRUE,FALSE)</formula>
    </cfRule>
  </conditionalFormatting>
  <conditionalFormatting sqref="CT58">
    <cfRule type="expression" dxfId="3241" priority="3381" stopIfTrue="1">
      <formula>IF(CU$8="判定対象外",TRUE,FALSE)</formula>
    </cfRule>
  </conditionalFormatting>
  <conditionalFormatting sqref="CL58">
    <cfRule type="expression" dxfId="3240" priority="3391" stopIfTrue="1">
      <formula>IF(CM$8="判定対象外",TRUE,FALSE)</formula>
    </cfRule>
  </conditionalFormatting>
  <conditionalFormatting sqref="CO58">
    <cfRule type="expression" dxfId="3239" priority="3389" stopIfTrue="1">
      <formula>IF(CO58="-",TRUE,FALSE)</formula>
    </cfRule>
    <cfRule type="expression" dxfId="3238" priority="3390" stopIfTrue="1">
      <formula>IF(OR(CO58="OK"),FALSE,TRUE)</formula>
    </cfRule>
  </conditionalFormatting>
  <conditionalFormatting sqref="CN58">
    <cfRule type="expression" dxfId="3237" priority="3388" stopIfTrue="1">
      <formula>IF(CM$8="判定対象外",TRUE,FALSE)</formula>
    </cfRule>
  </conditionalFormatting>
  <conditionalFormatting sqref="CM58">
    <cfRule type="expression" dxfId="3236" priority="3387" stopIfTrue="1">
      <formula>IF(CM$8="判定対象外",TRUE,FALSE)</formula>
    </cfRule>
  </conditionalFormatting>
  <conditionalFormatting sqref="CP58">
    <cfRule type="expression" dxfId="3235" priority="3386" stopIfTrue="1">
      <formula>IF(CQ$8="判定対象外",TRUE,FALSE)</formula>
    </cfRule>
  </conditionalFormatting>
  <conditionalFormatting sqref="CS58">
    <cfRule type="expression" dxfId="3234" priority="3384" stopIfTrue="1">
      <formula>IF(CS58="-",TRUE,FALSE)</formula>
    </cfRule>
    <cfRule type="expression" dxfId="3233" priority="3385" stopIfTrue="1">
      <formula>IF(OR(CS58="OK"),FALSE,TRUE)</formula>
    </cfRule>
  </conditionalFormatting>
  <conditionalFormatting sqref="CR58">
    <cfRule type="expression" dxfId="3232" priority="3383" stopIfTrue="1">
      <formula>IF(CQ$8="判定対象外",TRUE,FALSE)</formula>
    </cfRule>
  </conditionalFormatting>
  <conditionalFormatting sqref="CQ58">
    <cfRule type="expression" dxfId="3231" priority="3382" stopIfTrue="1">
      <formula>IF(CQ$8="判定対象外",TRUE,FALSE)</formula>
    </cfRule>
  </conditionalFormatting>
  <conditionalFormatting sqref="CP59">
    <cfRule type="expression" dxfId="3230" priority="3375" stopIfTrue="1">
      <formula>IF(CQ$8="判定対象外",TRUE,FALSE)</formula>
    </cfRule>
  </conditionalFormatting>
  <conditionalFormatting sqref="CS59">
    <cfRule type="expression" dxfId="3229" priority="3373" stopIfTrue="1">
      <formula>IF(CS59="-",TRUE,FALSE)</formula>
    </cfRule>
    <cfRule type="expression" dxfId="3228" priority="3374" stopIfTrue="1">
      <formula>IF(OR(CS59="OK"),FALSE,TRUE)</formula>
    </cfRule>
  </conditionalFormatting>
  <conditionalFormatting sqref="CR59">
    <cfRule type="expression" dxfId="3227" priority="3372" stopIfTrue="1">
      <formula>IF(CQ$8="判定対象外",TRUE,FALSE)</formula>
    </cfRule>
  </conditionalFormatting>
  <conditionalFormatting sqref="CQ59">
    <cfRule type="expression" dxfId="3226" priority="3371" stopIfTrue="1">
      <formula>IF(CQ$8="判定対象外",TRUE,FALSE)</formula>
    </cfRule>
  </conditionalFormatting>
  <conditionalFormatting sqref="CP60">
    <cfRule type="expression" dxfId="3225" priority="3364" stopIfTrue="1">
      <formula>IF(CQ$8="判定対象外",TRUE,FALSE)</formula>
    </cfRule>
  </conditionalFormatting>
  <conditionalFormatting sqref="CS60">
    <cfRule type="expression" dxfId="3224" priority="3362" stopIfTrue="1">
      <formula>IF(CS60="-",TRUE,FALSE)</formula>
    </cfRule>
    <cfRule type="expression" dxfId="3223" priority="3363" stopIfTrue="1">
      <formula>IF(OR(CS60="OK"),FALSE,TRUE)</formula>
    </cfRule>
  </conditionalFormatting>
  <conditionalFormatting sqref="CR60">
    <cfRule type="expression" dxfId="3222" priority="3361" stopIfTrue="1">
      <formula>IF(CQ$8="判定対象外",TRUE,FALSE)</formula>
    </cfRule>
  </conditionalFormatting>
  <conditionalFormatting sqref="CQ60">
    <cfRule type="expression" dxfId="3221" priority="3360" stopIfTrue="1">
      <formula>IF(CQ$8="判定対象外",TRUE,FALSE)</formula>
    </cfRule>
  </conditionalFormatting>
  <conditionalFormatting sqref="DV64">
    <cfRule type="expression" dxfId="3220" priority="2490" stopIfTrue="1">
      <formula>IF(DW$8="判定対象外",TRUE,FALSE)</formula>
    </cfRule>
  </conditionalFormatting>
  <conditionalFormatting sqref="DY64">
    <cfRule type="expression" dxfId="3219" priority="2488" stopIfTrue="1">
      <formula>IF(DY64="-",TRUE,FALSE)</formula>
    </cfRule>
    <cfRule type="expression" dxfId="3218" priority="2489" stopIfTrue="1">
      <formula>IF(OR(DY64="OK"),FALSE,TRUE)</formula>
    </cfRule>
  </conditionalFormatting>
  <conditionalFormatting sqref="DX64">
    <cfRule type="expression" dxfId="3217" priority="2487" stopIfTrue="1">
      <formula>IF(DW$8="判定対象外",TRUE,FALSE)</formula>
    </cfRule>
  </conditionalFormatting>
  <conditionalFormatting sqref="DW64">
    <cfRule type="expression" dxfId="3216" priority="2486" stopIfTrue="1">
      <formula>IF(DW$8="判定対象外",TRUE,FALSE)</formula>
    </cfRule>
  </conditionalFormatting>
  <conditionalFormatting sqref="EH65">
    <cfRule type="expression" dxfId="3215" priority="2185" stopIfTrue="1">
      <formula>IF(EI$8="判定対象外",TRUE,FALSE)</formula>
    </cfRule>
  </conditionalFormatting>
  <conditionalFormatting sqref="EK65">
    <cfRule type="expression" dxfId="3214" priority="2183" stopIfTrue="1">
      <formula>IF(EK65="-",TRUE,FALSE)</formula>
    </cfRule>
    <cfRule type="expression" dxfId="3213" priority="2184" stopIfTrue="1">
      <formula>IF(OR(EK65="OK"),FALSE,TRUE)</formula>
    </cfRule>
  </conditionalFormatting>
  <conditionalFormatting sqref="EJ65">
    <cfRule type="expression" dxfId="3212" priority="2182" stopIfTrue="1">
      <formula>IF(EI$8="判定対象外",TRUE,FALSE)</formula>
    </cfRule>
  </conditionalFormatting>
  <conditionalFormatting sqref="EI65">
    <cfRule type="expression" dxfId="3211" priority="2181" stopIfTrue="1">
      <formula>IF(EI$8="判定対象外",TRUE,FALSE)</formula>
    </cfRule>
  </conditionalFormatting>
  <conditionalFormatting sqref="CP61">
    <cfRule type="expression" dxfId="3210" priority="3342" stopIfTrue="1">
      <formula>IF(CQ$8="判定対象外",TRUE,FALSE)</formula>
    </cfRule>
  </conditionalFormatting>
  <conditionalFormatting sqref="CS61">
    <cfRule type="expression" dxfId="3209" priority="3340" stopIfTrue="1">
      <formula>IF(CS61="-",TRUE,FALSE)</formula>
    </cfRule>
    <cfRule type="expression" dxfId="3208" priority="3341" stopIfTrue="1">
      <formula>IF(OR(CS61="OK"),FALSE,TRUE)</formula>
    </cfRule>
  </conditionalFormatting>
  <conditionalFormatting sqref="CR61">
    <cfRule type="expression" dxfId="3207" priority="3339" stopIfTrue="1">
      <formula>IF(CQ$8="判定対象外",TRUE,FALSE)</formula>
    </cfRule>
  </conditionalFormatting>
  <conditionalFormatting sqref="CQ61">
    <cfRule type="expression" dxfId="3206" priority="3338" stopIfTrue="1">
      <formula>IF(CQ$8="判定対象外",TRUE,FALSE)</formula>
    </cfRule>
  </conditionalFormatting>
  <conditionalFormatting sqref="FB66">
    <cfRule type="expression" dxfId="3205" priority="1859" stopIfTrue="1">
      <formula>IF(FC$8="判定対象外",TRUE,FALSE)</formula>
    </cfRule>
  </conditionalFormatting>
  <conditionalFormatting sqref="DF64">
    <cfRule type="expression" dxfId="3204" priority="3046" stopIfTrue="1">
      <formula>IF(DG$8="判定対象外",TRUE,FALSE)</formula>
    </cfRule>
  </conditionalFormatting>
  <conditionalFormatting sqref="CL63">
    <cfRule type="expression" dxfId="3203" priority="3336" stopIfTrue="1">
      <formula>IF(CM$8="判定対象外",TRUE,FALSE)</formula>
    </cfRule>
  </conditionalFormatting>
  <conditionalFormatting sqref="CO63">
    <cfRule type="expression" dxfId="3202" priority="3334" stopIfTrue="1">
      <formula>IF(CO63="-",TRUE,FALSE)</formula>
    </cfRule>
    <cfRule type="expression" dxfId="3201" priority="3335" stopIfTrue="1">
      <formula>IF(OR(CO63="OK"),FALSE,TRUE)</formula>
    </cfRule>
  </conditionalFormatting>
  <conditionalFormatting sqref="CN63">
    <cfRule type="expression" dxfId="3200" priority="3333" stopIfTrue="1">
      <formula>IF(CM$8="判定対象外",TRUE,FALSE)</formula>
    </cfRule>
  </conditionalFormatting>
  <conditionalFormatting sqref="CM63">
    <cfRule type="expression" dxfId="3199" priority="3332" stopIfTrue="1">
      <formula>IF(CM$8="判定対象外",TRUE,FALSE)</formula>
    </cfRule>
  </conditionalFormatting>
  <conditionalFormatting sqref="CS63">
    <cfRule type="expression" dxfId="3198" priority="3330" stopIfTrue="1">
      <formula>IF(CS63="-",TRUE,FALSE)</formula>
    </cfRule>
    <cfRule type="expression" dxfId="3197" priority="3331" stopIfTrue="1">
      <formula>IF(OR(CS63="OK"),FALSE,TRUE)</formula>
    </cfRule>
  </conditionalFormatting>
  <conditionalFormatting sqref="CR63">
    <cfRule type="expression" dxfId="3196" priority="3329" stopIfTrue="1">
      <formula>IF(CQ$8="判定対象外",TRUE,FALSE)</formula>
    </cfRule>
  </conditionalFormatting>
  <conditionalFormatting sqref="CQ63">
    <cfRule type="expression" dxfId="3195" priority="3328" stopIfTrue="1">
      <formula>IF(CQ$8="判定対象外",TRUE,FALSE)</formula>
    </cfRule>
  </conditionalFormatting>
  <conditionalFormatting sqref="CL62">
    <cfRule type="expression" dxfId="3194" priority="3325" stopIfTrue="1">
      <formula>IF(CM$8="判定対象外",TRUE,FALSE)</formula>
    </cfRule>
  </conditionalFormatting>
  <conditionalFormatting sqref="CO62">
    <cfRule type="expression" dxfId="3193" priority="3323" stopIfTrue="1">
      <formula>IF(CO62="-",TRUE,FALSE)</formula>
    </cfRule>
    <cfRule type="expression" dxfId="3192" priority="3324" stopIfTrue="1">
      <formula>IF(OR(CO62="OK"),FALSE,TRUE)</formula>
    </cfRule>
  </conditionalFormatting>
  <conditionalFormatting sqref="CN62">
    <cfRule type="expression" dxfId="3191" priority="3322" stopIfTrue="1">
      <formula>IF(CM$8="判定対象外",TRUE,FALSE)</formula>
    </cfRule>
  </conditionalFormatting>
  <conditionalFormatting sqref="CM62">
    <cfRule type="expression" dxfId="3190" priority="3321" stopIfTrue="1">
      <formula>IF(CM$8="判定対象外",TRUE,FALSE)</formula>
    </cfRule>
  </conditionalFormatting>
  <conditionalFormatting sqref="CP62">
    <cfRule type="expression" dxfId="3189" priority="3320" stopIfTrue="1">
      <formula>IF(CQ$8="判定対象外",TRUE,FALSE)</formula>
    </cfRule>
  </conditionalFormatting>
  <conditionalFormatting sqref="CS62">
    <cfRule type="expression" dxfId="3188" priority="3318" stopIfTrue="1">
      <formula>IF(CS62="-",TRUE,FALSE)</formula>
    </cfRule>
    <cfRule type="expression" dxfId="3187" priority="3319" stopIfTrue="1">
      <formula>IF(OR(CS62="OK"),FALSE,TRUE)</formula>
    </cfRule>
  </conditionalFormatting>
  <conditionalFormatting sqref="CR62">
    <cfRule type="expression" dxfId="3186" priority="3317" stopIfTrue="1">
      <formula>IF(CQ$8="判定対象外",TRUE,FALSE)</formula>
    </cfRule>
  </conditionalFormatting>
  <conditionalFormatting sqref="CQ62">
    <cfRule type="expression" dxfId="3185" priority="3316" stopIfTrue="1">
      <formula>IF(CQ$8="判定対象外",TRUE,FALSE)</formula>
    </cfRule>
  </conditionalFormatting>
  <conditionalFormatting sqref="CT62">
    <cfRule type="expression" dxfId="3184" priority="3315" stopIfTrue="1">
      <formula>IF(CU$8="判定対象外",TRUE,FALSE)</formula>
    </cfRule>
  </conditionalFormatting>
  <conditionalFormatting sqref="DF61">
    <cfRule type="expression" dxfId="3183" priority="3079" stopIfTrue="1">
      <formula>IF(DG$8="判定対象外",TRUE,FALSE)</formula>
    </cfRule>
  </conditionalFormatting>
  <conditionalFormatting sqref="CX61">
    <cfRule type="expression" dxfId="3182" priority="3089" stopIfTrue="1">
      <formula>IF(CY$8="判定対象外",TRUE,FALSE)</formula>
    </cfRule>
  </conditionalFormatting>
  <conditionalFormatting sqref="DA61">
    <cfRule type="expression" dxfId="3181" priority="3087" stopIfTrue="1">
      <formula>IF(DA61="-",TRUE,FALSE)</formula>
    </cfRule>
    <cfRule type="expression" dxfId="3180" priority="3088" stopIfTrue="1">
      <formula>IF(OR(DA61="OK"),FALSE,TRUE)</formula>
    </cfRule>
  </conditionalFormatting>
  <conditionalFormatting sqref="CZ61">
    <cfRule type="expression" dxfId="3179" priority="3086" stopIfTrue="1">
      <formula>IF(CY$8="判定対象外",TRUE,FALSE)</formula>
    </cfRule>
  </conditionalFormatting>
  <conditionalFormatting sqref="CY61">
    <cfRule type="expression" dxfId="3178" priority="3085" stopIfTrue="1">
      <formula>IF(CY$8="判定対象外",TRUE,FALSE)</formula>
    </cfRule>
  </conditionalFormatting>
  <conditionalFormatting sqref="FN68">
    <cfRule type="expression" dxfId="3177" priority="1507" stopIfTrue="1">
      <formula>IF(FO$8="判定対象外",TRUE,FALSE)</formula>
    </cfRule>
  </conditionalFormatting>
  <conditionalFormatting sqref="DF60">
    <cfRule type="expression" dxfId="3176" priority="3090" stopIfTrue="1">
      <formula>IF(DG$8="判定対象外",TRUE,FALSE)</formula>
    </cfRule>
  </conditionalFormatting>
  <conditionalFormatting sqref="DF53 DF56 DF65 DF68 DF71">
    <cfRule type="expression" dxfId="3175" priority="3136" stopIfTrue="1">
      <formula>IF(DG$8="判定対象外",TRUE,FALSE)</formula>
    </cfRule>
  </conditionalFormatting>
  <conditionalFormatting sqref="CX60">
    <cfRule type="expression" dxfId="3174" priority="3100" stopIfTrue="1">
      <formula>IF(CY$8="判定対象外",TRUE,FALSE)</formula>
    </cfRule>
  </conditionalFormatting>
  <conditionalFormatting sqref="DA60">
    <cfRule type="expression" dxfId="3173" priority="3098" stopIfTrue="1">
      <formula>IF(DA60="-",TRUE,FALSE)</formula>
    </cfRule>
    <cfRule type="expression" dxfId="3172" priority="3099" stopIfTrue="1">
      <formula>IF(OR(DA60="OK"),FALSE,TRUE)</formula>
    </cfRule>
  </conditionalFormatting>
  <conditionalFormatting sqref="CZ60">
    <cfRule type="expression" dxfId="3171" priority="3097" stopIfTrue="1">
      <formula>IF(CY$8="判定対象外",TRUE,FALSE)</formula>
    </cfRule>
  </conditionalFormatting>
  <conditionalFormatting sqref="CY60">
    <cfRule type="expression" dxfId="3170" priority="3096" stopIfTrue="1">
      <formula>IF(CY$8="判定対象外",TRUE,FALSE)</formula>
    </cfRule>
  </conditionalFormatting>
  <conditionalFormatting sqref="DF19">
    <cfRule type="expression" dxfId="3169" priority="3147" stopIfTrue="1">
      <formula>IF(DG$8="判定対象外",TRUE,FALSE)</formula>
    </cfRule>
  </conditionalFormatting>
  <conditionalFormatting sqref="DF59">
    <cfRule type="expression" dxfId="3168" priority="3101" stopIfTrue="1">
      <formula>IF(DG$8="判定対象外",TRUE,FALSE)</formula>
    </cfRule>
  </conditionalFormatting>
  <conditionalFormatting sqref="CX59">
    <cfRule type="expression" dxfId="3167" priority="3111" stopIfTrue="1">
      <formula>IF(CY$8="判定対象外",TRUE,FALSE)</formula>
    </cfRule>
  </conditionalFormatting>
  <conditionalFormatting sqref="DA59">
    <cfRule type="expression" dxfId="3166" priority="3109" stopIfTrue="1">
      <formula>IF(DA59="-",TRUE,FALSE)</formula>
    </cfRule>
    <cfRule type="expression" dxfId="3165" priority="3110" stopIfTrue="1">
      <formula>IF(OR(DA59="OK"),FALSE,TRUE)</formula>
    </cfRule>
  </conditionalFormatting>
  <conditionalFormatting sqref="CZ59">
    <cfRule type="expression" dxfId="3164" priority="3108" stopIfTrue="1">
      <formula>IF(CY$8="判定対象外",TRUE,FALSE)</formula>
    </cfRule>
  </conditionalFormatting>
  <conditionalFormatting sqref="CY59">
    <cfRule type="expression" dxfId="3163" priority="3107" stopIfTrue="1">
      <formula>IF(CY$8="判定対象外",TRUE,FALSE)</formula>
    </cfRule>
  </conditionalFormatting>
  <conditionalFormatting sqref="DF16:DF18">
    <cfRule type="expression" dxfId="3162" priority="3157" stopIfTrue="1">
      <formula>IF(DG$8="判定対象外",TRUE,FALSE)</formula>
    </cfRule>
  </conditionalFormatting>
  <conditionalFormatting sqref="DA8:DA10">
    <cfRule type="expression" dxfId="3161" priority="3313" stopIfTrue="1">
      <formula>IF(DA8="-",TRUE,FALSE)</formula>
    </cfRule>
    <cfRule type="expression" dxfId="3160" priority="3314" stopIfTrue="1">
      <formula>IF(OR(DA8="OK"),FALSE,TRUE)</formula>
    </cfRule>
  </conditionalFormatting>
  <conditionalFormatting sqref="CX8:CX10">
    <cfRule type="expression" dxfId="3159" priority="3312" stopIfTrue="1">
      <formula>IF(CY$8="判定対象外",TRUE,FALSE)</formula>
    </cfRule>
  </conditionalFormatting>
  <conditionalFormatting sqref="CY8:CY10">
    <cfRule type="expression" dxfId="3158" priority="3311" stopIfTrue="1">
      <formula>IF(CY$8="判定対象外",TRUE,FALSE)</formula>
    </cfRule>
  </conditionalFormatting>
  <conditionalFormatting sqref="CZ8:CZ10">
    <cfRule type="expression" dxfId="3157" priority="3310" stopIfTrue="1">
      <formula>IF(CY$8="判定対象外",TRUE,FALSE)</formula>
    </cfRule>
  </conditionalFormatting>
  <conditionalFormatting sqref="DA11:DA56 DA71:DA81">
    <cfRule type="expression" dxfId="3156" priority="3307" stopIfTrue="1">
      <formula>IF(DA11="-",TRUE,FALSE)</formula>
    </cfRule>
    <cfRule type="expression" dxfId="3155" priority="3308" stopIfTrue="1">
      <formula>IF(OR(DA11="OK"),FALSE,TRUE)</formula>
    </cfRule>
  </conditionalFormatting>
  <conditionalFormatting sqref="CZ11:CZ56 CZ71:CZ81">
    <cfRule type="expression" dxfId="3154" priority="3306" stopIfTrue="1">
      <formula>IF(CY$8="判定対象外",TRUE,FALSE)</formula>
    </cfRule>
  </conditionalFormatting>
  <conditionalFormatting sqref="CX72:CX81 CX21:CX46">
    <cfRule type="expression" dxfId="3153" priority="3305" stopIfTrue="1">
      <formula>IF(CY$8="判定対象外",TRUE,FALSE)</formula>
    </cfRule>
  </conditionalFormatting>
  <conditionalFormatting sqref="CX29:CX32">
    <cfRule type="expression" dxfId="3152" priority="3304" stopIfTrue="1">
      <formula>IF(CY$8="判定対象外",TRUE,FALSE)</formula>
    </cfRule>
  </conditionalFormatting>
  <conditionalFormatting sqref="CX42:CX44">
    <cfRule type="expression" dxfId="3151" priority="3303" stopIfTrue="1">
      <formula>IF(CY$8="判定対象外",TRUE,FALSE)</formula>
    </cfRule>
  </conditionalFormatting>
  <conditionalFormatting sqref="CX46">
    <cfRule type="expression" dxfId="3150" priority="3302" stopIfTrue="1">
      <formula>IF(CY$8="判定対象外",TRUE,FALSE)</formula>
    </cfRule>
  </conditionalFormatting>
  <conditionalFormatting sqref="CX42:CX44">
    <cfRule type="expression" dxfId="3149" priority="3301" stopIfTrue="1">
      <formula>IF(CY$8="判定対象外",TRUE,FALSE)</formula>
    </cfRule>
  </conditionalFormatting>
  <conditionalFormatting sqref="CX42:CX44">
    <cfRule type="expression" dxfId="3148" priority="3300" stopIfTrue="1">
      <formula>IF(CY$8="判定対象外",TRUE,FALSE)</formula>
    </cfRule>
  </conditionalFormatting>
  <conditionalFormatting sqref="CX42:CX44">
    <cfRule type="expression" dxfId="3147" priority="3299" stopIfTrue="1">
      <formula>IF(CY$8="判定対象外",TRUE,FALSE)</formula>
    </cfRule>
  </conditionalFormatting>
  <conditionalFormatting sqref="CX42:CX44">
    <cfRule type="expression" dxfId="3146" priority="3298" stopIfTrue="1">
      <formula>IF(CY$8="判定対象外",TRUE,FALSE)</formula>
    </cfRule>
  </conditionalFormatting>
  <conditionalFormatting sqref="CX42:CX44">
    <cfRule type="expression" dxfId="3145" priority="3297" stopIfTrue="1">
      <formula>IF(CY$8="判定対象外",TRUE,FALSE)</formula>
    </cfRule>
  </conditionalFormatting>
  <conditionalFormatting sqref="CX42:CX44">
    <cfRule type="expression" dxfId="3144" priority="3296" stopIfTrue="1">
      <formula>IF(CY$8="判定対象外",TRUE,FALSE)</formula>
    </cfRule>
  </conditionalFormatting>
  <conditionalFormatting sqref="CX42:CX44">
    <cfRule type="expression" dxfId="3143" priority="3295" stopIfTrue="1">
      <formula>IF(CY$8="判定対象外",TRUE,FALSE)</formula>
    </cfRule>
  </conditionalFormatting>
  <conditionalFormatting sqref="CX38">
    <cfRule type="expression" dxfId="3142" priority="3309" stopIfTrue="1">
      <formula>IF(#REF!="判定対象外",TRUE,FALSE)</formula>
    </cfRule>
  </conditionalFormatting>
  <conditionalFormatting sqref="CY11:CY56 CY71:CY81">
    <cfRule type="expression" dxfId="3141" priority="3294" stopIfTrue="1">
      <formula>IF(CY$8="判定対象外",TRUE,FALSE)</formula>
    </cfRule>
  </conditionalFormatting>
  <conditionalFormatting sqref="CX48">
    <cfRule type="expression" dxfId="3140" priority="3293" stopIfTrue="1">
      <formula>IF(CY$8="判定対象外",TRUE,FALSE)</formula>
    </cfRule>
  </conditionalFormatting>
  <conditionalFormatting sqref="CX51">
    <cfRule type="expression" dxfId="3139" priority="3292" stopIfTrue="1">
      <formula>IF(CY$8="判定対象外",TRUE,FALSE)</formula>
    </cfRule>
  </conditionalFormatting>
  <conditionalFormatting sqref="CX52 CX55 CX67 CX70">
    <cfRule type="expression" dxfId="3138" priority="3291" stopIfTrue="1">
      <formula>IF(CY$8="判定対象外",TRUE,FALSE)</formula>
    </cfRule>
  </conditionalFormatting>
  <conditionalFormatting sqref="CX11:CX20">
    <cfRule type="expression" dxfId="3137" priority="3290" stopIfTrue="1">
      <formula>IF(CY$8="判定対象外",TRUE,FALSE)</formula>
    </cfRule>
  </conditionalFormatting>
  <conditionalFormatting sqref="CX16:CX18">
    <cfRule type="expression" dxfId="3136" priority="3289" stopIfTrue="1">
      <formula>IF(CY$8="判定対象外",TRUE,FALSE)</formula>
    </cfRule>
  </conditionalFormatting>
  <conditionalFormatting sqref="CX20">
    <cfRule type="expression" dxfId="3135" priority="3288" stopIfTrue="1">
      <formula>IF(CY$8="判定対象外",TRUE,FALSE)</formula>
    </cfRule>
  </conditionalFormatting>
  <conditionalFormatting sqref="CX16:CX20">
    <cfRule type="expression" dxfId="3134" priority="3287" stopIfTrue="1">
      <formula>IF(CY$8="判定対象外",TRUE,FALSE)</formula>
    </cfRule>
  </conditionalFormatting>
  <conditionalFormatting sqref="CX11:CX20">
    <cfRule type="expression" dxfId="3133" priority="3286" stopIfTrue="1">
      <formula>IF(CY$8="判定対象外",TRUE,FALSE)</formula>
    </cfRule>
  </conditionalFormatting>
  <conditionalFormatting sqref="CX16:CX18">
    <cfRule type="expression" dxfId="3132" priority="3285" stopIfTrue="1">
      <formula>IF(CY$8="判定対象外",TRUE,FALSE)</formula>
    </cfRule>
  </conditionalFormatting>
  <conditionalFormatting sqref="CX20">
    <cfRule type="expression" dxfId="3131" priority="3284" stopIfTrue="1">
      <formula>IF(CY$8="判定対象外",TRUE,FALSE)</formula>
    </cfRule>
  </conditionalFormatting>
  <conditionalFormatting sqref="CX16:CX20">
    <cfRule type="expression" dxfId="3130" priority="3283" stopIfTrue="1">
      <formula>IF(CY$8="判定対象外",TRUE,FALSE)</formula>
    </cfRule>
  </conditionalFormatting>
  <conditionalFormatting sqref="CX11:CX20">
    <cfRule type="expression" dxfId="3129" priority="3282" stopIfTrue="1">
      <formula>IF(CY$8="判定対象外",TRUE,FALSE)</formula>
    </cfRule>
  </conditionalFormatting>
  <conditionalFormatting sqref="CX16:CX18">
    <cfRule type="expression" dxfId="3128" priority="3281" stopIfTrue="1">
      <formula>IF(CY$8="判定対象外",TRUE,FALSE)</formula>
    </cfRule>
  </conditionalFormatting>
  <conditionalFormatting sqref="CX20">
    <cfRule type="expression" dxfId="3127" priority="3280" stopIfTrue="1">
      <formula>IF(CY$8="判定対象外",TRUE,FALSE)</formula>
    </cfRule>
  </conditionalFormatting>
  <conditionalFormatting sqref="CX16:CX20">
    <cfRule type="expression" dxfId="3126" priority="3279" stopIfTrue="1">
      <formula>IF(CY$8="判定対象外",TRUE,FALSE)</formula>
    </cfRule>
  </conditionalFormatting>
  <conditionalFormatting sqref="CX11:CX13">
    <cfRule type="expression" dxfId="3125" priority="3278" stopIfTrue="1">
      <formula>IF(CY$8="判定対象外",TRUE,FALSE)</formula>
    </cfRule>
  </conditionalFormatting>
  <conditionalFormatting sqref="CX15">
    <cfRule type="expression" dxfId="3124" priority="3277" stopIfTrue="1">
      <formula>IF(CY$8="判定対象外",TRUE,FALSE)</formula>
    </cfRule>
  </conditionalFormatting>
  <conditionalFormatting sqref="CX19">
    <cfRule type="expression" dxfId="3123" priority="3276" stopIfTrue="1">
      <formula>IF(CY$8="判定対象外",TRUE,FALSE)</formula>
    </cfRule>
  </conditionalFormatting>
  <conditionalFormatting sqref="CX19">
    <cfRule type="expression" dxfId="3122" priority="3275" stopIfTrue="1">
      <formula>IF(CY$8="判定対象外",TRUE,FALSE)</formula>
    </cfRule>
  </conditionalFormatting>
  <conditionalFormatting sqref="CX20">
    <cfRule type="expression" dxfId="3121" priority="3274" stopIfTrue="1">
      <formula>IF(CY$8="判定対象外",TRUE,FALSE)</formula>
    </cfRule>
  </conditionalFormatting>
  <conditionalFormatting sqref="CX20">
    <cfRule type="expression" dxfId="3120" priority="3273" stopIfTrue="1">
      <formula>IF(CY$8="判定対象外",TRUE,FALSE)</formula>
    </cfRule>
  </conditionalFormatting>
  <conditionalFormatting sqref="CX20">
    <cfRule type="expression" dxfId="3119" priority="3272" stopIfTrue="1">
      <formula>IF(CY$8="判定対象外",TRUE,FALSE)</formula>
    </cfRule>
  </conditionalFormatting>
  <conditionalFormatting sqref="CX13">
    <cfRule type="expression" dxfId="3118" priority="3271" stopIfTrue="1">
      <formula>IF(CY$8="判定対象外",TRUE,FALSE)</formula>
    </cfRule>
  </conditionalFormatting>
  <conditionalFormatting sqref="CX47">
    <cfRule type="expression" dxfId="3117" priority="3270" stopIfTrue="1">
      <formula>IF(CY$8="判定対象外",TRUE,FALSE)</formula>
    </cfRule>
  </conditionalFormatting>
  <conditionalFormatting sqref="CX47">
    <cfRule type="expression" dxfId="3116" priority="3269" stopIfTrue="1">
      <formula>IF(CY$8="判定対象外",TRUE,FALSE)</formula>
    </cfRule>
  </conditionalFormatting>
  <conditionalFormatting sqref="CX49">
    <cfRule type="expression" dxfId="3115" priority="3268" stopIfTrue="1">
      <formula>IF(CY$8="判定対象外",TRUE,FALSE)</formula>
    </cfRule>
  </conditionalFormatting>
  <conditionalFormatting sqref="CX49">
    <cfRule type="expression" dxfId="3114" priority="3267" stopIfTrue="1">
      <formula>IF(CY$8="判定対象外",TRUE,FALSE)</formula>
    </cfRule>
  </conditionalFormatting>
  <conditionalFormatting sqref="CX50">
    <cfRule type="expression" dxfId="3113" priority="3266" stopIfTrue="1">
      <formula>IF(CY$8="判定対象外",TRUE,FALSE)</formula>
    </cfRule>
  </conditionalFormatting>
  <conditionalFormatting sqref="CX50">
    <cfRule type="expression" dxfId="3112" priority="3265" stopIfTrue="1">
      <formula>IF(CY$8="判定対象外",TRUE,FALSE)</formula>
    </cfRule>
  </conditionalFormatting>
  <conditionalFormatting sqref="CX53 CX56 CX65 CX68 CX71">
    <cfRule type="expression" dxfId="3111" priority="3264" stopIfTrue="1">
      <formula>IF(CY$8="判定対象外",TRUE,FALSE)</formula>
    </cfRule>
  </conditionalFormatting>
  <conditionalFormatting sqref="CX54 CX57 CX66 CX69">
    <cfRule type="expression" dxfId="3110" priority="3263" stopIfTrue="1">
      <formula>IF(CY$8="判定対象外",TRUE,FALSE)</formula>
    </cfRule>
  </conditionalFormatting>
  <conditionalFormatting sqref="DA57">
    <cfRule type="expression" dxfId="3109" priority="3261" stopIfTrue="1">
      <formula>IF(DA57="-",TRUE,FALSE)</formula>
    </cfRule>
    <cfRule type="expression" dxfId="3108" priority="3262" stopIfTrue="1">
      <formula>IF(OR(DA57="OK"),FALSE,TRUE)</formula>
    </cfRule>
  </conditionalFormatting>
  <conditionalFormatting sqref="CZ57">
    <cfRule type="expression" dxfId="3107" priority="3260" stopIfTrue="1">
      <formula>IF(CY$8="判定対象外",TRUE,FALSE)</formula>
    </cfRule>
  </conditionalFormatting>
  <conditionalFormatting sqref="CY57">
    <cfRule type="expression" dxfId="3106" priority="3259" stopIfTrue="1">
      <formula>IF(CY$8="判定対象外",TRUE,FALSE)</formula>
    </cfRule>
  </conditionalFormatting>
  <conditionalFormatting sqref="DA65:DA70">
    <cfRule type="expression" dxfId="3105" priority="3253" stopIfTrue="1">
      <formula>IF(DA65="-",TRUE,FALSE)</formula>
    </cfRule>
    <cfRule type="expression" dxfId="3104" priority="3254" stopIfTrue="1">
      <formula>IF(OR(DA65="OK"),FALSE,TRUE)</formula>
    </cfRule>
  </conditionalFormatting>
  <conditionalFormatting sqref="CZ65:CZ70">
    <cfRule type="expression" dxfId="3103" priority="3252" stopIfTrue="1">
      <formula>IF(CY$8="判定対象外",TRUE,FALSE)</formula>
    </cfRule>
  </conditionalFormatting>
  <conditionalFormatting sqref="CY65:CY70">
    <cfRule type="expression" dxfId="3102" priority="3251" stopIfTrue="1">
      <formula>IF(CY$8="判定対象外",TRUE,FALSE)</formula>
    </cfRule>
  </conditionalFormatting>
  <conditionalFormatting sqref="DE8:DE10">
    <cfRule type="expression" dxfId="3101" priority="3249" stopIfTrue="1">
      <formula>IF(DE8="-",TRUE,FALSE)</formula>
    </cfRule>
    <cfRule type="expression" dxfId="3100" priority="3250" stopIfTrue="1">
      <formula>IF(OR(DE8="OK"),FALSE,TRUE)</formula>
    </cfRule>
  </conditionalFormatting>
  <conditionalFormatting sqref="DB8:DB10">
    <cfRule type="expression" dxfId="3099" priority="3248" stopIfTrue="1">
      <formula>IF(DC$8="判定対象外",TRUE,FALSE)</formula>
    </cfRule>
  </conditionalFormatting>
  <conditionalFormatting sqref="DC8:DC10">
    <cfRule type="expression" dxfId="3098" priority="3247" stopIfTrue="1">
      <formula>IF(DC$8="判定対象外",TRUE,FALSE)</formula>
    </cfRule>
  </conditionalFormatting>
  <conditionalFormatting sqref="DD8:DD10">
    <cfRule type="expression" dxfId="3097" priority="3246" stopIfTrue="1">
      <formula>IF(DC$8="判定対象外",TRUE,FALSE)</formula>
    </cfRule>
  </conditionalFormatting>
  <conditionalFormatting sqref="DE11:DE34 DE71:DE81 DE36:DE56">
    <cfRule type="expression" dxfId="3096" priority="3243" stopIfTrue="1">
      <formula>IF(DE11="-",TRUE,FALSE)</formula>
    </cfRule>
    <cfRule type="expression" dxfId="3095" priority="3244" stopIfTrue="1">
      <formula>IF(OR(DE11="OK"),FALSE,TRUE)</formula>
    </cfRule>
  </conditionalFormatting>
  <conditionalFormatting sqref="DD11:DD34 DD71:DD81 DD36:DD56">
    <cfRule type="expression" dxfId="3094" priority="3242" stopIfTrue="1">
      <formula>IF(DC$8="判定対象外",TRUE,FALSE)</formula>
    </cfRule>
  </conditionalFormatting>
  <conditionalFormatting sqref="DB72:DB81 DB21:DB34 DB36:DB46">
    <cfRule type="expression" dxfId="3093" priority="3241" stopIfTrue="1">
      <formula>IF(DC$8="判定対象外",TRUE,FALSE)</formula>
    </cfRule>
  </conditionalFormatting>
  <conditionalFormatting sqref="DB29:DB32">
    <cfRule type="expression" dxfId="3092" priority="3240" stopIfTrue="1">
      <formula>IF(DC$8="判定対象外",TRUE,FALSE)</formula>
    </cfRule>
  </conditionalFormatting>
  <conditionalFormatting sqref="DB42:DB44">
    <cfRule type="expression" dxfId="3091" priority="3239" stopIfTrue="1">
      <formula>IF(DC$8="判定対象外",TRUE,FALSE)</formula>
    </cfRule>
  </conditionalFormatting>
  <conditionalFormatting sqref="DB46">
    <cfRule type="expression" dxfId="3090" priority="3238" stopIfTrue="1">
      <formula>IF(DC$8="判定対象外",TRUE,FALSE)</formula>
    </cfRule>
  </conditionalFormatting>
  <conditionalFormatting sqref="DB42:DB44">
    <cfRule type="expression" dxfId="3089" priority="3237" stopIfTrue="1">
      <formula>IF(DC$8="判定対象外",TRUE,FALSE)</formula>
    </cfRule>
  </conditionalFormatting>
  <conditionalFormatting sqref="DB42:DB44">
    <cfRule type="expression" dxfId="3088" priority="3236" stopIfTrue="1">
      <formula>IF(DC$8="判定対象外",TRUE,FALSE)</formula>
    </cfRule>
  </conditionalFormatting>
  <conditionalFormatting sqref="DB42:DB44">
    <cfRule type="expression" dxfId="3087" priority="3235" stopIfTrue="1">
      <formula>IF(DC$8="判定対象外",TRUE,FALSE)</formula>
    </cfRule>
  </conditionalFormatting>
  <conditionalFormatting sqref="DB42:DB44">
    <cfRule type="expression" dxfId="3086" priority="3234" stopIfTrue="1">
      <formula>IF(DC$8="判定対象外",TRUE,FALSE)</formula>
    </cfRule>
  </conditionalFormatting>
  <conditionalFormatting sqref="DB42:DB44">
    <cfRule type="expression" dxfId="3085" priority="3233" stopIfTrue="1">
      <formula>IF(DC$8="判定対象外",TRUE,FALSE)</formula>
    </cfRule>
  </conditionalFormatting>
  <conditionalFormatting sqref="DB42:DB44">
    <cfRule type="expression" dxfId="3084" priority="3232" stopIfTrue="1">
      <formula>IF(DC$8="判定対象外",TRUE,FALSE)</formula>
    </cfRule>
  </conditionalFormatting>
  <conditionalFormatting sqref="DB42:DB44">
    <cfRule type="expression" dxfId="3083" priority="3231" stopIfTrue="1">
      <formula>IF(DC$8="判定対象外",TRUE,FALSE)</formula>
    </cfRule>
  </conditionalFormatting>
  <conditionalFormatting sqref="DB38">
    <cfRule type="expression" dxfId="3082" priority="3245" stopIfTrue="1">
      <formula>IF(#REF!="判定対象外",TRUE,FALSE)</formula>
    </cfRule>
  </conditionalFormatting>
  <conditionalFormatting sqref="DC11:DC34 DC71:DC81 DC36:DC56">
    <cfRule type="expression" dxfId="3081" priority="3230" stopIfTrue="1">
      <formula>IF(DC$8="判定対象外",TRUE,FALSE)</formula>
    </cfRule>
  </conditionalFormatting>
  <conditionalFormatting sqref="DB48">
    <cfRule type="expression" dxfId="3080" priority="3229" stopIfTrue="1">
      <formula>IF(DC$8="判定対象外",TRUE,FALSE)</formula>
    </cfRule>
  </conditionalFormatting>
  <conditionalFormatting sqref="DB51">
    <cfRule type="expression" dxfId="3079" priority="3228" stopIfTrue="1">
      <formula>IF(DC$8="判定対象外",TRUE,FALSE)</formula>
    </cfRule>
  </conditionalFormatting>
  <conditionalFormatting sqref="DB52 DB55 DB67 DB70">
    <cfRule type="expression" dxfId="3078" priority="3227" stopIfTrue="1">
      <formula>IF(DC$8="判定対象外",TRUE,FALSE)</formula>
    </cfRule>
  </conditionalFormatting>
  <conditionalFormatting sqref="DB11:DB20">
    <cfRule type="expression" dxfId="3077" priority="3226" stopIfTrue="1">
      <formula>IF(DC$8="判定対象外",TRUE,FALSE)</formula>
    </cfRule>
  </conditionalFormatting>
  <conditionalFormatting sqref="DB16:DB18">
    <cfRule type="expression" dxfId="3076" priority="3225" stopIfTrue="1">
      <formula>IF(DC$8="判定対象外",TRUE,FALSE)</formula>
    </cfRule>
  </conditionalFormatting>
  <conditionalFormatting sqref="DB20">
    <cfRule type="expression" dxfId="3075" priority="3224" stopIfTrue="1">
      <formula>IF(DC$8="判定対象外",TRUE,FALSE)</formula>
    </cfRule>
  </conditionalFormatting>
  <conditionalFormatting sqref="DB16:DB20">
    <cfRule type="expression" dxfId="3074" priority="3223" stopIfTrue="1">
      <formula>IF(DC$8="判定対象外",TRUE,FALSE)</formula>
    </cfRule>
  </conditionalFormatting>
  <conditionalFormatting sqref="DB11:DB20">
    <cfRule type="expression" dxfId="3073" priority="3222" stopIfTrue="1">
      <formula>IF(DC$8="判定対象外",TRUE,FALSE)</formula>
    </cfRule>
  </conditionalFormatting>
  <conditionalFormatting sqref="DB16:DB18">
    <cfRule type="expression" dxfId="3072" priority="3221" stopIfTrue="1">
      <formula>IF(DC$8="判定対象外",TRUE,FALSE)</formula>
    </cfRule>
  </conditionalFormatting>
  <conditionalFormatting sqref="DB20">
    <cfRule type="expression" dxfId="3071" priority="3220" stopIfTrue="1">
      <formula>IF(DC$8="判定対象外",TRUE,FALSE)</formula>
    </cfRule>
  </conditionalFormatting>
  <conditionalFormatting sqref="DB16:DB20">
    <cfRule type="expression" dxfId="3070" priority="3219" stopIfTrue="1">
      <formula>IF(DC$8="判定対象外",TRUE,FALSE)</formula>
    </cfRule>
  </conditionalFormatting>
  <conditionalFormatting sqref="DB11:DB20">
    <cfRule type="expression" dxfId="3069" priority="3218" stopIfTrue="1">
      <formula>IF(DC$8="判定対象外",TRUE,FALSE)</formula>
    </cfRule>
  </conditionalFormatting>
  <conditionalFormatting sqref="DB16:DB18">
    <cfRule type="expression" dxfId="3068" priority="3217" stopIfTrue="1">
      <formula>IF(DC$8="判定対象外",TRUE,FALSE)</formula>
    </cfRule>
  </conditionalFormatting>
  <conditionalFormatting sqref="DB20">
    <cfRule type="expression" dxfId="3067" priority="3216" stopIfTrue="1">
      <formula>IF(DC$8="判定対象外",TRUE,FALSE)</formula>
    </cfRule>
  </conditionalFormatting>
  <conditionalFormatting sqref="DB16:DB20">
    <cfRule type="expression" dxfId="3066" priority="3215" stopIfTrue="1">
      <formula>IF(DC$8="判定対象外",TRUE,FALSE)</formula>
    </cfRule>
  </conditionalFormatting>
  <conditionalFormatting sqref="DB11:DB13">
    <cfRule type="expression" dxfId="3065" priority="3214" stopIfTrue="1">
      <formula>IF(DC$8="判定対象外",TRUE,FALSE)</formula>
    </cfRule>
  </conditionalFormatting>
  <conditionalFormatting sqref="DB15">
    <cfRule type="expression" dxfId="3064" priority="3213" stopIfTrue="1">
      <formula>IF(DC$8="判定対象外",TRUE,FALSE)</formula>
    </cfRule>
  </conditionalFormatting>
  <conditionalFormatting sqref="DB19">
    <cfRule type="expression" dxfId="3063" priority="3212" stopIfTrue="1">
      <formula>IF(DC$8="判定対象外",TRUE,FALSE)</formula>
    </cfRule>
  </conditionalFormatting>
  <conditionalFormatting sqref="DB19">
    <cfRule type="expression" dxfId="3062" priority="3211" stopIfTrue="1">
      <formula>IF(DC$8="判定対象外",TRUE,FALSE)</formula>
    </cfRule>
  </conditionalFormatting>
  <conditionalFormatting sqref="DB20">
    <cfRule type="expression" dxfId="3061" priority="3210" stopIfTrue="1">
      <formula>IF(DC$8="判定対象外",TRUE,FALSE)</formula>
    </cfRule>
  </conditionalFormatting>
  <conditionalFormatting sqref="DB20">
    <cfRule type="expression" dxfId="3060" priority="3209" stopIfTrue="1">
      <formula>IF(DC$8="判定対象外",TRUE,FALSE)</formula>
    </cfRule>
  </conditionalFormatting>
  <conditionalFormatting sqref="DB20">
    <cfRule type="expression" dxfId="3059" priority="3208" stopIfTrue="1">
      <formula>IF(DC$8="判定対象外",TRUE,FALSE)</formula>
    </cfRule>
  </conditionalFormatting>
  <conditionalFormatting sqref="DB13">
    <cfRule type="expression" dxfId="3058" priority="3207" stopIfTrue="1">
      <formula>IF(DC$8="判定対象外",TRUE,FALSE)</formula>
    </cfRule>
  </conditionalFormatting>
  <conditionalFormatting sqref="DB47">
    <cfRule type="expression" dxfId="3057" priority="3206" stopIfTrue="1">
      <formula>IF(DC$8="判定対象外",TRUE,FALSE)</formula>
    </cfRule>
  </conditionalFormatting>
  <conditionalFormatting sqref="DB47">
    <cfRule type="expression" dxfId="3056" priority="3205" stopIfTrue="1">
      <formula>IF(DC$8="判定対象外",TRUE,FALSE)</formula>
    </cfRule>
  </conditionalFormatting>
  <conditionalFormatting sqref="DB49">
    <cfRule type="expression" dxfId="3055" priority="3204" stopIfTrue="1">
      <formula>IF(DC$8="判定対象外",TRUE,FALSE)</formula>
    </cfRule>
  </conditionalFormatting>
  <conditionalFormatting sqref="DB49">
    <cfRule type="expression" dxfId="3054" priority="3203" stopIfTrue="1">
      <formula>IF(DC$8="判定対象外",TRUE,FALSE)</formula>
    </cfRule>
  </conditionalFormatting>
  <conditionalFormatting sqref="DB50">
    <cfRule type="expression" dxfId="3053" priority="3202" stopIfTrue="1">
      <formula>IF(DC$8="判定対象外",TRUE,FALSE)</formula>
    </cfRule>
  </conditionalFormatting>
  <conditionalFormatting sqref="DB50">
    <cfRule type="expression" dxfId="3052" priority="3201" stopIfTrue="1">
      <formula>IF(DC$8="判定対象外",TRUE,FALSE)</formula>
    </cfRule>
  </conditionalFormatting>
  <conditionalFormatting sqref="DB53 DB56 DB65 DB68 DB71">
    <cfRule type="expression" dxfId="3051" priority="3200" stopIfTrue="1">
      <formula>IF(DC$8="判定対象外",TRUE,FALSE)</formula>
    </cfRule>
  </conditionalFormatting>
  <conditionalFormatting sqref="DB54 DB57 DB66 DB69">
    <cfRule type="expression" dxfId="3050" priority="3199" stopIfTrue="1">
      <formula>IF(DC$8="判定対象外",TRUE,FALSE)</formula>
    </cfRule>
  </conditionalFormatting>
  <conditionalFormatting sqref="DE57">
    <cfRule type="expression" dxfId="3049" priority="3197" stopIfTrue="1">
      <formula>IF(DE57="-",TRUE,FALSE)</formula>
    </cfRule>
    <cfRule type="expression" dxfId="3048" priority="3198" stopIfTrue="1">
      <formula>IF(OR(DE57="OK"),FALSE,TRUE)</formula>
    </cfRule>
  </conditionalFormatting>
  <conditionalFormatting sqref="DD57">
    <cfRule type="expression" dxfId="3047" priority="3196" stopIfTrue="1">
      <formula>IF(DC$8="判定対象外",TRUE,FALSE)</formula>
    </cfRule>
  </conditionalFormatting>
  <conditionalFormatting sqref="DC57">
    <cfRule type="expression" dxfId="3046" priority="3195" stopIfTrue="1">
      <formula>IF(DC$8="判定対象外",TRUE,FALSE)</formula>
    </cfRule>
  </conditionalFormatting>
  <conditionalFormatting sqref="FY65">
    <cfRule type="expression" dxfId="3045" priority="1216" stopIfTrue="1">
      <formula>IF(FY65="-",TRUE,FALSE)</formula>
    </cfRule>
    <cfRule type="expression" dxfId="3044" priority="1217" stopIfTrue="1">
      <formula>IF(OR(FY65="OK"),FALSE,TRUE)</formula>
    </cfRule>
  </conditionalFormatting>
  <conditionalFormatting sqref="FX65">
    <cfRule type="expression" dxfId="3043" priority="1215" stopIfTrue="1">
      <formula>IF(FW$8="判定対象外",TRUE,FALSE)</formula>
    </cfRule>
  </conditionalFormatting>
  <conditionalFormatting sqref="FW65">
    <cfRule type="expression" dxfId="3042" priority="1214" stopIfTrue="1">
      <formula>IF(FW$8="判定対象外",TRUE,FALSE)</formula>
    </cfRule>
  </conditionalFormatting>
  <conditionalFormatting sqref="DE65:DE70">
    <cfRule type="expression" dxfId="3041" priority="3189" stopIfTrue="1">
      <formula>IF(DE65="-",TRUE,FALSE)</formula>
    </cfRule>
    <cfRule type="expression" dxfId="3040" priority="3190" stopIfTrue="1">
      <formula>IF(OR(DE65="OK"),FALSE,TRUE)</formula>
    </cfRule>
  </conditionalFormatting>
  <conditionalFormatting sqref="DD65:DD70">
    <cfRule type="expression" dxfId="3039" priority="3188" stopIfTrue="1">
      <formula>IF(DC$8="判定対象外",TRUE,FALSE)</formula>
    </cfRule>
  </conditionalFormatting>
  <conditionalFormatting sqref="DC65:DC70">
    <cfRule type="expression" dxfId="3038" priority="3187" stopIfTrue="1">
      <formula>IF(DC$8="判定対象外",TRUE,FALSE)</formula>
    </cfRule>
  </conditionalFormatting>
  <conditionalFormatting sqref="DF29:DF32">
    <cfRule type="expression" dxfId="3037" priority="3176" stopIfTrue="1">
      <formula>IF(DG$8="判定対象外",TRUE,FALSE)</formula>
    </cfRule>
  </conditionalFormatting>
  <conditionalFormatting sqref="DI8:DI10">
    <cfRule type="expression" dxfId="3036" priority="3185" stopIfTrue="1">
      <formula>IF(DI8="-",TRUE,FALSE)</formula>
    </cfRule>
    <cfRule type="expression" dxfId="3035" priority="3186" stopIfTrue="1">
      <formula>IF(OR(DI8="OK"),FALSE,TRUE)</formula>
    </cfRule>
  </conditionalFormatting>
  <conditionalFormatting sqref="DF8:DF10">
    <cfRule type="expression" dxfId="3034" priority="3184" stopIfTrue="1">
      <formula>IF(DG$8="判定対象外",TRUE,FALSE)</formula>
    </cfRule>
  </conditionalFormatting>
  <conditionalFormatting sqref="DG8:DG10">
    <cfRule type="expression" dxfId="3033" priority="3183" stopIfTrue="1">
      <formula>IF(DG$8="判定対象外",TRUE,FALSE)</formula>
    </cfRule>
  </conditionalFormatting>
  <conditionalFormatting sqref="DH8:DH10">
    <cfRule type="expression" dxfId="3032" priority="3182" stopIfTrue="1">
      <formula>IF(DG$8="判定対象外",TRUE,FALSE)</formula>
    </cfRule>
  </conditionalFormatting>
  <conditionalFormatting sqref="DI11:DI34 DI71:DI81 DI36:DI56">
    <cfRule type="expression" dxfId="3031" priority="3179" stopIfTrue="1">
      <formula>IF(DI11="-",TRUE,FALSE)</formula>
    </cfRule>
    <cfRule type="expression" dxfId="3030" priority="3180" stopIfTrue="1">
      <formula>IF(OR(DI11="OK"),FALSE,TRUE)</formula>
    </cfRule>
  </conditionalFormatting>
  <conditionalFormatting sqref="DH11:DH34 DH71:DH81 DH36:DH56">
    <cfRule type="expression" dxfId="3029" priority="3178" stopIfTrue="1">
      <formula>IF(DG$8="判定対象外",TRUE,FALSE)</formula>
    </cfRule>
  </conditionalFormatting>
  <conditionalFormatting sqref="DF72:DF81 DF21:DF34 DF36:DF46">
    <cfRule type="expression" dxfId="3028" priority="3177" stopIfTrue="1">
      <formula>IF(DG$8="判定対象外",TRUE,FALSE)</formula>
    </cfRule>
  </conditionalFormatting>
  <conditionalFormatting sqref="DF42:DF44">
    <cfRule type="expression" dxfId="3027" priority="3175" stopIfTrue="1">
      <formula>IF(DG$8="判定対象外",TRUE,FALSE)</formula>
    </cfRule>
  </conditionalFormatting>
  <conditionalFormatting sqref="DF46">
    <cfRule type="expression" dxfId="3026" priority="3174" stopIfTrue="1">
      <formula>IF(DG$8="判定対象外",TRUE,FALSE)</formula>
    </cfRule>
  </conditionalFormatting>
  <conditionalFormatting sqref="DF42:DF44">
    <cfRule type="expression" dxfId="3025" priority="3173" stopIfTrue="1">
      <formula>IF(DG$8="判定対象外",TRUE,FALSE)</formula>
    </cfRule>
  </conditionalFormatting>
  <conditionalFormatting sqref="DF42:DF44">
    <cfRule type="expression" dxfId="3024" priority="3172" stopIfTrue="1">
      <formula>IF(DG$8="判定対象外",TRUE,FALSE)</formula>
    </cfRule>
  </conditionalFormatting>
  <conditionalFormatting sqref="DF42:DF44">
    <cfRule type="expression" dxfId="3023" priority="3171" stopIfTrue="1">
      <formula>IF(DG$8="判定対象外",TRUE,FALSE)</formula>
    </cfRule>
  </conditionalFormatting>
  <conditionalFormatting sqref="DF42:DF44">
    <cfRule type="expression" dxfId="3022" priority="3170" stopIfTrue="1">
      <formula>IF(DG$8="判定対象外",TRUE,FALSE)</formula>
    </cfRule>
  </conditionalFormatting>
  <conditionalFormatting sqref="DF42:DF44">
    <cfRule type="expression" dxfId="3021" priority="3169" stopIfTrue="1">
      <formula>IF(DG$8="判定対象外",TRUE,FALSE)</formula>
    </cfRule>
  </conditionalFormatting>
  <conditionalFormatting sqref="DF42:DF44">
    <cfRule type="expression" dxfId="3020" priority="3168" stopIfTrue="1">
      <formula>IF(DG$8="判定対象外",TRUE,FALSE)</formula>
    </cfRule>
  </conditionalFormatting>
  <conditionalFormatting sqref="DF42:DF44">
    <cfRule type="expression" dxfId="3019" priority="3167" stopIfTrue="1">
      <formula>IF(DG$8="判定対象外",TRUE,FALSE)</formula>
    </cfRule>
  </conditionalFormatting>
  <conditionalFormatting sqref="DF38">
    <cfRule type="expression" dxfId="3018" priority="3181" stopIfTrue="1">
      <formula>IF(#REF!="判定対象外",TRUE,FALSE)</formula>
    </cfRule>
  </conditionalFormatting>
  <conditionalFormatting sqref="DG11:DG34 DG71:DG81 DG36:DG56">
    <cfRule type="expression" dxfId="3017" priority="3166" stopIfTrue="1">
      <formula>IF(DG$8="判定対象外",TRUE,FALSE)</formula>
    </cfRule>
  </conditionalFormatting>
  <conditionalFormatting sqref="DF48">
    <cfRule type="expression" dxfId="3016" priority="3165" stopIfTrue="1">
      <formula>IF(DG$8="判定対象外",TRUE,FALSE)</formula>
    </cfRule>
  </conditionalFormatting>
  <conditionalFormatting sqref="DF51">
    <cfRule type="expression" dxfId="3015" priority="3164" stopIfTrue="1">
      <formula>IF(DG$8="判定対象外",TRUE,FALSE)</formula>
    </cfRule>
  </conditionalFormatting>
  <conditionalFormatting sqref="DF52 DF55 DF67 DF70">
    <cfRule type="expression" dxfId="3014" priority="3163" stopIfTrue="1">
      <formula>IF(DG$8="判定対象外",TRUE,FALSE)</formula>
    </cfRule>
  </conditionalFormatting>
  <conditionalFormatting sqref="DF11:DF20">
    <cfRule type="expression" dxfId="3013" priority="3162" stopIfTrue="1">
      <formula>IF(DG$8="判定対象外",TRUE,FALSE)</formula>
    </cfRule>
  </conditionalFormatting>
  <conditionalFormatting sqref="DF16:DF18">
    <cfRule type="expression" dxfId="3012" priority="3161" stopIfTrue="1">
      <formula>IF(DG$8="判定対象外",TRUE,FALSE)</formula>
    </cfRule>
  </conditionalFormatting>
  <conditionalFormatting sqref="DF20">
    <cfRule type="expression" dxfId="3011" priority="3160" stopIfTrue="1">
      <formula>IF(DG$8="判定対象外",TRUE,FALSE)</formula>
    </cfRule>
  </conditionalFormatting>
  <conditionalFormatting sqref="DF16:DF20">
    <cfRule type="expression" dxfId="3010" priority="3159" stopIfTrue="1">
      <formula>IF(DG$8="判定対象外",TRUE,FALSE)</formula>
    </cfRule>
  </conditionalFormatting>
  <conditionalFormatting sqref="DF11:DF20">
    <cfRule type="expression" dxfId="3009" priority="3158" stopIfTrue="1">
      <formula>IF(DG$8="判定対象外",TRUE,FALSE)</formula>
    </cfRule>
  </conditionalFormatting>
  <conditionalFormatting sqref="DF20">
    <cfRule type="expression" dxfId="3008" priority="3156" stopIfTrue="1">
      <formula>IF(DG$8="判定対象外",TRUE,FALSE)</formula>
    </cfRule>
  </conditionalFormatting>
  <conditionalFormatting sqref="DF16:DF20">
    <cfRule type="expression" dxfId="3007" priority="3155" stopIfTrue="1">
      <formula>IF(DG$8="判定対象外",TRUE,FALSE)</formula>
    </cfRule>
  </conditionalFormatting>
  <conditionalFormatting sqref="DF11:DF20">
    <cfRule type="expression" dxfId="3006" priority="3154" stopIfTrue="1">
      <formula>IF(DG$8="判定対象外",TRUE,FALSE)</formula>
    </cfRule>
  </conditionalFormatting>
  <conditionalFormatting sqref="DF16:DF18">
    <cfRule type="expression" dxfId="3005" priority="3153" stopIfTrue="1">
      <formula>IF(DG$8="判定対象外",TRUE,FALSE)</formula>
    </cfRule>
  </conditionalFormatting>
  <conditionalFormatting sqref="DF20">
    <cfRule type="expression" dxfId="3004" priority="3152" stopIfTrue="1">
      <formula>IF(DG$8="判定対象外",TRUE,FALSE)</formula>
    </cfRule>
  </conditionalFormatting>
  <conditionalFormatting sqref="DF16:DF20">
    <cfRule type="expression" dxfId="3003" priority="3151" stopIfTrue="1">
      <formula>IF(DG$8="判定対象外",TRUE,FALSE)</formula>
    </cfRule>
  </conditionalFormatting>
  <conditionalFormatting sqref="DF11:DF13">
    <cfRule type="expression" dxfId="3002" priority="3150" stopIfTrue="1">
      <formula>IF(DG$8="判定対象外",TRUE,FALSE)</formula>
    </cfRule>
  </conditionalFormatting>
  <conditionalFormatting sqref="DF15">
    <cfRule type="expression" dxfId="3001" priority="3149" stopIfTrue="1">
      <formula>IF(DG$8="判定対象外",TRUE,FALSE)</formula>
    </cfRule>
  </conditionalFormatting>
  <conditionalFormatting sqref="DF19">
    <cfRule type="expression" dxfId="3000" priority="3148" stopIfTrue="1">
      <formula>IF(DG$8="判定対象外",TRUE,FALSE)</formula>
    </cfRule>
  </conditionalFormatting>
  <conditionalFormatting sqref="DF20">
    <cfRule type="expression" dxfId="2999" priority="3146" stopIfTrue="1">
      <formula>IF(DG$8="判定対象外",TRUE,FALSE)</formula>
    </cfRule>
  </conditionalFormatting>
  <conditionalFormatting sqref="DF20">
    <cfRule type="expression" dxfId="2998" priority="3145" stopIfTrue="1">
      <formula>IF(DG$8="判定対象外",TRUE,FALSE)</formula>
    </cfRule>
  </conditionalFormatting>
  <conditionalFormatting sqref="DF20">
    <cfRule type="expression" dxfId="2997" priority="3144" stopIfTrue="1">
      <formula>IF(DG$8="判定対象外",TRUE,FALSE)</formula>
    </cfRule>
  </conditionalFormatting>
  <conditionalFormatting sqref="DF13">
    <cfRule type="expression" dxfId="2996" priority="3143" stopIfTrue="1">
      <formula>IF(DG$8="判定対象外",TRUE,FALSE)</formula>
    </cfRule>
  </conditionalFormatting>
  <conditionalFormatting sqref="DF47">
    <cfRule type="expression" dxfId="2995" priority="3142" stopIfTrue="1">
      <formula>IF(DG$8="判定対象外",TRUE,FALSE)</formula>
    </cfRule>
  </conditionalFormatting>
  <conditionalFormatting sqref="DF47">
    <cfRule type="expression" dxfId="2994" priority="3141" stopIfTrue="1">
      <formula>IF(DG$8="判定対象外",TRUE,FALSE)</formula>
    </cfRule>
  </conditionalFormatting>
  <conditionalFormatting sqref="DF49">
    <cfRule type="expression" dxfId="2993" priority="3140" stopIfTrue="1">
      <formula>IF(DG$8="判定対象外",TRUE,FALSE)</formula>
    </cfRule>
  </conditionalFormatting>
  <conditionalFormatting sqref="DF49">
    <cfRule type="expression" dxfId="2992" priority="3139" stopIfTrue="1">
      <formula>IF(DG$8="判定対象外",TRUE,FALSE)</formula>
    </cfRule>
  </conditionalFormatting>
  <conditionalFormatting sqref="DF50">
    <cfRule type="expression" dxfId="2991" priority="3138" stopIfTrue="1">
      <formula>IF(DG$8="判定対象外",TRUE,FALSE)</formula>
    </cfRule>
  </conditionalFormatting>
  <conditionalFormatting sqref="DF50">
    <cfRule type="expression" dxfId="2990" priority="3137" stopIfTrue="1">
      <formula>IF(DG$8="判定対象外",TRUE,FALSE)</formula>
    </cfRule>
  </conditionalFormatting>
  <conditionalFormatting sqref="DF54 DF57 DF66 DF69">
    <cfRule type="expression" dxfId="2989" priority="3135" stopIfTrue="1">
      <formula>IF(DG$8="判定対象外",TRUE,FALSE)</formula>
    </cfRule>
  </conditionalFormatting>
  <conditionalFormatting sqref="DI57">
    <cfRule type="expression" dxfId="2988" priority="3133" stopIfTrue="1">
      <formula>IF(DI57="-",TRUE,FALSE)</formula>
    </cfRule>
    <cfRule type="expression" dxfId="2987" priority="3134" stopIfTrue="1">
      <formula>IF(OR(DI57="OK"),FALSE,TRUE)</formula>
    </cfRule>
  </conditionalFormatting>
  <conditionalFormatting sqref="DH57">
    <cfRule type="expression" dxfId="2986" priority="3132" stopIfTrue="1">
      <formula>IF(DG$8="判定対象外",TRUE,FALSE)</formula>
    </cfRule>
  </conditionalFormatting>
  <conditionalFormatting sqref="DG57">
    <cfRule type="expression" dxfId="2985" priority="3131" stopIfTrue="1">
      <formula>IF(DG$8="判定対象外",TRUE,FALSE)</formula>
    </cfRule>
  </conditionalFormatting>
  <conditionalFormatting sqref="DI58:DI64">
    <cfRule type="expression" dxfId="2984" priority="3129" stopIfTrue="1">
      <formula>IF(DI58="-",TRUE,FALSE)</formula>
    </cfRule>
    <cfRule type="expression" dxfId="2983" priority="3130" stopIfTrue="1">
      <formula>IF(OR(DI58="OK"),FALSE,TRUE)</formula>
    </cfRule>
  </conditionalFormatting>
  <conditionalFormatting sqref="DH58:DH64">
    <cfRule type="expression" dxfId="2982" priority="3128" stopIfTrue="1">
      <formula>IF(DG$8="判定対象外",TRUE,FALSE)</formula>
    </cfRule>
  </conditionalFormatting>
  <conditionalFormatting sqref="DG58:DG64">
    <cfRule type="expression" dxfId="2981" priority="3127" stopIfTrue="1">
      <formula>IF(DG$8="判定対象外",TRUE,FALSE)</formula>
    </cfRule>
  </conditionalFormatting>
  <conditionalFormatting sqref="DI65:DI70">
    <cfRule type="expression" dxfId="2980" priority="3125" stopIfTrue="1">
      <formula>IF(DI65="-",TRUE,FALSE)</formula>
    </cfRule>
    <cfRule type="expression" dxfId="2979" priority="3126" stopIfTrue="1">
      <formula>IF(OR(DI65="OK"),FALSE,TRUE)</formula>
    </cfRule>
  </conditionalFormatting>
  <conditionalFormatting sqref="DH65:DH70">
    <cfRule type="expression" dxfId="2978" priority="3124" stopIfTrue="1">
      <formula>IF(DG$8="判定対象外",TRUE,FALSE)</formula>
    </cfRule>
  </conditionalFormatting>
  <conditionalFormatting sqref="DG65:DG70">
    <cfRule type="expression" dxfId="2977" priority="3123" stopIfTrue="1">
      <formula>IF(DG$8="判定対象外",TRUE,FALSE)</formula>
    </cfRule>
  </conditionalFormatting>
  <conditionalFormatting sqref="DF58">
    <cfRule type="expression" dxfId="2976" priority="3112" stopIfTrue="1">
      <formula>IF(DG$8="判定対象外",TRUE,FALSE)</formula>
    </cfRule>
  </conditionalFormatting>
  <conditionalFormatting sqref="CX58">
    <cfRule type="expression" dxfId="2975" priority="3122" stopIfTrue="1">
      <formula>IF(CY$8="判定対象外",TRUE,FALSE)</formula>
    </cfRule>
  </conditionalFormatting>
  <conditionalFormatting sqref="DA58">
    <cfRule type="expression" dxfId="2974" priority="3120" stopIfTrue="1">
      <formula>IF(DA58="-",TRUE,FALSE)</formula>
    </cfRule>
    <cfRule type="expression" dxfId="2973" priority="3121" stopIfTrue="1">
      <formula>IF(OR(DA58="OK"),FALSE,TRUE)</formula>
    </cfRule>
  </conditionalFormatting>
  <conditionalFormatting sqref="CZ58">
    <cfRule type="expression" dxfId="2972" priority="3119" stopIfTrue="1">
      <formula>IF(CY$8="判定対象外",TRUE,FALSE)</formula>
    </cfRule>
  </conditionalFormatting>
  <conditionalFormatting sqref="CY58">
    <cfRule type="expression" dxfId="2971" priority="3118" stopIfTrue="1">
      <formula>IF(CY$8="判定対象外",TRUE,FALSE)</formula>
    </cfRule>
  </conditionalFormatting>
  <conditionalFormatting sqref="DB58">
    <cfRule type="expression" dxfId="2970" priority="3117" stopIfTrue="1">
      <formula>IF(DC$8="判定対象外",TRUE,FALSE)</formula>
    </cfRule>
  </conditionalFormatting>
  <conditionalFormatting sqref="DE58">
    <cfRule type="expression" dxfId="2969" priority="3115" stopIfTrue="1">
      <formula>IF(DE58="-",TRUE,FALSE)</formula>
    </cfRule>
    <cfRule type="expression" dxfId="2968" priority="3116" stopIfTrue="1">
      <formula>IF(OR(DE58="OK"),FALSE,TRUE)</formula>
    </cfRule>
  </conditionalFormatting>
  <conditionalFormatting sqref="DD58">
    <cfRule type="expression" dxfId="2967" priority="3114" stopIfTrue="1">
      <formula>IF(DC$8="判定対象外",TRUE,FALSE)</formula>
    </cfRule>
  </conditionalFormatting>
  <conditionalFormatting sqref="DC58">
    <cfRule type="expression" dxfId="2966" priority="3113" stopIfTrue="1">
      <formula>IF(DC$8="判定対象外",TRUE,FALSE)</formula>
    </cfRule>
  </conditionalFormatting>
  <conditionalFormatting sqref="DB59">
    <cfRule type="expression" dxfId="2965" priority="3106" stopIfTrue="1">
      <formula>IF(DC$8="判定対象外",TRUE,FALSE)</formula>
    </cfRule>
  </conditionalFormatting>
  <conditionalFormatting sqref="DE59">
    <cfRule type="expression" dxfId="2964" priority="3104" stopIfTrue="1">
      <formula>IF(DE59="-",TRUE,FALSE)</formula>
    </cfRule>
    <cfRule type="expression" dxfId="2963" priority="3105" stopIfTrue="1">
      <formula>IF(OR(DE59="OK"),FALSE,TRUE)</formula>
    </cfRule>
  </conditionalFormatting>
  <conditionalFormatting sqref="DD59">
    <cfRule type="expression" dxfId="2962" priority="3103" stopIfTrue="1">
      <formula>IF(DC$8="判定対象外",TRUE,FALSE)</formula>
    </cfRule>
  </conditionalFormatting>
  <conditionalFormatting sqref="DC59">
    <cfRule type="expression" dxfId="2961" priority="3102" stopIfTrue="1">
      <formula>IF(DC$8="判定対象外",TRUE,FALSE)</formula>
    </cfRule>
  </conditionalFormatting>
  <conditionalFormatting sqref="DB60">
    <cfRule type="expression" dxfId="2960" priority="3095" stopIfTrue="1">
      <formula>IF(DC$8="判定対象外",TRUE,FALSE)</formula>
    </cfRule>
  </conditionalFormatting>
  <conditionalFormatting sqref="DE60">
    <cfRule type="expression" dxfId="2959" priority="3093" stopIfTrue="1">
      <formula>IF(DE60="-",TRUE,FALSE)</formula>
    </cfRule>
    <cfRule type="expression" dxfId="2958" priority="3094" stopIfTrue="1">
      <formula>IF(OR(DE60="OK"),FALSE,TRUE)</formula>
    </cfRule>
  </conditionalFormatting>
  <conditionalFormatting sqref="DD60">
    <cfRule type="expression" dxfId="2957" priority="3092" stopIfTrue="1">
      <formula>IF(DC$8="判定対象外",TRUE,FALSE)</formula>
    </cfRule>
  </conditionalFormatting>
  <conditionalFormatting sqref="DC60">
    <cfRule type="expression" dxfId="2956" priority="3091" stopIfTrue="1">
      <formula>IF(DC$8="判定対象外",TRUE,FALSE)</formula>
    </cfRule>
  </conditionalFormatting>
  <conditionalFormatting sqref="DB61">
    <cfRule type="expression" dxfId="2955" priority="3084" stopIfTrue="1">
      <formula>IF(DC$8="判定対象外",TRUE,FALSE)</formula>
    </cfRule>
  </conditionalFormatting>
  <conditionalFormatting sqref="DE61">
    <cfRule type="expression" dxfId="2954" priority="3082" stopIfTrue="1">
      <formula>IF(DE61="-",TRUE,FALSE)</formula>
    </cfRule>
    <cfRule type="expression" dxfId="2953" priority="3083" stopIfTrue="1">
      <formula>IF(OR(DE61="OK"),FALSE,TRUE)</formula>
    </cfRule>
  </conditionalFormatting>
  <conditionalFormatting sqref="DD61">
    <cfRule type="expression" dxfId="2952" priority="3081" stopIfTrue="1">
      <formula>IF(DC$8="判定対象外",TRUE,FALSE)</formula>
    </cfRule>
  </conditionalFormatting>
  <conditionalFormatting sqref="DC61">
    <cfRule type="expression" dxfId="2951" priority="3080" stopIfTrue="1">
      <formula>IF(DC$8="判定対象外",TRUE,FALSE)</formula>
    </cfRule>
  </conditionalFormatting>
  <conditionalFormatting sqref="ET66">
    <cfRule type="expression" dxfId="2950" priority="1869" stopIfTrue="1">
      <formula>IF(EU$8="判定対象外",TRUE,FALSE)</formula>
    </cfRule>
  </conditionalFormatting>
  <conditionalFormatting sqref="EW66">
    <cfRule type="expression" dxfId="2949" priority="1867" stopIfTrue="1">
      <formula>IF(EW66="-",TRUE,FALSE)</formula>
    </cfRule>
    <cfRule type="expression" dxfId="2948" priority="1868" stopIfTrue="1">
      <formula>IF(OR(EW66="OK"),FALSE,TRUE)</formula>
    </cfRule>
  </conditionalFormatting>
  <conditionalFormatting sqref="EV66">
    <cfRule type="expression" dxfId="2947" priority="1866" stopIfTrue="1">
      <formula>IF(EU$8="判定対象外",TRUE,FALSE)</formula>
    </cfRule>
  </conditionalFormatting>
  <conditionalFormatting sqref="EU66">
    <cfRule type="expression" dxfId="2946" priority="1865" stopIfTrue="1">
      <formula>IF(EU$8="判定対象外",TRUE,FALSE)</formula>
    </cfRule>
  </conditionalFormatting>
  <conditionalFormatting sqref="FF68">
    <cfRule type="expression" dxfId="2945" priority="1517" stopIfTrue="1">
      <formula>IF(FG$8="判定対象外",TRUE,FALSE)</formula>
    </cfRule>
  </conditionalFormatting>
  <conditionalFormatting sqref="FI68">
    <cfRule type="expression" dxfId="2944" priority="1515" stopIfTrue="1">
      <formula>IF(FI68="-",TRUE,FALSE)</formula>
    </cfRule>
    <cfRule type="expression" dxfId="2943" priority="1516" stopIfTrue="1">
      <formula>IF(OR(FI68="OK"),FALSE,TRUE)</formula>
    </cfRule>
  </conditionalFormatting>
  <conditionalFormatting sqref="FH68">
    <cfRule type="expression" dxfId="2942" priority="1514" stopIfTrue="1">
      <formula>IF(FG$8="判定対象外",TRUE,FALSE)</formula>
    </cfRule>
  </conditionalFormatting>
  <conditionalFormatting sqref="FG68">
    <cfRule type="expression" dxfId="2941" priority="1513" stopIfTrue="1">
      <formula>IF(FG$8="判定対象外",TRUE,FALSE)</formula>
    </cfRule>
  </conditionalFormatting>
  <conditionalFormatting sqref="DB62">
    <cfRule type="expression" dxfId="2940" priority="3062" stopIfTrue="1">
      <formula>IF(DC$8="判定対象外",TRUE,FALSE)</formula>
    </cfRule>
  </conditionalFormatting>
  <conditionalFormatting sqref="DE62">
    <cfRule type="expression" dxfId="2939" priority="3060" stopIfTrue="1">
      <formula>IF(DE62="-",TRUE,FALSE)</formula>
    </cfRule>
    <cfRule type="expression" dxfId="2938" priority="3061" stopIfTrue="1">
      <formula>IF(OR(DE62="OK"),FALSE,TRUE)</formula>
    </cfRule>
  </conditionalFormatting>
  <conditionalFormatting sqref="DD62">
    <cfRule type="expression" dxfId="2937" priority="3059" stopIfTrue="1">
      <formula>IF(DC$8="判定対象外",TRUE,FALSE)</formula>
    </cfRule>
  </conditionalFormatting>
  <conditionalFormatting sqref="DC62">
    <cfRule type="expression" dxfId="2936" priority="3058" stopIfTrue="1">
      <formula>IF(DC$8="判定対象外",TRUE,FALSE)</formula>
    </cfRule>
  </conditionalFormatting>
  <conditionalFormatting sqref="FZ69">
    <cfRule type="expression" dxfId="2935" priority="1102" stopIfTrue="1">
      <formula>IF(GA$8="判定対象外",TRUE,FALSE)</formula>
    </cfRule>
  </conditionalFormatting>
  <conditionalFormatting sqref="DR65">
    <cfRule type="expression" dxfId="2934" priority="2763" stopIfTrue="1">
      <formula>IF(DS$8="判定対象外",TRUE,FALSE)</formula>
    </cfRule>
  </conditionalFormatting>
  <conditionalFormatting sqref="CX64">
    <cfRule type="expression" dxfId="2933" priority="3056" stopIfTrue="1">
      <formula>IF(CY$8="判定対象外",TRUE,FALSE)</formula>
    </cfRule>
  </conditionalFormatting>
  <conditionalFormatting sqref="DA64">
    <cfRule type="expression" dxfId="2932" priority="3054" stopIfTrue="1">
      <formula>IF(DA64="-",TRUE,FALSE)</formula>
    </cfRule>
    <cfRule type="expression" dxfId="2931" priority="3055" stopIfTrue="1">
      <formula>IF(OR(DA64="OK"),FALSE,TRUE)</formula>
    </cfRule>
  </conditionalFormatting>
  <conditionalFormatting sqref="CZ64">
    <cfRule type="expression" dxfId="2930" priority="3053" stopIfTrue="1">
      <formula>IF(CY$8="判定対象外",TRUE,FALSE)</formula>
    </cfRule>
  </conditionalFormatting>
  <conditionalFormatting sqref="CY64">
    <cfRule type="expression" dxfId="2929" priority="3052" stopIfTrue="1">
      <formula>IF(CY$8="判定対象外",TRUE,FALSE)</formula>
    </cfRule>
  </conditionalFormatting>
  <conditionalFormatting sqref="DE64">
    <cfRule type="expression" dxfId="2928" priority="3050" stopIfTrue="1">
      <formula>IF(DE64="-",TRUE,FALSE)</formula>
    </cfRule>
    <cfRule type="expression" dxfId="2927" priority="3051" stopIfTrue="1">
      <formula>IF(OR(DE64="OK"),FALSE,TRUE)</formula>
    </cfRule>
  </conditionalFormatting>
  <conditionalFormatting sqref="DD64">
    <cfRule type="expression" dxfId="2926" priority="3049" stopIfTrue="1">
      <formula>IF(DC$8="判定対象外",TRUE,FALSE)</formula>
    </cfRule>
  </conditionalFormatting>
  <conditionalFormatting sqref="DC64">
    <cfRule type="expression" dxfId="2925" priority="3048" stopIfTrue="1">
      <formula>IF(DC$8="判定対象外",TRUE,FALSE)</formula>
    </cfRule>
  </conditionalFormatting>
  <conditionalFormatting sqref="CX63">
    <cfRule type="expression" dxfId="2924" priority="3045" stopIfTrue="1">
      <formula>IF(CY$8="判定対象外",TRUE,FALSE)</formula>
    </cfRule>
  </conditionalFormatting>
  <conditionalFormatting sqref="DA63">
    <cfRule type="expression" dxfId="2923" priority="3043" stopIfTrue="1">
      <formula>IF(DA63="-",TRUE,FALSE)</formula>
    </cfRule>
    <cfRule type="expression" dxfId="2922" priority="3044" stopIfTrue="1">
      <formula>IF(OR(DA63="OK"),FALSE,TRUE)</formula>
    </cfRule>
  </conditionalFormatting>
  <conditionalFormatting sqref="CZ63">
    <cfRule type="expression" dxfId="2921" priority="3042" stopIfTrue="1">
      <formula>IF(CY$8="判定対象外",TRUE,FALSE)</formula>
    </cfRule>
  </conditionalFormatting>
  <conditionalFormatting sqref="CY63">
    <cfRule type="expression" dxfId="2920" priority="3041" stopIfTrue="1">
      <formula>IF(CY$8="判定対象外",TRUE,FALSE)</formula>
    </cfRule>
  </conditionalFormatting>
  <conditionalFormatting sqref="DB63">
    <cfRule type="expression" dxfId="2919" priority="3040" stopIfTrue="1">
      <formula>IF(DC$8="判定対象外",TRUE,FALSE)</formula>
    </cfRule>
  </conditionalFormatting>
  <conditionalFormatting sqref="DE63">
    <cfRule type="expression" dxfId="2918" priority="3038" stopIfTrue="1">
      <formula>IF(DE63="-",TRUE,FALSE)</formula>
    </cfRule>
    <cfRule type="expression" dxfId="2917" priority="3039" stopIfTrue="1">
      <formula>IF(OR(DE63="OK"),FALSE,TRUE)</formula>
    </cfRule>
  </conditionalFormatting>
  <conditionalFormatting sqref="DD63">
    <cfRule type="expression" dxfId="2916" priority="3037" stopIfTrue="1">
      <formula>IF(DC$8="判定対象外",TRUE,FALSE)</formula>
    </cfRule>
  </conditionalFormatting>
  <conditionalFormatting sqref="DC63">
    <cfRule type="expression" dxfId="2915" priority="3036" stopIfTrue="1">
      <formula>IF(DC$8="判定対象外",TRUE,FALSE)</formula>
    </cfRule>
  </conditionalFormatting>
  <conditionalFormatting sqref="DF63">
    <cfRule type="expression" dxfId="2914" priority="3035" stopIfTrue="1">
      <formula>IF(DG$8="判定対象外",TRUE,FALSE)</formula>
    </cfRule>
  </conditionalFormatting>
  <conditionalFormatting sqref="DR62">
    <cfRule type="expression" dxfId="2913" priority="2796" stopIfTrue="1">
      <formula>IF(DS$8="判定対象外",TRUE,FALSE)</formula>
    </cfRule>
  </conditionalFormatting>
  <conditionalFormatting sqref="DJ62">
    <cfRule type="expression" dxfId="2912" priority="2806" stopIfTrue="1">
      <formula>IF(DK$8="判定対象外",TRUE,FALSE)</formula>
    </cfRule>
  </conditionalFormatting>
  <conditionalFormatting sqref="DM62">
    <cfRule type="expression" dxfId="2911" priority="2804" stopIfTrue="1">
      <formula>IF(DM62="-",TRUE,FALSE)</formula>
    </cfRule>
    <cfRule type="expression" dxfId="2910" priority="2805" stopIfTrue="1">
      <formula>IF(OR(DM62="OK"),FALSE,TRUE)</formula>
    </cfRule>
  </conditionalFormatting>
  <conditionalFormatting sqref="DL62">
    <cfRule type="expression" dxfId="2909" priority="2803" stopIfTrue="1">
      <formula>IF(DK$8="判定対象外",TRUE,FALSE)</formula>
    </cfRule>
  </conditionalFormatting>
  <conditionalFormatting sqref="DK62">
    <cfRule type="expression" dxfId="2908" priority="2802" stopIfTrue="1">
      <formula>IF(DK$8="判定対象外",TRUE,FALSE)</formula>
    </cfRule>
  </conditionalFormatting>
  <conditionalFormatting sqref="GL70">
    <cfRule type="expression" dxfId="2907" priority="624" stopIfTrue="1">
      <formula>IF(GM$8="判定対象外",TRUE,FALSE)</formula>
    </cfRule>
  </conditionalFormatting>
  <conditionalFormatting sqref="DR61">
    <cfRule type="expression" dxfId="2906" priority="2807" stopIfTrue="1">
      <formula>IF(DS$8="判定対象外",TRUE,FALSE)</formula>
    </cfRule>
  </conditionalFormatting>
  <conditionalFormatting sqref="DJ61">
    <cfRule type="expression" dxfId="2905" priority="2817" stopIfTrue="1">
      <formula>IF(DK$8="判定対象外",TRUE,FALSE)</formula>
    </cfRule>
  </conditionalFormatting>
  <conditionalFormatting sqref="DM61">
    <cfRule type="expression" dxfId="2904" priority="2815" stopIfTrue="1">
      <formula>IF(DM61="-",TRUE,FALSE)</formula>
    </cfRule>
    <cfRule type="expression" dxfId="2903" priority="2816" stopIfTrue="1">
      <formula>IF(OR(DM61="OK"),FALSE,TRUE)</formula>
    </cfRule>
  </conditionalFormatting>
  <conditionalFormatting sqref="DL61">
    <cfRule type="expression" dxfId="2902" priority="2814" stopIfTrue="1">
      <formula>IF(DK$8="判定対象外",TRUE,FALSE)</formula>
    </cfRule>
  </conditionalFormatting>
  <conditionalFormatting sqref="DK61">
    <cfRule type="expression" dxfId="2901" priority="2813" stopIfTrue="1">
      <formula>IF(DK$8="判定対象外",TRUE,FALSE)</formula>
    </cfRule>
  </conditionalFormatting>
  <conditionalFormatting sqref="DR60">
    <cfRule type="expression" dxfId="2900" priority="2818" stopIfTrue="1">
      <formula>IF(DS$8="判定対象外",TRUE,FALSE)</formula>
    </cfRule>
  </conditionalFormatting>
  <conditionalFormatting sqref="DR53 DR56 DR68 DR71">
    <cfRule type="expression" dxfId="2899" priority="2864" stopIfTrue="1">
      <formula>IF(DS$8="判定対象外",TRUE,FALSE)</formula>
    </cfRule>
  </conditionalFormatting>
  <conditionalFormatting sqref="DJ60">
    <cfRule type="expression" dxfId="2898" priority="2828" stopIfTrue="1">
      <formula>IF(DK$8="判定対象外",TRUE,FALSE)</formula>
    </cfRule>
  </conditionalFormatting>
  <conditionalFormatting sqref="DM60">
    <cfRule type="expression" dxfId="2897" priority="2826" stopIfTrue="1">
      <formula>IF(DM60="-",TRUE,FALSE)</formula>
    </cfRule>
    <cfRule type="expression" dxfId="2896" priority="2827" stopIfTrue="1">
      <formula>IF(OR(DM60="OK"),FALSE,TRUE)</formula>
    </cfRule>
  </conditionalFormatting>
  <conditionalFormatting sqref="DL60">
    <cfRule type="expression" dxfId="2895" priority="2825" stopIfTrue="1">
      <formula>IF(DK$8="判定対象外",TRUE,FALSE)</formula>
    </cfRule>
  </conditionalFormatting>
  <conditionalFormatting sqref="DK60">
    <cfRule type="expression" dxfId="2894" priority="2824" stopIfTrue="1">
      <formula>IF(DK$8="判定対象外",TRUE,FALSE)</formula>
    </cfRule>
  </conditionalFormatting>
  <conditionalFormatting sqref="DR19">
    <cfRule type="expression" dxfId="2893" priority="2875" stopIfTrue="1">
      <formula>IF(DS$8="判定対象外",TRUE,FALSE)</formula>
    </cfRule>
  </conditionalFormatting>
  <conditionalFormatting sqref="DR59">
    <cfRule type="expression" dxfId="2892" priority="2829" stopIfTrue="1">
      <formula>IF(DS$8="判定対象外",TRUE,FALSE)</formula>
    </cfRule>
  </conditionalFormatting>
  <conditionalFormatting sqref="DJ59">
    <cfRule type="expression" dxfId="2891" priority="2839" stopIfTrue="1">
      <formula>IF(DK$8="判定対象外",TRUE,FALSE)</formula>
    </cfRule>
  </conditionalFormatting>
  <conditionalFormatting sqref="DM59">
    <cfRule type="expression" dxfId="2890" priority="2837" stopIfTrue="1">
      <formula>IF(DM59="-",TRUE,FALSE)</formula>
    </cfRule>
    <cfRule type="expression" dxfId="2889" priority="2838" stopIfTrue="1">
      <formula>IF(OR(DM59="OK"),FALSE,TRUE)</formula>
    </cfRule>
  </conditionalFormatting>
  <conditionalFormatting sqref="DL59">
    <cfRule type="expression" dxfId="2888" priority="2836" stopIfTrue="1">
      <formula>IF(DK$8="判定対象外",TRUE,FALSE)</formula>
    </cfRule>
  </conditionalFormatting>
  <conditionalFormatting sqref="DK59">
    <cfRule type="expression" dxfId="2887" priority="2835" stopIfTrue="1">
      <formula>IF(DK$8="判定対象外",TRUE,FALSE)</formula>
    </cfRule>
  </conditionalFormatting>
  <conditionalFormatting sqref="DR16:DR18">
    <cfRule type="expression" dxfId="2886" priority="2885" stopIfTrue="1">
      <formula>IF(DS$8="判定対象外",TRUE,FALSE)</formula>
    </cfRule>
  </conditionalFormatting>
  <conditionalFormatting sqref="DM8:DM10">
    <cfRule type="expression" dxfId="2885" priority="3033" stopIfTrue="1">
      <formula>IF(DM8="-",TRUE,FALSE)</formula>
    </cfRule>
    <cfRule type="expression" dxfId="2884" priority="3034" stopIfTrue="1">
      <formula>IF(OR(DM8="OK"),FALSE,TRUE)</formula>
    </cfRule>
  </conditionalFormatting>
  <conditionalFormatting sqref="DJ8:DJ10">
    <cfRule type="expression" dxfId="2883" priority="3032" stopIfTrue="1">
      <formula>IF(DK$8="判定対象外",TRUE,FALSE)</formula>
    </cfRule>
  </conditionalFormatting>
  <conditionalFormatting sqref="DK8:DK10">
    <cfRule type="expression" dxfId="2882" priority="3031" stopIfTrue="1">
      <formula>IF(DK$8="判定対象外",TRUE,FALSE)</formula>
    </cfRule>
  </conditionalFormatting>
  <conditionalFormatting sqref="DL8:DL10">
    <cfRule type="expression" dxfId="2881" priority="3030" stopIfTrue="1">
      <formula>IF(DK$8="判定対象外",TRUE,FALSE)</formula>
    </cfRule>
  </conditionalFormatting>
  <conditionalFormatting sqref="DM11:DM34 DM71:DM81 DM36:DM56">
    <cfRule type="expression" dxfId="2880" priority="3027" stopIfTrue="1">
      <formula>IF(DM11="-",TRUE,FALSE)</formula>
    </cfRule>
    <cfRule type="expression" dxfId="2879" priority="3028" stopIfTrue="1">
      <formula>IF(OR(DM11="OK"),FALSE,TRUE)</formula>
    </cfRule>
  </conditionalFormatting>
  <conditionalFormatting sqref="DL11:DL34 DL71:DL81 DL36:DL56">
    <cfRule type="expression" dxfId="2878" priority="3026" stopIfTrue="1">
      <formula>IF(DK$8="判定対象外",TRUE,FALSE)</formula>
    </cfRule>
  </conditionalFormatting>
  <conditionalFormatting sqref="DJ72:DJ81 DJ21:DJ34 DJ36:DJ46">
    <cfRule type="expression" dxfId="2877" priority="3025" stopIfTrue="1">
      <formula>IF(DK$8="判定対象外",TRUE,FALSE)</formula>
    </cfRule>
  </conditionalFormatting>
  <conditionalFormatting sqref="DJ29:DJ32">
    <cfRule type="expression" dxfId="2876" priority="3024" stopIfTrue="1">
      <formula>IF(DK$8="判定対象外",TRUE,FALSE)</formula>
    </cfRule>
  </conditionalFormatting>
  <conditionalFormatting sqref="DJ42:DJ44">
    <cfRule type="expression" dxfId="2875" priority="3023" stopIfTrue="1">
      <formula>IF(DK$8="判定対象外",TRUE,FALSE)</formula>
    </cfRule>
  </conditionalFormatting>
  <conditionalFormatting sqref="DJ46">
    <cfRule type="expression" dxfId="2874" priority="3022" stopIfTrue="1">
      <formula>IF(DK$8="判定対象外",TRUE,FALSE)</formula>
    </cfRule>
  </conditionalFormatting>
  <conditionalFormatting sqref="DJ42:DJ44">
    <cfRule type="expression" dxfId="2873" priority="3021" stopIfTrue="1">
      <formula>IF(DK$8="判定対象外",TRUE,FALSE)</formula>
    </cfRule>
  </conditionalFormatting>
  <conditionalFormatting sqref="DJ42:DJ44">
    <cfRule type="expression" dxfId="2872" priority="3020" stopIfTrue="1">
      <formula>IF(DK$8="判定対象外",TRUE,FALSE)</formula>
    </cfRule>
  </conditionalFormatting>
  <conditionalFormatting sqref="DJ42:DJ44">
    <cfRule type="expression" dxfId="2871" priority="3019" stopIfTrue="1">
      <formula>IF(DK$8="判定対象外",TRUE,FALSE)</formula>
    </cfRule>
  </conditionalFormatting>
  <conditionalFormatting sqref="DJ42:DJ44">
    <cfRule type="expression" dxfId="2870" priority="3018" stopIfTrue="1">
      <formula>IF(DK$8="判定対象外",TRUE,FALSE)</formula>
    </cfRule>
  </conditionalFormatting>
  <conditionalFormatting sqref="DJ42:DJ44">
    <cfRule type="expression" dxfId="2869" priority="3017" stopIfTrue="1">
      <formula>IF(DK$8="判定対象外",TRUE,FALSE)</formula>
    </cfRule>
  </conditionalFormatting>
  <conditionalFormatting sqref="DJ42:DJ44">
    <cfRule type="expression" dxfId="2868" priority="3016" stopIfTrue="1">
      <formula>IF(DK$8="判定対象外",TRUE,FALSE)</formula>
    </cfRule>
  </conditionalFormatting>
  <conditionalFormatting sqref="DJ42:DJ44">
    <cfRule type="expression" dxfId="2867" priority="3015" stopIfTrue="1">
      <formula>IF(DK$8="判定対象外",TRUE,FALSE)</formula>
    </cfRule>
  </conditionalFormatting>
  <conditionalFormatting sqref="DJ38">
    <cfRule type="expression" dxfId="2866" priority="3029" stopIfTrue="1">
      <formula>IF(#REF!="判定対象外",TRUE,FALSE)</formula>
    </cfRule>
  </conditionalFormatting>
  <conditionalFormatting sqref="DK11:DK34 DK71:DK81 DK36:DK56">
    <cfRule type="expression" dxfId="2865" priority="3014" stopIfTrue="1">
      <formula>IF(DK$8="判定対象外",TRUE,FALSE)</formula>
    </cfRule>
  </conditionalFormatting>
  <conditionalFormatting sqref="DJ48">
    <cfRule type="expression" dxfId="2864" priority="3013" stopIfTrue="1">
      <formula>IF(DK$8="判定対象外",TRUE,FALSE)</formula>
    </cfRule>
  </conditionalFormatting>
  <conditionalFormatting sqref="DJ51">
    <cfRule type="expression" dxfId="2863" priority="3012" stopIfTrue="1">
      <formula>IF(DK$8="判定対象外",TRUE,FALSE)</formula>
    </cfRule>
  </conditionalFormatting>
  <conditionalFormatting sqref="DJ52 DJ55 DJ67 DJ70">
    <cfRule type="expression" dxfId="2862" priority="3011" stopIfTrue="1">
      <formula>IF(DK$8="判定対象外",TRUE,FALSE)</formula>
    </cfRule>
  </conditionalFormatting>
  <conditionalFormatting sqref="DJ11:DJ20">
    <cfRule type="expression" dxfId="2861" priority="3010" stopIfTrue="1">
      <formula>IF(DK$8="判定対象外",TRUE,FALSE)</formula>
    </cfRule>
  </conditionalFormatting>
  <conditionalFormatting sqref="DJ16:DJ18">
    <cfRule type="expression" dxfId="2860" priority="3009" stopIfTrue="1">
      <formula>IF(DK$8="判定対象外",TRUE,FALSE)</formula>
    </cfRule>
  </conditionalFormatting>
  <conditionalFormatting sqref="DJ20">
    <cfRule type="expression" dxfId="2859" priority="3008" stopIfTrue="1">
      <formula>IF(DK$8="判定対象外",TRUE,FALSE)</formula>
    </cfRule>
  </conditionalFormatting>
  <conditionalFormatting sqref="DJ16:DJ20">
    <cfRule type="expression" dxfId="2858" priority="3007" stopIfTrue="1">
      <formula>IF(DK$8="判定対象外",TRUE,FALSE)</formula>
    </cfRule>
  </conditionalFormatting>
  <conditionalFormatting sqref="DJ11:DJ20">
    <cfRule type="expression" dxfId="2857" priority="3006" stopIfTrue="1">
      <formula>IF(DK$8="判定対象外",TRUE,FALSE)</formula>
    </cfRule>
  </conditionalFormatting>
  <conditionalFormatting sqref="DJ16:DJ18">
    <cfRule type="expression" dxfId="2856" priority="3005" stopIfTrue="1">
      <formula>IF(DK$8="判定対象外",TRUE,FALSE)</formula>
    </cfRule>
  </conditionalFormatting>
  <conditionalFormatting sqref="DJ20">
    <cfRule type="expression" dxfId="2855" priority="3004" stopIfTrue="1">
      <formula>IF(DK$8="判定対象外",TRUE,FALSE)</formula>
    </cfRule>
  </conditionalFormatting>
  <conditionalFormatting sqref="DJ16:DJ20">
    <cfRule type="expression" dxfId="2854" priority="3003" stopIfTrue="1">
      <formula>IF(DK$8="判定対象外",TRUE,FALSE)</formula>
    </cfRule>
  </conditionalFormatting>
  <conditionalFormatting sqref="DJ11:DJ20">
    <cfRule type="expression" dxfId="2853" priority="3002" stopIfTrue="1">
      <formula>IF(DK$8="判定対象外",TRUE,FALSE)</formula>
    </cfRule>
  </conditionalFormatting>
  <conditionalFormatting sqref="DJ16:DJ18">
    <cfRule type="expression" dxfId="2852" priority="3001" stopIfTrue="1">
      <formula>IF(DK$8="判定対象外",TRUE,FALSE)</formula>
    </cfRule>
  </conditionalFormatting>
  <conditionalFormatting sqref="DJ20">
    <cfRule type="expression" dxfId="2851" priority="3000" stopIfTrue="1">
      <formula>IF(DK$8="判定対象外",TRUE,FALSE)</formula>
    </cfRule>
  </conditionalFormatting>
  <conditionalFormatting sqref="DJ16:DJ20">
    <cfRule type="expression" dxfId="2850" priority="2999" stopIfTrue="1">
      <formula>IF(DK$8="判定対象外",TRUE,FALSE)</formula>
    </cfRule>
  </conditionalFormatting>
  <conditionalFormatting sqref="DJ11:DJ13">
    <cfRule type="expression" dxfId="2849" priority="2998" stopIfTrue="1">
      <formula>IF(DK$8="判定対象外",TRUE,FALSE)</formula>
    </cfRule>
  </conditionalFormatting>
  <conditionalFormatting sqref="DJ15">
    <cfRule type="expression" dxfId="2848" priority="2997" stopIfTrue="1">
      <formula>IF(DK$8="判定対象外",TRUE,FALSE)</formula>
    </cfRule>
  </conditionalFormatting>
  <conditionalFormatting sqref="DJ19">
    <cfRule type="expression" dxfId="2847" priority="2996" stopIfTrue="1">
      <formula>IF(DK$8="判定対象外",TRUE,FALSE)</formula>
    </cfRule>
  </conditionalFormatting>
  <conditionalFormatting sqref="DJ19">
    <cfRule type="expression" dxfId="2846" priority="2995" stopIfTrue="1">
      <formula>IF(DK$8="判定対象外",TRUE,FALSE)</formula>
    </cfRule>
  </conditionalFormatting>
  <conditionalFormatting sqref="DJ20">
    <cfRule type="expression" dxfId="2845" priority="2994" stopIfTrue="1">
      <formula>IF(DK$8="判定対象外",TRUE,FALSE)</formula>
    </cfRule>
  </conditionalFormatting>
  <conditionalFormatting sqref="DJ20">
    <cfRule type="expression" dxfId="2844" priority="2993" stopIfTrue="1">
      <formula>IF(DK$8="判定対象外",TRUE,FALSE)</formula>
    </cfRule>
  </conditionalFormatting>
  <conditionalFormatting sqref="DJ20">
    <cfRule type="expression" dxfId="2843" priority="2992" stopIfTrue="1">
      <formula>IF(DK$8="判定対象外",TRUE,FALSE)</formula>
    </cfRule>
  </conditionalFormatting>
  <conditionalFormatting sqref="DJ13">
    <cfRule type="expression" dxfId="2842" priority="2991" stopIfTrue="1">
      <formula>IF(DK$8="判定対象外",TRUE,FALSE)</formula>
    </cfRule>
  </conditionalFormatting>
  <conditionalFormatting sqref="DJ47">
    <cfRule type="expression" dxfId="2841" priority="2990" stopIfTrue="1">
      <formula>IF(DK$8="判定対象外",TRUE,FALSE)</formula>
    </cfRule>
  </conditionalFormatting>
  <conditionalFormatting sqref="DJ47">
    <cfRule type="expression" dxfId="2840" priority="2989" stopIfTrue="1">
      <formula>IF(DK$8="判定対象外",TRUE,FALSE)</formula>
    </cfRule>
  </conditionalFormatting>
  <conditionalFormatting sqref="DJ49">
    <cfRule type="expression" dxfId="2839" priority="2988" stopIfTrue="1">
      <formula>IF(DK$8="判定対象外",TRUE,FALSE)</formula>
    </cfRule>
  </conditionalFormatting>
  <conditionalFormatting sqref="DJ49">
    <cfRule type="expression" dxfId="2838" priority="2987" stopIfTrue="1">
      <formula>IF(DK$8="判定対象外",TRUE,FALSE)</formula>
    </cfRule>
  </conditionalFormatting>
  <conditionalFormatting sqref="DJ50">
    <cfRule type="expression" dxfId="2837" priority="2986" stopIfTrue="1">
      <formula>IF(DK$8="判定対象外",TRUE,FALSE)</formula>
    </cfRule>
  </conditionalFormatting>
  <conditionalFormatting sqref="DJ50">
    <cfRule type="expression" dxfId="2836" priority="2985" stopIfTrue="1">
      <formula>IF(DK$8="判定対象外",TRUE,FALSE)</formula>
    </cfRule>
  </conditionalFormatting>
  <conditionalFormatting sqref="DJ53 DJ56 DJ68 DJ71">
    <cfRule type="expression" dxfId="2835" priority="2984" stopIfTrue="1">
      <formula>IF(DK$8="判定対象外",TRUE,FALSE)</formula>
    </cfRule>
  </conditionalFormatting>
  <conditionalFormatting sqref="DJ54 DJ57 DJ66 DJ69">
    <cfRule type="expression" dxfId="2834" priority="2983" stopIfTrue="1">
      <formula>IF(DK$8="判定対象外",TRUE,FALSE)</formula>
    </cfRule>
  </conditionalFormatting>
  <conditionalFormatting sqref="DM57">
    <cfRule type="expression" dxfId="2833" priority="2981" stopIfTrue="1">
      <formula>IF(DM57="-",TRUE,FALSE)</formula>
    </cfRule>
    <cfRule type="expression" dxfId="2832" priority="2982" stopIfTrue="1">
      <formula>IF(OR(DM57="OK"),FALSE,TRUE)</formula>
    </cfRule>
  </conditionalFormatting>
  <conditionalFormatting sqref="DL57">
    <cfRule type="expression" dxfId="2831" priority="2980" stopIfTrue="1">
      <formula>IF(DK$8="判定対象外",TRUE,FALSE)</formula>
    </cfRule>
  </conditionalFormatting>
  <conditionalFormatting sqref="DK57">
    <cfRule type="expression" dxfId="2830" priority="2979" stopIfTrue="1">
      <formula>IF(DK$8="判定対象外",TRUE,FALSE)</formula>
    </cfRule>
  </conditionalFormatting>
  <conditionalFormatting sqref="DM66:DM70">
    <cfRule type="expression" dxfId="2829" priority="2977" stopIfTrue="1">
      <formula>IF(DM66="-",TRUE,FALSE)</formula>
    </cfRule>
    <cfRule type="expression" dxfId="2828" priority="2978" stopIfTrue="1">
      <formula>IF(OR(DM66="OK"),FALSE,TRUE)</formula>
    </cfRule>
  </conditionalFormatting>
  <conditionalFormatting sqref="DL66:DL70">
    <cfRule type="expression" dxfId="2827" priority="2976" stopIfTrue="1">
      <formula>IF(DK$8="判定対象外",TRUE,FALSE)</formula>
    </cfRule>
  </conditionalFormatting>
  <conditionalFormatting sqref="DK66:DK70">
    <cfRule type="expression" dxfId="2826" priority="2975" stopIfTrue="1">
      <formula>IF(DK$8="判定対象外",TRUE,FALSE)</formula>
    </cfRule>
  </conditionalFormatting>
  <conditionalFormatting sqref="DQ8:DQ10">
    <cfRule type="expression" dxfId="2825" priority="2973" stopIfTrue="1">
      <formula>IF(DQ8="-",TRUE,FALSE)</formula>
    </cfRule>
    <cfRule type="expression" dxfId="2824" priority="2974" stopIfTrue="1">
      <formula>IF(OR(DQ8="OK"),FALSE,TRUE)</formula>
    </cfRule>
  </conditionalFormatting>
  <conditionalFormatting sqref="DN8:DN10">
    <cfRule type="expression" dxfId="2823" priority="2972" stopIfTrue="1">
      <formula>IF(DO$8="判定対象外",TRUE,FALSE)</formula>
    </cfRule>
  </conditionalFormatting>
  <conditionalFormatting sqref="DO8:DO10">
    <cfRule type="expression" dxfId="2822" priority="2971" stopIfTrue="1">
      <formula>IF(DO$8="判定対象外",TRUE,FALSE)</formula>
    </cfRule>
  </conditionalFormatting>
  <conditionalFormatting sqref="DP8:DP10">
    <cfRule type="expression" dxfId="2821" priority="2970" stopIfTrue="1">
      <formula>IF(DO$8="判定対象外",TRUE,FALSE)</formula>
    </cfRule>
  </conditionalFormatting>
  <conditionalFormatting sqref="DQ11:DQ34 DQ71:DQ81 DQ36:DQ56">
    <cfRule type="expression" dxfId="2820" priority="2967" stopIfTrue="1">
      <formula>IF(DQ11="-",TRUE,FALSE)</formula>
    </cfRule>
    <cfRule type="expression" dxfId="2819" priority="2968" stopIfTrue="1">
      <formula>IF(OR(DQ11="OK"),FALSE,TRUE)</formula>
    </cfRule>
  </conditionalFormatting>
  <conditionalFormatting sqref="DP11:DP34 DP71:DP81 DP36:DP56">
    <cfRule type="expression" dxfId="2818" priority="2966" stopIfTrue="1">
      <formula>IF(DO$8="判定対象外",TRUE,FALSE)</formula>
    </cfRule>
  </conditionalFormatting>
  <conditionalFormatting sqref="DN72:DN81 DN21:DN34 DN36:DN46">
    <cfRule type="expression" dxfId="2817" priority="2965" stopIfTrue="1">
      <formula>IF(DO$8="判定対象外",TRUE,FALSE)</formula>
    </cfRule>
  </conditionalFormatting>
  <conditionalFormatting sqref="DN29:DN32">
    <cfRule type="expression" dxfId="2816" priority="2964" stopIfTrue="1">
      <formula>IF(DO$8="判定対象外",TRUE,FALSE)</formula>
    </cfRule>
  </conditionalFormatting>
  <conditionalFormatting sqref="DN42:DN44">
    <cfRule type="expression" dxfId="2815" priority="2963" stopIfTrue="1">
      <formula>IF(DO$8="判定対象外",TRUE,FALSE)</formula>
    </cfRule>
  </conditionalFormatting>
  <conditionalFormatting sqref="DN46">
    <cfRule type="expression" dxfId="2814" priority="2962" stopIfTrue="1">
      <formula>IF(DO$8="判定対象外",TRUE,FALSE)</formula>
    </cfRule>
  </conditionalFormatting>
  <conditionalFormatting sqref="DN42:DN44">
    <cfRule type="expression" dxfId="2813" priority="2961" stopIfTrue="1">
      <formula>IF(DO$8="判定対象外",TRUE,FALSE)</formula>
    </cfRule>
  </conditionalFormatting>
  <conditionalFormatting sqref="DN42:DN44">
    <cfRule type="expression" dxfId="2812" priority="2960" stopIfTrue="1">
      <formula>IF(DO$8="判定対象外",TRUE,FALSE)</formula>
    </cfRule>
  </conditionalFormatting>
  <conditionalFormatting sqref="DN42:DN44">
    <cfRule type="expression" dxfId="2811" priority="2959" stopIfTrue="1">
      <formula>IF(DO$8="判定対象外",TRUE,FALSE)</formula>
    </cfRule>
  </conditionalFormatting>
  <conditionalFormatting sqref="DN42:DN44">
    <cfRule type="expression" dxfId="2810" priority="2958" stopIfTrue="1">
      <formula>IF(DO$8="判定対象外",TRUE,FALSE)</formula>
    </cfRule>
  </conditionalFormatting>
  <conditionalFormatting sqref="DN42:DN44">
    <cfRule type="expression" dxfId="2809" priority="2957" stopIfTrue="1">
      <formula>IF(DO$8="判定対象外",TRUE,FALSE)</formula>
    </cfRule>
  </conditionalFormatting>
  <conditionalFormatting sqref="DN42:DN44">
    <cfRule type="expression" dxfId="2808" priority="2956" stopIfTrue="1">
      <formula>IF(DO$8="判定対象外",TRUE,FALSE)</formula>
    </cfRule>
  </conditionalFormatting>
  <conditionalFormatting sqref="DN42:DN44">
    <cfRule type="expression" dxfId="2807" priority="2955" stopIfTrue="1">
      <formula>IF(DO$8="判定対象外",TRUE,FALSE)</formula>
    </cfRule>
  </conditionalFormatting>
  <conditionalFormatting sqref="DN38">
    <cfRule type="expression" dxfId="2806" priority="2969" stopIfTrue="1">
      <formula>IF(#REF!="判定対象外",TRUE,FALSE)</formula>
    </cfRule>
  </conditionalFormatting>
  <conditionalFormatting sqref="DO11:DO34 DO71:DO81 DO36:DO56">
    <cfRule type="expression" dxfId="2805" priority="2954" stopIfTrue="1">
      <formula>IF(DO$8="判定対象外",TRUE,FALSE)</formula>
    </cfRule>
  </conditionalFormatting>
  <conditionalFormatting sqref="DN48">
    <cfRule type="expression" dxfId="2804" priority="2953" stopIfTrue="1">
      <formula>IF(DO$8="判定対象外",TRUE,FALSE)</formula>
    </cfRule>
  </conditionalFormatting>
  <conditionalFormatting sqref="DN51">
    <cfRule type="expression" dxfId="2803" priority="2952" stopIfTrue="1">
      <formula>IF(DO$8="判定対象外",TRUE,FALSE)</formula>
    </cfRule>
  </conditionalFormatting>
  <conditionalFormatting sqref="DN52 DN55 DN67 DN70">
    <cfRule type="expression" dxfId="2802" priority="2951" stopIfTrue="1">
      <formula>IF(DO$8="判定対象外",TRUE,FALSE)</formula>
    </cfRule>
  </conditionalFormatting>
  <conditionalFormatting sqref="DN11:DN20">
    <cfRule type="expression" dxfId="2801" priority="2950" stopIfTrue="1">
      <formula>IF(DO$8="判定対象外",TRUE,FALSE)</formula>
    </cfRule>
  </conditionalFormatting>
  <conditionalFormatting sqref="DN16:DN18">
    <cfRule type="expression" dxfId="2800" priority="2949" stopIfTrue="1">
      <formula>IF(DO$8="判定対象外",TRUE,FALSE)</formula>
    </cfRule>
  </conditionalFormatting>
  <conditionalFormatting sqref="DN20">
    <cfRule type="expression" dxfId="2799" priority="2948" stopIfTrue="1">
      <formula>IF(DO$8="判定対象外",TRUE,FALSE)</formula>
    </cfRule>
  </conditionalFormatting>
  <conditionalFormatting sqref="DN16:DN20">
    <cfRule type="expression" dxfId="2798" priority="2947" stopIfTrue="1">
      <formula>IF(DO$8="判定対象外",TRUE,FALSE)</formula>
    </cfRule>
  </conditionalFormatting>
  <conditionalFormatting sqref="DN11:DN20">
    <cfRule type="expression" dxfId="2797" priority="2946" stopIfTrue="1">
      <formula>IF(DO$8="判定対象外",TRUE,FALSE)</formula>
    </cfRule>
  </conditionalFormatting>
  <conditionalFormatting sqref="DN16:DN18">
    <cfRule type="expression" dxfId="2796" priority="2945" stopIfTrue="1">
      <formula>IF(DO$8="判定対象外",TRUE,FALSE)</formula>
    </cfRule>
  </conditionalFormatting>
  <conditionalFormatting sqref="DN20">
    <cfRule type="expression" dxfId="2795" priority="2944" stopIfTrue="1">
      <formula>IF(DO$8="判定対象外",TRUE,FALSE)</formula>
    </cfRule>
  </conditionalFormatting>
  <conditionalFormatting sqref="DN16:DN20">
    <cfRule type="expression" dxfId="2794" priority="2943" stopIfTrue="1">
      <formula>IF(DO$8="判定対象外",TRUE,FALSE)</formula>
    </cfRule>
  </conditionalFormatting>
  <conditionalFormatting sqref="DN11:DN20">
    <cfRule type="expression" dxfId="2793" priority="2942" stopIfTrue="1">
      <formula>IF(DO$8="判定対象外",TRUE,FALSE)</formula>
    </cfRule>
  </conditionalFormatting>
  <conditionalFormatting sqref="DN16:DN18">
    <cfRule type="expression" dxfId="2792" priority="2941" stopIfTrue="1">
      <formula>IF(DO$8="判定対象外",TRUE,FALSE)</formula>
    </cfRule>
  </conditionalFormatting>
  <conditionalFormatting sqref="DN20">
    <cfRule type="expression" dxfId="2791" priority="2940" stopIfTrue="1">
      <formula>IF(DO$8="判定対象外",TRUE,FALSE)</formula>
    </cfRule>
  </conditionalFormatting>
  <conditionalFormatting sqref="DN16:DN20">
    <cfRule type="expression" dxfId="2790" priority="2939" stopIfTrue="1">
      <formula>IF(DO$8="判定対象外",TRUE,FALSE)</formula>
    </cfRule>
  </conditionalFormatting>
  <conditionalFormatting sqref="DN11:DN13">
    <cfRule type="expression" dxfId="2789" priority="2938" stopIfTrue="1">
      <formula>IF(DO$8="判定対象外",TRUE,FALSE)</formula>
    </cfRule>
  </conditionalFormatting>
  <conditionalFormatting sqref="DN15">
    <cfRule type="expression" dxfId="2788" priority="2937" stopIfTrue="1">
      <formula>IF(DO$8="判定対象外",TRUE,FALSE)</formula>
    </cfRule>
  </conditionalFormatting>
  <conditionalFormatting sqref="DN19">
    <cfRule type="expression" dxfId="2787" priority="2936" stopIfTrue="1">
      <formula>IF(DO$8="判定対象外",TRUE,FALSE)</formula>
    </cfRule>
  </conditionalFormatting>
  <conditionalFormatting sqref="DN19">
    <cfRule type="expression" dxfId="2786" priority="2935" stopIfTrue="1">
      <formula>IF(DO$8="判定対象外",TRUE,FALSE)</formula>
    </cfRule>
  </conditionalFormatting>
  <conditionalFormatting sqref="DN20">
    <cfRule type="expression" dxfId="2785" priority="2934" stopIfTrue="1">
      <formula>IF(DO$8="判定対象外",TRUE,FALSE)</formula>
    </cfRule>
  </conditionalFormatting>
  <conditionalFormatting sqref="DN20">
    <cfRule type="expression" dxfId="2784" priority="2933" stopIfTrue="1">
      <formula>IF(DO$8="判定対象外",TRUE,FALSE)</formula>
    </cfRule>
  </conditionalFormatting>
  <conditionalFormatting sqref="DN20">
    <cfRule type="expression" dxfId="2783" priority="2932" stopIfTrue="1">
      <formula>IF(DO$8="判定対象外",TRUE,FALSE)</formula>
    </cfRule>
  </conditionalFormatting>
  <conditionalFormatting sqref="DN13">
    <cfRule type="expression" dxfId="2782" priority="2931" stopIfTrue="1">
      <formula>IF(DO$8="判定対象外",TRUE,FALSE)</formula>
    </cfRule>
  </conditionalFormatting>
  <conditionalFormatting sqref="DN47">
    <cfRule type="expression" dxfId="2781" priority="2930" stopIfTrue="1">
      <formula>IF(DO$8="判定対象外",TRUE,FALSE)</formula>
    </cfRule>
  </conditionalFormatting>
  <conditionalFormatting sqref="DN47">
    <cfRule type="expression" dxfId="2780" priority="2929" stopIfTrue="1">
      <formula>IF(DO$8="判定対象外",TRUE,FALSE)</formula>
    </cfRule>
  </conditionalFormatting>
  <conditionalFormatting sqref="DN49">
    <cfRule type="expression" dxfId="2779" priority="2928" stopIfTrue="1">
      <formula>IF(DO$8="判定対象外",TRUE,FALSE)</formula>
    </cfRule>
  </conditionalFormatting>
  <conditionalFormatting sqref="DN49">
    <cfRule type="expression" dxfId="2778" priority="2927" stopIfTrue="1">
      <formula>IF(DO$8="判定対象外",TRUE,FALSE)</formula>
    </cfRule>
  </conditionalFormatting>
  <conditionalFormatting sqref="DN50">
    <cfRule type="expression" dxfId="2777" priority="2926" stopIfTrue="1">
      <formula>IF(DO$8="判定対象外",TRUE,FALSE)</formula>
    </cfRule>
  </conditionalFormatting>
  <conditionalFormatting sqref="DN50">
    <cfRule type="expression" dxfId="2776" priority="2925" stopIfTrue="1">
      <formula>IF(DO$8="判定対象外",TRUE,FALSE)</formula>
    </cfRule>
  </conditionalFormatting>
  <conditionalFormatting sqref="DN53 DN56 DN68 DN71">
    <cfRule type="expression" dxfId="2775" priority="2924" stopIfTrue="1">
      <formula>IF(DO$8="判定対象外",TRUE,FALSE)</formula>
    </cfRule>
  </conditionalFormatting>
  <conditionalFormatting sqref="DN54 DN57 DN66 DN69">
    <cfRule type="expression" dxfId="2774" priority="2923" stopIfTrue="1">
      <formula>IF(DO$8="判定対象外",TRUE,FALSE)</formula>
    </cfRule>
  </conditionalFormatting>
  <conditionalFormatting sqref="DQ57">
    <cfRule type="expression" dxfId="2773" priority="2921" stopIfTrue="1">
      <formula>IF(DQ57="-",TRUE,FALSE)</formula>
    </cfRule>
    <cfRule type="expression" dxfId="2772" priority="2922" stopIfTrue="1">
      <formula>IF(OR(DQ57="OK"),FALSE,TRUE)</formula>
    </cfRule>
  </conditionalFormatting>
  <conditionalFormatting sqref="DP57">
    <cfRule type="expression" dxfId="2771" priority="2920" stopIfTrue="1">
      <formula>IF(DO$8="判定対象外",TRUE,FALSE)</formula>
    </cfRule>
  </conditionalFormatting>
  <conditionalFormatting sqref="DO57">
    <cfRule type="expression" dxfId="2770" priority="2919" stopIfTrue="1">
      <formula>IF(DO$8="判定対象外",TRUE,FALSE)</formula>
    </cfRule>
  </conditionalFormatting>
  <conditionalFormatting sqref="DQ66:DQ70">
    <cfRule type="expression" dxfId="2769" priority="2917" stopIfTrue="1">
      <formula>IF(DQ66="-",TRUE,FALSE)</formula>
    </cfRule>
    <cfRule type="expression" dxfId="2768" priority="2918" stopIfTrue="1">
      <formula>IF(OR(DQ66="OK"),FALSE,TRUE)</formula>
    </cfRule>
  </conditionalFormatting>
  <conditionalFormatting sqref="DP66:DP70">
    <cfRule type="expression" dxfId="2767" priority="2916" stopIfTrue="1">
      <formula>IF(DO$8="判定対象外",TRUE,FALSE)</formula>
    </cfRule>
  </conditionalFormatting>
  <conditionalFormatting sqref="DO66:DO70">
    <cfRule type="expression" dxfId="2766" priority="2915" stopIfTrue="1">
      <formula>IF(DO$8="判定対象外",TRUE,FALSE)</formula>
    </cfRule>
  </conditionalFormatting>
  <conditionalFormatting sqref="DR29:DR32">
    <cfRule type="expression" dxfId="2765" priority="2904" stopIfTrue="1">
      <formula>IF(DS$8="判定対象外",TRUE,FALSE)</formula>
    </cfRule>
  </conditionalFormatting>
  <conditionalFormatting sqref="DU8:DU10">
    <cfRule type="expression" dxfId="2764" priority="2913" stopIfTrue="1">
      <formula>IF(DU8="-",TRUE,FALSE)</formula>
    </cfRule>
    <cfRule type="expression" dxfId="2763" priority="2914" stopIfTrue="1">
      <formula>IF(OR(DU8="OK"),FALSE,TRUE)</formula>
    </cfRule>
  </conditionalFormatting>
  <conditionalFormatting sqref="DR8:DR10">
    <cfRule type="expression" dxfId="2762" priority="2912" stopIfTrue="1">
      <formula>IF(DS$8="判定対象外",TRUE,FALSE)</formula>
    </cfRule>
  </conditionalFormatting>
  <conditionalFormatting sqref="DS8:DS10">
    <cfRule type="expression" dxfId="2761" priority="2911" stopIfTrue="1">
      <formula>IF(DS$8="判定対象外",TRUE,FALSE)</formula>
    </cfRule>
  </conditionalFormatting>
  <conditionalFormatting sqref="DT8:DT10">
    <cfRule type="expression" dxfId="2760" priority="2910" stopIfTrue="1">
      <formula>IF(DS$8="判定対象外",TRUE,FALSE)</formula>
    </cfRule>
  </conditionalFormatting>
  <conditionalFormatting sqref="DU11:DU34 DU71:DU81 DU36:DU56">
    <cfRule type="expression" dxfId="2759" priority="2907" stopIfTrue="1">
      <formula>IF(DU11="-",TRUE,FALSE)</formula>
    </cfRule>
    <cfRule type="expression" dxfId="2758" priority="2908" stopIfTrue="1">
      <formula>IF(OR(DU11="OK"),FALSE,TRUE)</formula>
    </cfRule>
  </conditionalFormatting>
  <conditionalFormatting sqref="DT11:DT34 DT71:DT81 DT36:DT56">
    <cfRule type="expression" dxfId="2757" priority="2906" stopIfTrue="1">
      <formula>IF(DS$8="判定対象外",TRUE,FALSE)</formula>
    </cfRule>
  </conditionalFormatting>
  <conditionalFormatting sqref="DR72:DR81 DR21:DR34 DR36:DR46">
    <cfRule type="expression" dxfId="2756" priority="2905" stopIfTrue="1">
      <formula>IF(DS$8="判定対象外",TRUE,FALSE)</formula>
    </cfRule>
  </conditionalFormatting>
  <conditionalFormatting sqref="DR42:DR44">
    <cfRule type="expression" dxfId="2755" priority="2903" stopIfTrue="1">
      <formula>IF(DS$8="判定対象外",TRUE,FALSE)</formula>
    </cfRule>
  </conditionalFormatting>
  <conditionalFormatting sqref="DR46">
    <cfRule type="expression" dxfId="2754" priority="2902" stopIfTrue="1">
      <formula>IF(DS$8="判定対象外",TRUE,FALSE)</formula>
    </cfRule>
  </conditionalFormatting>
  <conditionalFormatting sqref="DR42:DR44">
    <cfRule type="expression" dxfId="2753" priority="2901" stopIfTrue="1">
      <formula>IF(DS$8="判定対象外",TRUE,FALSE)</formula>
    </cfRule>
  </conditionalFormatting>
  <conditionalFormatting sqref="DR42:DR44">
    <cfRule type="expression" dxfId="2752" priority="2900" stopIfTrue="1">
      <formula>IF(DS$8="判定対象外",TRUE,FALSE)</formula>
    </cfRule>
  </conditionalFormatting>
  <conditionalFormatting sqref="DR42:DR44">
    <cfRule type="expression" dxfId="2751" priority="2899" stopIfTrue="1">
      <formula>IF(DS$8="判定対象外",TRUE,FALSE)</formula>
    </cfRule>
  </conditionalFormatting>
  <conditionalFormatting sqref="DR42:DR44">
    <cfRule type="expression" dxfId="2750" priority="2898" stopIfTrue="1">
      <formula>IF(DS$8="判定対象外",TRUE,FALSE)</formula>
    </cfRule>
  </conditionalFormatting>
  <conditionalFormatting sqref="DR42:DR44">
    <cfRule type="expression" dxfId="2749" priority="2897" stopIfTrue="1">
      <formula>IF(DS$8="判定対象外",TRUE,FALSE)</formula>
    </cfRule>
  </conditionalFormatting>
  <conditionalFormatting sqref="DR42:DR44">
    <cfRule type="expression" dxfId="2748" priority="2896" stopIfTrue="1">
      <formula>IF(DS$8="判定対象外",TRUE,FALSE)</formula>
    </cfRule>
  </conditionalFormatting>
  <conditionalFormatting sqref="DR42:DR44">
    <cfRule type="expression" dxfId="2747" priority="2895" stopIfTrue="1">
      <formula>IF(DS$8="判定対象外",TRUE,FALSE)</formula>
    </cfRule>
  </conditionalFormatting>
  <conditionalFormatting sqref="DR38">
    <cfRule type="expression" dxfId="2746" priority="2909" stopIfTrue="1">
      <formula>IF(#REF!="判定対象外",TRUE,FALSE)</formula>
    </cfRule>
  </conditionalFormatting>
  <conditionalFormatting sqref="DS11:DS34 DS71:DS81 DS36:DS56">
    <cfRule type="expression" dxfId="2745" priority="2894" stopIfTrue="1">
      <formula>IF(DS$8="判定対象外",TRUE,FALSE)</formula>
    </cfRule>
  </conditionalFormatting>
  <conditionalFormatting sqref="DR48">
    <cfRule type="expression" dxfId="2744" priority="2893" stopIfTrue="1">
      <formula>IF(DS$8="判定対象外",TRUE,FALSE)</formula>
    </cfRule>
  </conditionalFormatting>
  <conditionalFormatting sqref="DR51">
    <cfRule type="expression" dxfId="2743" priority="2892" stopIfTrue="1">
      <formula>IF(DS$8="判定対象外",TRUE,FALSE)</formula>
    </cfRule>
  </conditionalFormatting>
  <conditionalFormatting sqref="DR52 DR55 DR67 DR70">
    <cfRule type="expression" dxfId="2742" priority="2891" stopIfTrue="1">
      <formula>IF(DS$8="判定対象外",TRUE,FALSE)</formula>
    </cfRule>
  </conditionalFormatting>
  <conditionalFormatting sqref="DR11:DR20">
    <cfRule type="expression" dxfId="2741" priority="2890" stopIfTrue="1">
      <formula>IF(DS$8="判定対象外",TRUE,FALSE)</formula>
    </cfRule>
  </conditionalFormatting>
  <conditionalFormatting sqref="DR16:DR18">
    <cfRule type="expression" dxfId="2740" priority="2889" stopIfTrue="1">
      <formula>IF(DS$8="判定対象外",TRUE,FALSE)</formula>
    </cfRule>
  </conditionalFormatting>
  <conditionalFormatting sqref="DR20">
    <cfRule type="expression" dxfId="2739" priority="2888" stopIfTrue="1">
      <formula>IF(DS$8="判定対象外",TRUE,FALSE)</formula>
    </cfRule>
  </conditionalFormatting>
  <conditionalFormatting sqref="DR16:DR20">
    <cfRule type="expression" dxfId="2738" priority="2887" stopIfTrue="1">
      <formula>IF(DS$8="判定対象外",TRUE,FALSE)</formula>
    </cfRule>
  </conditionalFormatting>
  <conditionalFormatting sqref="DR11:DR20">
    <cfRule type="expression" dxfId="2737" priority="2886" stopIfTrue="1">
      <formula>IF(DS$8="判定対象外",TRUE,FALSE)</formula>
    </cfRule>
  </conditionalFormatting>
  <conditionalFormatting sqref="DR20">
    <cfRule type="expression" dxfId="2736" priority="2884" stopIfTrue="1">
      <formula>IF(DS$8="判定対象外",TRUE,FALSE)</formula>
    </cfRule>
  </conditionalFormatting>
  <conditionalFormatting sqref="DR16:DR20">
    <cfRule type="expression" dxfId="2735" priority="2883" stopIfTrue="1">
      <formula>IF(DS$8="判定対象外",TRUE,FALSE)</formula>
    </cfRule>
  </conditionalFormatting>
  <conditionalFormatting sqref="DR11:DR20">
    <cfRule type="expression" dxfId="2734" priority="2882" stopIfTrue="1">
      <formula>IF(DS$8="判定対象外",TRUE,FALSE)</formula>
    </cfRule>
  </conditionalFormatting>
  <conditionalFormatting sqref="DR16:DR18">
    <cfRule type="expression" dxfId="2733" priority="2881" stopIfTrue="1">
      <formula>IF(DS$8="判定対象外",TRUE,FALSE)</formula>
    </cfRule>
  </conditionalFormatting>
  <conditionalFormatting sqref="DR20">
    <cfRule type="expression" dxfId="2732" priority="2880" stopIfTrue="1">
      <formula>IF(DS$8="判定対象外",TRUE,FALSE)</formula>
    </cfRule>
  </conditionalFormatting>
  <conditionalFormatting sqref="DR16:DR20">
    <cfRule type="expression" dxfId="2731" priority="2879" stopIfTrue="1">
      <formula>IF(DS$8="判定対象外",TRUE,FALSE)</formula>
    </cfRule>
  </conditionalFormatting>
  <conditionalFormatting sqref="DR11:DR13">
    <cfRule type="expression" dxfId="2730" priority="2878" stopIfTrue="1">
      <formula>IF(DS$8="判定対象外",TRUE,FALSE)</formula>
    </cfRule>
  </conditionalFormatting>
  <conditionalFormatting sqref="DR15">
    <cfRule type="expression" dxfId="2729" priority="2877" stopIfTrue="1">
      <formula>IF(DS$8="判定対象外",TRUE,FALSE)</formula>
    </cfRule>
  </conditionalFormatting>
  <conditionalFormatting sqref="DR19">
    <cfRule type="expression" dxfId="2728" priority="2876" stopIfTrue="1">
      <formula>IF(DS$8="判定対象外",TRUE,FALSE)</formula>
    </cfRule>
  </conditionalFormatting>
  <conditionalFormatting sqref="DR20">
    <cfRule type="expression" dxfId="2727" priority="2874" stopIfTrue="1">
      <formula>IF(DS$8="判定対象外",TRUE,FALSE)</formula>
    </cfRule>
  </conditionalFormatting>
  <conditionalFormatting sqref="DR20">
    <cfRule type="expression" dxfId="2726" priority="2873" stopIfTrue="1">
      <formula>IF(DS$8="判定対象外",TRUE,FALSE)</formula>
    </cfRule>
  </conditionalFormatting>
  <conditionalFormatting sqref="DR20">
    <cfRule type="expression" dxfId="2725" priority="2872" stopIfTrue="1">
      <formula>IF(DS$8="判定対象外",TRUE,FALSE)</formula>
    </cfRule>
  </conditionalFormatting>
  <conditionalFormatting sqref="DR13">
    <cfRule type="expression" dxfId="2724" priority="2871" stopIfTrue="1">
      <formula>IF(DS$8="判定対象外",TRUE,FALSE)</formula>
    </cfRule>
  </conditionalFormatting>
  <conditionalFormatting sqref="DR47">
    <cfRule type="expression" dxfId="2723" priority="2870" stopIfTrue="1">
      <formula>IF(DS$8="判定対象外",TRUE,FALSE)</formula>
    </cfRule>
  </conditionalFormatting>
  <conditionalFormatting sqref="DR47">
    <cfRule type="expression" dxfId="2722" priority="2869" stopIfTrue="1">
      <formula>IF(DS$8="判定対象外",TRUE,FALSE)</formula>
    </cfRule>
  </conditionalFormatting>
  <conditionalFormatting sqref="DR49">
    <cfRule type="expression" dxfId="2721" priority="2868" stopIfTrue="1">
      <formula>IF(DS$8="判定対象外",TRUE,FALSE)</formula>
    </cfRule>
  </conditionalFormatting>
  <conditionalFormatting sqref="DR49">
    <cfRule type="expression" dxfId="2720" priority="2867" stopIfTrue="1">
      <formula>IF(DS$8="判定対象外",TRUE,FALSE)</formula>
    </cfRule>
  </conditionalFormatting>
  <conditionalFormatting sqref="DR50">
    <cfRule type="expression" dxfId="2719" priority="2866" stopIfTrue="1">
      <formula>IF(DS$8="判定対象外",TRUE,FALSE)</formula>
    </cfRule>
  </conditionalFormatting>
  <conditionalFormatting sqref="DR50">
    <cfRule type="expression" dxfId="2718" priority="2865" stopIfTrue="1">
      <formula>IF(DS$8="判定対象外",TRUE,FALSE)</formula>
    </cfRule>
  </conditionalFormatting>
  <conditionalFormatting sqref="DR54 DR57 DR66 DR69">
    <cfRule type="expression" dxfId="2717" priority="2863" stopIfTrue="1">
      <formula>IF(DS$8="判定対象外",TRUE,FALSE)</formula>
    </cfRule>
  </conditionalFormatting>
  <conditionalFormatting sqref="DU57">
    <cfRule type="expression" dxfId="2716" priority="2861" stopIfTrue="1">
      <formula>IF(DU57="-",TRUE,FALSE)</formula>
    </cfRule>
    <cfRule type="expression" dxfId="2715" priority="2862" stopIfTrue="1">
      <formula>IF(OR(DU57="OK"),FALSE,TRUE)</formula>
    </cfRule>
  </conditionalFormatting>
  <conditionalFormatting sqref="DT57">
    <cfRule type="expression" dxfId="2714" priority="2860" stopIfTrue="1">
      <formula>IF(DS$8="判定対象外",TRUE,FALSE)</formula>
    </cfRule>
  </conditionalFormatting>
  <conditionalFormatting sqref="DS57">
    <cfRule type="expression" dxfId="2713" priority="2859" stopIfTrue="1">
      <formula>IF(DS$8="判定対象外",TRUE,FALSE)</formula>
    </cfRule>
  </conditionalFormatting>
  <conditionalFormatting sqref="DU58:DU64">
    <cfRule type="expression" dxfId="2712" priority="2857" stopIfTrue="1">
      <formula>IF(DU58="-",TRUE,FALSE)</formula>
    </cfRule>
    <cfRule type="expression" dxfId="2711" priority="2858" stopIfTrue="1">
      <formula>IF(OR(DU58="OK"),FALSE,TRUE)</formula>
    </cfRule>
  </conditionalFormatting>
  <conditionalFormatting sqref="DT58:DT64">
    <cfRule type="expression" dxfId="2710" priority="2856" stopIfTrue="1">
      <formula>IF(DS$8="判定対象外",TRUE,FALSE)</formula>
    </cfRule>
  </conditionalFormatting>
  <conditionalFormatting sqref="DS58:DS64">
    <cfRule type="expression" dxfId="2709" priority="2855" stopIfTrue="1">
      <formula>IF(DS$8="判定対象外",TRUE,FALSE)</formula>
    </cfRule>
  </conditionalFormatting>
  <conditionalFormatting sqref="DU65:DU70">
    <cfRule type="expression" dxfId="2708" priority="2853" stopIfTrue="1">
      <formula>IF(DU65="-",TRUE,FALSE)</formula>
    </cfRule>
    <cfRule type="expression" dxfId="2707" priority="2854" stopIfTrue="1">
      <formula>IF(OR(DU65="OK"),FALSE,TRUE)</formula>
    </cfRule>
  </conditionalFormatting>
  <conditionalFormatting sqref="DT65:DT70">
    <cfRule type="expression" dxfId="2706" priority="2852" stopIfTrue="1">
      <formula>IF(DS$8="判定対象外",TRUE,FALSE)</formula>
    </cfRule>
  </conditionalFormatting>
  <conditionalFormatting sqref="DS65:DS70">
    <cfRule type="expression" dxfId="2705" priority="2851" stopIfTrue="1">
      <formula>IF(DS$8="判定対象外",TRUE,FALSE)</formula>
    </cfRule>
  </conditionalFormatting>
  <conditionalFormatting sqref="DR58">
    <cfRule type="expression" dxfId="2704" priority="2840" stopIfTrue="1">
      <formula>IF(DS$8="判定対象外",TRUE,FALSE)</formula>
    </cfRule>
  </conditionalFormatting>
  <conditionalFormatting sqref="DJ58">
    <cfRule type="expression" dxfId="2703" priority="2850" stopIfTrue="1">
      <formula>IF(DK$8="判定対象外",TRUE,FALSE)</formula>
    </cfRule>
  </conditionalFormatting>
  <conditionalFormatting sqref="DM58">
    <cfRule type="expression" dxfId="2702" priority="2848" stopIfTrue="1">
      <formula>IF(DM58="-",TRUE,FALSE)</formula>
    </cfRule>
    <cfRule type="expression" dxfId="2701" priority="2849" stopIfTrue="1">
      <formula>IF(OR(DM58="OK"),FALSE,TRUE)</formula>
    </cfRule>
  </conditionalFormatting>
  <conditionalFormatting sqref="DL58">
    <cfRule type="expression" dxfId="2700" priority="2847" stopIfTrue="1">
      <formula>IF(DK$8="判定対象外",TRUE,FALSE)</formula>
    </cfRule>
  </conditionalFormatting>
  <conditionalFormatting sqref="DK58">
    <cfRule type="expression" dxfId="2699" priority="2846" stopIfTrue="1">
      <formula>IF(DK$8="判定対象外",TRUE,FALSE)</formula>
    </cfRule>
  </conditionalFormatting>
  <conditionalFormatting sqref="DN58">
    <cfRule type="expression" dxfId="2698" priority="2845" stopIfTrue="1">
      <formula>IF(DO$8="判定対象外",TRUE,FALSE)</formula>
    </cfRule>
  </conditionalFormatting>
  <conditionalFormatting sqref="DQ58">
    <cfRule type="expression" dxfId="2697" priority="2843" stopIfTrue="1">
      <formula>IF(DQ58="-",TRUE,FALSE)</formula>
    </cfRule>
    <cfRule type="expression" dxfId="2696" priority="2844" stopIfTrue="1">
      <formula>IF(OR(DQ58="OK"),FALSE,TRUE)</formula>
    </cfRule>
  </conditionalFormatting>
  <conditionalFormatting sqref="DP58">
    <cfRule type="expression" dxfId="2695" priority="2842" stopIfTrue="1">
      <formula>IF(DO$8="判定対象外",TRUE,FALSE)</formula>
    </cfRule>
  </conditionalFormatting>
  <conditionalFormatting sqref="DO58">
    <cfRule type="expression" dxfId="2694" priority="2841" stopIfTrue="1">
      <formula>IF(DO$8="判定対象外",TRUE,FALSE)</formula>
    </cfRule>
  </conditionalFormatting>
  <conditionalFormatting sqref="DN59">
    <cfRule type="expression" dxfId="2693" priority="2834" stopIfTrue="1">
      <formula>IF(DO$8="判定対象外",TRUE,FALSE)</formula>
    </cfRule>
  </conditionalFormatting>
  <conditionalFormatting sqref="DQ59">
    <cfRule type="expression" dxfId="2692" priority="2832" stopIfTrue="1">
      <formula>IF(DQ59="-",TRUE,FALSE)</formula>
    </cfRule>
    <cfRule type="expression" dxfId="2691" priority="2833" stopIfTrue="1">
      <formula>IF(OR(DQ59="OK"),FALSE,TRUE)</formula>
    </cfRule>
  </conditionalFormatting>
  <conditionalFormatting sqref="DP59">
    <cfRule type="expression" dxfId="2690" priority="2831" stopIfTrue="1">
      <formula>IF(DO$8="判定対象外",TRUE,FALSE)</formula>
    </cfRule>
  </conditionalFormatting>
  <conditionalFormatting sqref="DO59">
    <cfRule type="expression" dxfId="2689" priority="2830" stopIfTrue="1">
      <formula>IF(DO$8="判定対象外",TRUE,FALSE)</formula>
    </cfRule>
  </conditionalFormatting>
  <conditionalFormatting sqref="DN60">
    <cfRule type="expression" dxfId="2688" priority="2823" stopIfTrue="1">
      <formula>IF(DO$8="判定対象外",TRUE,FALSE)</formula>
    </cfRule>
  </conditionalFormatting>
  <conditionalFormatting sqref="DQ60">
    <cfRule type="expression" dxfId="2687" priority="2821" stopIfTrue="1">
      <formula>IF(DQ60="-",TRUE,FALSE)</formula>
    </cfRule>
    <cfRule type="expression" dxfId="2686" priority="2822" stopIfTrue="1">
      <formula>IF(OR(DQ60="OK"),FALSE,TRUE)</formula>
    </cfRule>
  </conditionalFormatting>
  <conditionalFormatting sqref="DP60">
    <cfRule type="expression" dxfId="2685" priority="2820" stopIfTrue="1">
      <formula>IF(DO$8="判定対象外",TRUE,FALSE)</formula>
    </cfRule>
  </conditionalFormatting>
  <conditionalFormatting sqref="DO60">
    <cfRule type="expression" dxfId="2684" priority="2819" stopIfTrue="1">
      <formula>IF(DO$8="判定対象外",TRUE,FALSE)</formula>
    </cfRule>
  </conditionalFormatting>
  <conditionalFormatting sqref="DN61">
    <cfRule type="expression" dxfId="2683" priority="2812" stopIfTrue="1">
      <formula>IF(DO$8="判定対象外",TRUE,FALSE)</formula>
    </cfRule>
  </conditionalFormatting>
  <conditionalFormatting sqref="DQ61">
    <cfRule type="expression" dxfId="2682" priority="2810" stopIfTrue="1">
      <formula>IF(DQ61="-",TRUE,FALSE)</formula>
    </cfRule>
    <cfRule type="expression" dxfId="2681" priority="2811" stopIfTrue="1">
      <formula>IF(OR(DQ61="OK"),FALSE,TRUE)</formula>
    </cfRule>
  </conditionalFormatting>
  <conditionalFormatting sqref="DP61">
    <cfRule type="expression" dxfId="2680" priority="2809" stopIfTrue="1">
      <formula>IF(DO$8="判定対象外",TRUE,FALSE)</formula>
    </cfRule>
  </conditionalFormatting>
  <conditionalFormatting sqref="DO61">
    <cfRule type="expression" dxfId="2679" priority="2808" stopIfTrue="1">
      <formula>IF(DO$8="判定対象外",TRUE,FALSE)</formula>
    </cfRule>
  </conditionalFormatting>
  <conditionalFormatting sqref="DN62">
    <cfRule type="expression" dxfId="2678" priority="2801" stopIfTrue="1">
      <formula>IF(DO$8="判定対象外",TRUE,FALSE)</formula>
    </cfRule>
  </conditionalFormatting>
  <conditionalFormatting sqref="DQ62">
    <cfRule type="expression" dxfId="2677" priority="2799" stopIfTrue="1">
      <formula>IF(DQ62="-",TRUE,FALSE)</formula>
    </cfRule>
    <cfRule type="expression" dxfId="2676" priority="2800" stopIfTrue="1">
      <formula>IF(OR(DQ62="OK"),FALSE,TRUE)</formula>
    </cfRule>
  </conditionalFormatting>
  <conditionalFormatting sqref="DP62">
    <cfRule type="expression" dxfId="2675" priority="2798" stopIfTrue="1">
      <formula>IF(DO$8="判定対象外",TRUE,FALSE)</formula>
    </cfRule>
  </conditionalFormatting>
  <conditionalFormatting sqref="DO62">
    <cfRule type="expression" dxfId="2674" priority="2797" stopIfTrue="1">
      <formula>IF(DO$8="判定対象外",TRUE,FALSE)</formula>
    </cfRule>
  </conditionalFormatting>
  <conditionalFormatting sqref="FR69">
    <cfRule type="expression" dxfId="2673" priority="1112" stopIfTrue="1">
      <formula>IF(FS$8="判定対象外",TRUE,FALSE)</formula>
    </cfRule>
  </conditionalFormatting>
  <conditionalFormatting sqref="FU69">
    <cfRule type="expression" dxfId="2672" priority="1110" stopIfTrue="1">
      <formula>IF(FU69="-",TRUE,FALSE)</formula>
    </cfRule>
    <cfRule type="expression" dxfId="2671" priority="1111" stopIfTrue="1">
      <formula>IF(OR(FU69="OK"),FALSE,TRUE)</formula>
    </cfRule>
  </conditionalFormatting>
  <conditionalFormatting sqref="FT69">
    <cfRule type="expression" dxfId="2670" priority="1109" stopIfTrue="1">
      <formula>IF(FS$8="判定対象外",TRUE,FALSE)</formula>
    </cfRule>
  </conditionalFormatting>
  <conditionalFormatting sqref="FS69">
    <cfRule type="expression" dxfId="2669" priority="1108" stopIfTrue="1">
      <formula>IF(FS$8="判定対象外",TRUE,FALSE)</formula>
    </cfRule>
  </conditionalFormatting>
  <conditionalFormatting sqref="GD70">
    <cfRule type="expression" dxfId="2668" priority="634" stopIfTrue="1">
      <formula>IF(GE$8="判定対象外",TRUE,FALSE)</formula>
    </cfRule>
  </conditionalFormatting>
  <conditionalFormatting sqref="GG70">
    <cfRule type="expression" dxfId="2667" priority="632" stopIfTrue="1">
      <formula>IF(GG70="-",TRUE,FALSE)</formula>
    </cfRule>
    <cfRule type="expression" dxfId="2666" priority="633" stopIfTrue="1">
      <formula>IF(OR(GG70="OK"),FALSE,TRUE)</formula>
    </cfRule>
  </conditionalFormatting>
  <conditionalFormatting sqref="GF70">
    <cfRule type="expression" dxfId="2665" priority="631" stopIfTrue="1">
      <formula>IF(GE$8="判定対象外",TRUE,FALSE)</formula>
    </cfRule>
  </conditionalFormatting>
  <conditionalFormatting sqref="GE70">
    <cfRule type="expression" dxfId="2664" priority="630" stopIfTrue="1">
      <formula>IF(GE$8="判定対象外",TRUE,FALSE)</formula>
    </cfRule>
  </conditionalFormatting>
  <conditionalFormatting sqref="DN63">
    <cfRule type="expression" dxfId="2663" priority="2779" stopIfTrue="1">
      <formula>IF(DO$8="判定対象外",TRUE,FALSE)</formula>
    </cfRule>
  </conditionalFormatting>
  <conditionalFormatting sqref="DQ63">
    <cfRule type="expression" dxfId="2662" priority="2777" stopIfTrue="1">
      <formula>IF(DQ63="-",TRUE,FALSE)</formula>
    </cfRule>
    <cfRule type="expression" dxfId="2661" priority="2778" stopIfTrue="1">
      <formula>IF(OR(DQ63="OK"),FALSE,TRUE)</formula>
    </cfRule>
  </conditionalFormatting>
  <conditionalFormatting sqref="DP63">
    <cfRule type="expression" dxfId="2660" priority="2776" stopIfTrue="1">
      <formula>IF(DO$8="判定対象外",TRUE,FALSE)</formula>
    </cfRule>
  </conditionalFormatting>
  <conditionalFormatting sqref="DO63">
    <cfRule type="expression" dxfId="2659" priority="2775" stopIfTrue="1">
      <formula>IF(DO$8="判定対象外",TRUE,FALSE)</formula>
    </cfRule>
  </conditionalFormatting>
  <conditionalFormatting sqref="ED66">
    <cfRule type="expression" dxfId="2658" priority="2469" stopIfTrue="1">
      <formula>IF(EE$8="判定対象外",TRUE,FALSE)</formula>
    </cfRule>
  </conditionalFormatting>
  <conditionalFormatting sqref="DJ65">
    <cfRule type="expression" dxfId="2657" priority="2773" stopIfTrue="1">
      <formula>IF(DK$8="判定対象外",TRUE,FALSE)</formula>
    </cfRule>
  </conditionalFormatting>
  <conditionalFormatting sqref="DM65">
    <cfRule type="expression" dxfId="2656" priority="2771" stopIfTrue="1">
      <formula>IF(DM65="-",TRUE,FALSE)</formula>
    </cfRule>
    <cfRule type="expression" dxfId="2655" priority="2772" stopIfTrue="1">
      <formula>IF(OR(DM65="OK"),FALSE,TRUE)</formula>
    </cfRule>
  </conditionalFormatting>
  <conditionalFormatting sqref="DL65">
    <cfRule type="expression" dxfId="2654" priority="2770" stopIfTrue="1">
      <formula>IF(DK$8="判定対象外",TRUE,FALSE)</formula>
    </cfRule>
  </conditionalFormatting>
  <conditionalFormatting sqref="DK65">
    <cfRule type="expression" dxfId="2653" priority="2769" stopIfTrue="1">
      <formula>IF(DK$8="判定対象外",TRUE,FALSE)</formula>
    </cfRule>
  </conditionalFormatting>
  <conditionalFormatting sqref="DQ65">
    <cfRule type="expression" dxfId="2652" priority="2767" stopIfTrue="1">
      <formula>IF(DQ65="-",TRUE,FALSE)</formula>
    </cfRule>
    <cfRule type="expression" dxfId="2651" priority="2768" stopIfTrue="1">
      <formula>IF(OR(DQ65="OK"),FALSE,TRUE)</formula>
    </cfRule>
  </conditionalFormatting>
  <conditionalFormatting sqref="DP65">
    <cfRule type="expression" dxfId="2650" priority="2766" stopIfTrue="1">
      <formula>IF(DO$8="判定対象外",TRUE,FALSE)</formula>
    </cfRule>
  </conditionalFormatting>
  <conditionalFormatting sqref="DO65">
    <cfRule type="expression" dxfId="2649" priority="2765" stopIfTrue="1">
      <formula>IF(DO$8="判定対象外",TRUE,FALSE)</formula>
    </cfRule>
  </conditionalFormatting>
  <conditionalFormatting sqref="DJ64">
    <cfRule type="expression" dxfId="2648" priority="2762" stopIfTrue="1">
      <formula>IF(DK$8="判定対象外",TRUE,FALSE)</formula>
    </cfRule>
  </conditionalFormatting>
  <conditionalFormatting sqref="DM64">
    <cfRule type="expression" dxfId="2647" priority="2760" stopIfTrue="1">
      <formula>IF(DM64="-",TRUE,FALSE)</formula>
    </cfRule>
    <cfRule type="expression" dxfId="2646" priority="2761" stopIfTrue="1">
      <formula>IF(OR(DM64="OK"),FALSE,TRUE)</formula>
    </cfRule>
  </conditionalFormatting>
  <conditionalFormatting sqref="DL64">
    <cfRule type="expression" dxfId="2645" priority="2759" stopIfTrue="1">
      <formula>IF(DK$8="判定対象外",TRUE,FALSE)</formula>
    </cfRule>
  </conditionalFormatting>
  <conditionalFormatting sqref="DK64">
    <cfRule type="expression" dxfId="2644" priority="2758" stopIfTrue="1">
      <formula>IF(DK$8="判定対象外",TRUE,FALSE)</formula>
    </cfRule>
  </conditionalFormatting>
  <conditionalFormatting sqref="DN64">
    <cfRule type="expression" dxfId="2643" priority="2757" stopIfTrue="1">
      <formula>IF(DO$8="判定対象外",TRUE,FALSE)</formula>
    </cfRule>
  </conditionalFormatting>
  <conditionalFormatting sqref="DQ64">
    <cfRule type="expression" dxfId="2642" priority="2755" stopIfTrue="1">
      <formula>IF(DQ64="-",TRUE,FALSE)</formula>
    </cfRule>
    <cfRule type="expression" dxfId="2641" priority="2756" stopIfTrue="1">
      <formula>IF(OR(DQ64="OK"),FALSE,TRUE)</formula>
    </cfRule>
  </conditionalFormatting>
  <conditionalFormatting sqref="DP64">
    <cfRule type="expression" dxfId="2640" priority="2754" stopIfTrue="1">
      <formula>IF(DO$8="判定対象外",TRUE,FALSE)</formula>
    </cfRule>
  </conditionalFormatting>
  <conditionalFormatting sqref="DO64">
    <cfRule type="expression" dxfId="2639" priority="2753" stopIfTrue="1">
      <formula>IF(DO$8="判定対象外",TRUE,FALSE)</formula>
    </cfRule>
  </conditionalFormatting>
  <conditionalFormatting sqref="DR64">
    <cfRule type="expression" dxfId="2638" priority="2752" stopIfTrue="1">
      <formula>IF(DS$8="判定対象外",TRUE,FALSE)</formula>
    </cfRule>
  </conditionalFormatting>
  <conditionalFormatting sqref="ED63">
    <cfRule type="expression" dxfId="2637" priority="2502" stopIfTrue="1">
      <formula>IF(EE$8="判定対象外",TRUE,FALSE)</formula>
    </cfRule>
  </conditionalFormatting>
  <conditionalFormatting sqref="DV63">
    <cfRule type="expression" dxfId="2636" priority="2512" stopIfTrue="1">
      <formula>IF(DW$8="判定対象外",TRUE,FALSE)</formula>
    </cfRule>
  </conditionalFormatting>
  <conditionalFormatting sqref="DY63">
    <cfRule type="expression" dxfId="2635" priority="2510" stopIfTrue="1">
      <formula>IF(DY63="-",TRUE,FALSE)</formula>
    </cfRule>
    <cfRule type="expression" dxfId="2634" priority="2511" stopIfTrue="1">
      <formula>IF(OR(DY63="OK"),FALSE,TRUE)</formula>
    </cfRule>
  </conditionalFormatting>
  <conditionalFormatting sqref="DX63">
    <cfRule type="expression" dxfId="2633" priority="2509" stopIfTrue="1">
      <formula>IF(DW$8="判定対象外",TRUE,FALSE)</formula>
    </cfRule>
  </conditionalFormatting>
  <conditionalFormatting sqref="DW63">
    <cfRule type="expression" dxfId="2632" priority="2508" stopIfTrue="1">
      <formula>IF(DW$8="判定対象外",TRUE,FALSE)</formula>
    </cfRule>
  </conditionalFormatting>
  <conditionalFormatting sqref="ED62">
    <cfRule type="expression" dxfId="2631" priority="2513" stopIfTrue="1">
      <formula>IF(EE$8="判定対象外",TRUE,FALSE)</formula>
    </cfRule>
  </conditionalFormatting>
  <conditionalFormatting sqref="DV62">
    <cfRule type="expression" dxfId="2630" priority="2523" stopIfTrue="1">
      <formula>IF(DW$8="判定対象外",TRUE,FALSE)</formula>
    </cfRule>
  </conditionalFormatting>
  <conditionalFormatting sqref="DY62">
    <cfRule type="expression" dxfId="2629" priority="2521" stopIfTrue="1">
      <formula>IF(DY62="-",TRUE,FALSE)</formula>
    </cfRule>
    <cfRule type="expression" dxfId="2628" priority="2522" stopIfTrue="1">
      <formula>IF(OR(DY62="OK"),FALSE,TRUE)</formula>
    </cfRule>
  </conditionalFormatting>
  <conditionalFormatting sqref="DX62">
    <cfRule type="expression" dxfId="2627" priority="2520" stopIfTrue="1">
      <formula>IF(DW$8="判定対象外",TRUE,FALSE)</formula>
    </cfRule>
  </conditionalFormatting>
  <conditionalFormatting sqref="DW62">
    <cfRule type="expression" dxfId="2626" priority="2519" stopIfTrue="1">
      <formula>IF(DW$8="判定対象外",TRUE,FALSE)</formula>
    </cfRule>
  </conditionalFormatting>
  <conditionalFormatting sqref="ED61">
    <cfRule type="expression" dxfId="2625" priority="2524" stopIfTrue="1">
      <formula>IF(EE$8="判定対象外",TRUE,FALSE)</formula>
    </cfRule>
  </conditionalFormatting>
  <conditionalFormatting sqref="DV61">
    <cfRule type="expression" dxfId="2624" priority="2534" stopIfTrue="1">
      <formula>IF(DW$8="判定対象外",TRUE,FALSE)</formula>
    </cfRule>
  </conditionalFormatting>
  <conditionalFormatting sqref="DY61">
    <cfRule type="expression" dxfId="2623" priority="2532" stopIfTrue="1">
      <formula>IF(DY61="-",TRUE,FALSE)</formula>
    </cfRule>
    <cfRule type="expression" dxfId="2622" priority="2533" stopIfTrue="1">
      <formula>IF(OR(DY61="OK"),FALSE,TRUE)</formula>
    </cfRule>
  </conditionalFormatting>
  <conditionalFormatting sqref="DX61">
    <cfRule type="expression" dxfId="2621" priority="2531" stopIfTrue="1">
      <formula>IF(DW$8="判定対象外",TRUE,FALSE)</formula>
    </cfRule>
  </conditionalFormatting>
  <conditionalFormatting sqref="DW61">
    <cfRule type="expression" dxfId="2620" priority="2530" stopIfTrue="1">
      <formula>IF(DW$8="判定対象外",TRUE,FALSE)</formula>
    </cfRule>
  </conditionalFormatting>
  <conditionalFormatting sqref="ED60">
    <cfRule type="expression" dxfId="2619" priority="2535" stopIfTrue="1">
      <formula>IF(EE$8="判定対象外",TRUE,FALSE)</formula>
    </cfRule>
  </conditionalFormatting>
  <conditionalFormatting sqref="ED53 ED56 ED68 ED71">
    <cfRule type="expression" dxfId="2618" priority="2581" stopIfTrue="1">
      <formula>IF(EE$8="判定対象外",TRUE,FALSE)</formula>
    </cfRule>
  </conditionalFormatting>
  <conditionalFormatting sqref="DV60">
    <cfRule type="expression" dxfId="2617" priority="2545" stopIfTrue="1">
      <formula>IF(DW$8="判定対象外",TRUE,FALSE)</formula>
    </cfRule>
  </conditionalFormatting>
  <conditionalFormatting sqref="DY60">
    <cfRule type="expression" dxfId="2616" priority="2543" stopIfTrue="1">
      <formula>IF(DY60="-",TRUE,FALSE)</formula>
    </cfRule>
    <cfRule type="expression" dxfId="2615" priority="2544" stopIfTrue="1">
      <formula>IF(OR(DY60="OK"),FALSE,TRUE)</formula>
    </cfRule>
  </conditionalFormatting>
  <conditionalFormatting sqref="DX60">
    <cfRule type="expression" dxfId="2614" priority="2542" stopIfTrue="1">
      <formula>IF(DW$8="判定対象外",TRUE,FALSE)</formula>
    </cfRule>
  </conditionalFormatting>
  <conditionalFormatting sqref="DW60">
    <cfRule type="expression" dxfId="2613" priority="2541" stopIfTrue="1">
      <formula>IF(DW$8="判定対象外",TRUE,FALSE)</formula>
    </cfRule>
  </conditionalFormatting>
  <conditionalFormatting sqref="ED19">
    <cfRule type="expression" dxfId="2612" priority="2592" stopIfTrue="1">
      <formula>IF(EE$8="判定対象外",TRUE,FALSE)</formula>
    </cfRule>
  </conditionalFormatting>
  <conditionalFormatting sqref="ED59">
    <cfRule type="expression" dxfId="2611" priority="2546" stopIfTrue="1">
      <formula>IF(EE$8="判定対象外",TRUE,FALSE)</formula>
    </cfRule>
  </conditionalFormatting>
  <conditionalFormatting sqref="DV59">
    <cfRule type="expression" dxfId="2610" priority="2556" stopIfTrue="1">
      <formula>IF(DW$8="判定対象外",TRUE,FALSE)</formula>
    </cfRule>
  </conditionalFormatting>
  <conditionalFormatting sqref="DY59">
    <cfRule type="expression" dxfId="2609" priority="2554" stopIfTrue="1">
      <formula>IF(DY59="-",TRUE,FALSE)</formula>
    </cfRule>
    <cfRule type="expression" dxfId="2608" priority="2555" stopIfTrue="1">
      <formula>IF(OR(DY59="OK"),FALSE,TRUE)</formula>
    </cfRule>
  </conditionalFormatting>
  <conditionalFormatting sqref="DX59">
    <cfRule type="expression" dxfId="2607" priority="2553" stopIfTrue="1">
      <formula>IF(DW$8="判定対象外",TRUE,FALSE)</formula>
    </cfRule>
  </conditionalFormatting>
  <conditionalFormatting sqref="DW59">
    <cfRule type="expression" dxfId="2606" priority="2552" stopIfTrue="1">
      <formula>IF(DW$8="判定対象外",TRUE,FALSE)</formula>
    </cfRule>
  </conditionalFormatting>
  <conditionalFormatting sqref="ED16:ED18">
    <cfRule type="expression" dxfId="2605" priority="2602" stopIfTrue="1">
      <formula>IF(EE$8="判定対象外",TRUE,FALSE)</formula>
    </cfRule>
  </conditionalFormatting>
  <conditionalFormatting sqref="DY8:DY10">
    <cfRule type="expression" dxfId="2604" priority="2750" stopIfTrue="1">
      <formula>IF(DY8="-",TRUE,FALSE)</formula>
    </cfRule>
    <cfRule type="expression" dxfId="2603" priority="2751" stopIfTrue="1">
      <formula>IF(OR(DY8="OK"),FALSE,TRUE)</formula>
    </cfRule>
  </conditionalFormatting>
  <conditionalFormatting sqref="DV8:DV10">
    <cfRule type="expression" dxfId="2602" priority="2749" stopIfTrue="1">
      <formula>IF(DW$8="判定対象外",TRUE,FALSE)</formula>
    </cfRule>
  </conditionalFormatting>
  <conditionalFormatting sqref="DW8:DW10">
    <cfRule type="expression" dxfId="2601" priority="2748" stopIfTrue="1">
      <formula>IF(DW$8="判定対象外",TRUE,FALSE)</formula>
    </cfRule>
  </conditionalFormatting>
  <conditionalFormatting sqref="DX8:DX10">
    <cfRule type="expression" dxfId="2600" priority="2747" stopIfTrue="1">
      <formula>IF(DW$8="判定対象外",TRUE,FALSE)</formula>
    </cfRule>
  </conditionalFormatting>
  <conditionalFormatting sqref="DY11:DY34 DY71:DY81 DY36:DY56">
    <cfRule type="expression" dxfId="2599" priority="2744" stopIfTrue="1">
      <formula>IF(DY11="-",TRUE,FALSE)</formula>
    </cfRule>
    <cfRule type="expression" dxfId="2598" priority="2745" stopIfTrue="1">
      <formula>IF(OR(DY11="OK"),FALSE,TRUE)</formula>
    </cfRule>
  </conditionalFormatting>
  <conditionalFormatting sqref="DX11:DX34 DX71:DX81 DX36:DX56">
    <cfRule type="expression" dxfId="2597" priority="2743" stopIfTrue="1">
      <formula>IF(DW$8="判定対象外",TRUE,FALSE)</formula>
    </cfRule>
  </conditionalFormatting>
  <conditionalFormatting sqref="DV72:DV81 DV21:DV34 DV36:DV46">
    <cfRule type="expression" dxfId="2596" priority="2742" stopIfTrue="1">
      <formula>IF(DW$8="判定対象外",TRUE,FALSE)</formula>
    </cfRule>
  </conditionalFormatting>
  <conditionalFormatting sqref="DV29:DV32">
    <cfRule type="expression" dxfId="2595" priority="2741" stopIfTrue="1">
      <formula>IF(DW$8="判定対象外",TRUE,FALSE)</formula>
    </cfRule>
  </conditionalFormatting>
  <conditionalFormatting sqref="DV42:DV44">
    <cfRule type="expression" dxfId="2594" priority="2740" stopIfTrue="1">
      <formula>IF(DW$8="判定対象外",TRUE,FALSE)</formula>
    </cfRule>
  </conditionalFormatting>
  <conditionalFormatting sqref="DV46">
    <cfRule type="expression" dxfId="2593" priority="2739" stopIfTrue="1">
      <formula>IF(DW$8="判定対象外",TRUE,FALSE)</formula>
    </cfRule>
  </conditionalFormatting>
  <conditionalFormatting sqref="DV42:DV44">
    <cfRule type="expression" dxfId="2592" priority="2738" stopIfTrue="1">
      <formula>IF(DW$8="判定対象外",TRUE,FALSE)</formula>
    </cfRule>
  </conditionalFormatting>
  <conditionalFormatting sqref="DV42:DV44">
    <cfRule type="expression" dxfId="2591" priority="2737" stopIfTrue="1">
      <formula>IF(DW$8="判定対象外",TRUE,FALSE)</formula>
    </cfRule>
  </conditionalFormatting>
  <conditionalFormatting sqref="DV42:DV44">
    <cfRule type="expression" dxfId="2590" priority="2736" stopIfTrue="1">
      <formula>IF(DW$8="判定対象外",TRUE,FALSE)</formula>
    </cfRule>
  </conditionalFormatting>
  <conditionalFormatting sqref="DV42:DV44">
    <cfRule type="expression" dxfId="2589" priority="2735" stopIfTrue="1">
      <formula>IF(DW$8="判定対象外",TRUE,FALSE)</formula>
    </cfRule>
  </conditionalFormatting>
  <conditionalFormatting sqref="DV42:DV44">
    <cfRule type="expression" dxfId="2588" priority="2734" stopIfTrue="1">
      <formula>IF(DW$8="判定対象外",TRUE,FALSE)</formula>
    </cfRule>
  </conditionalFormatting>
  <conditionalFormatting sqref="DV42:DV44">
    <cfRule type="expression" dxfId="2587" priority="2733" stopIfTrue="1">
      <formula>IF(DW$8="判定対象外",TRUE,FALSE)</formula>
    </cfRule>
  </conditionalFormatting>
  <conditionalFormatting sqref="DV42:DV44">
    <cfRule type="expression" dxfId="2586" priority="2732" stopIfTrue="1">
      <formula>IF(DW$8="判定対象外",TRUE,FALSE)</formula>
    </cfRule>
  </conditionalFormatting>
  <conditionalFormatting sqref="DV38">
    <cfRule type="expression" dxfId="2585" priority="2746" stopIfTrue="1">
      <formula>IF(#REF!="判定対象外",TRUE,FALSE)</formula>
    </cfRule>
  </conditionalFormatting>
  <conditionalFormatting sqref="DW11:DW34 DW71:DW81 DW36:DW56">
    <cfRule type="expression" dxfId="2584" priority="2731" stopIfTrue="1">
      <formula>IF(DW$8="判定対象外",TRUE,FALSE)</formula>
    </cfRule>
  </conditionalFormatting>
  <conditionalFormatting sqref="DV48">
    <cfRule type="expression" dxfId="2583" priority="2730" stopIfTrue="1">
      <formula>IF(DW$8="判定対象外",TRUE,FALSE)</formula>
    </cfRule>
  </conditionalFormatting>
  <conditionalFormatting sqref="DV51">
    <cfRule type="expression" dxfId="2582" priority="2729" stopIfTrue="1">
      <formula>IF(DW$8="判定対象外",TRUE,FALSE)</formula>
    </cfRule>
  </conditionalFormatting>
  <conditionalFormatting sqref="DV52 DV55 DV67 DV70">
    <cfRule type="expression" dxfId="2581" priority="2728" stopIfTrue="1">
      <formula>IF(DW$8="判定対象外",TRUE,FALSE)</formula>
    </cfRule>
  </conditionalFormatting>
  <conditionalFormatting sqref="DV11:DV20">
    <cfRule type="expression" dxfId="2580" priority="2727" stopIfTrue="1">
      <formula>IF(DW$8="判定対象外",TRUE,FALSE)</formula>
    </cfRule>
  </conditionalFormatting>
  <conditionalFormatting sqref="DV16:DV18">
    <cfRule type="expression" dxfId="2579" priority="2726" stopIfTrue="1">
      <formula>IF(DW$8="判定対象外",TRUE,FALSE)</formula>
    </cfRule>
  </conditionalFormatting>
  <conditionalFormatting sqref="DV20">
    <cfRule type="expression" dxfId="2578" priority="2725" stopIfTrue="1">
      <formula>IF(DW$8="判定対象外",TRUE,FALSE)</formula>
    </cfRule>
  </conditionalFormatting>
  <conditionalFormatting sqref="DV16:DV20">
    <cfRule type="expression" dxfId="2577" priority="2724" stopIfTrue="1">
      <formula>IF(DW$8="判定対象外",TRUE,FALSE)</formula>
    </cfRule>
  </conditionalFormatting>
  <conditionalFormatting sqref="DV11:DV20">
    <cfRule type="expression" dxfId="2576" priority="2723" stopIfTrue="1">
      <formula>IF(DW$8="判定対象外",TRUE,FALSE)</formula>
    </cfRule>
  </conditionalFormatting>
  <conditionalFormatting sqref="DV16:DV18">
    <cfRule type="expression" dxfId="2575" priority="2722" stopIfTrue="1">
      <formula>IF(DW$8="判定対象外",TRUE,FALSE)</formula>
    </cfRule>
  </conditionalFormatting>
  <conditionalFormatting sqref="DV20">
    <cfRule type="expression" dxfId="2574" priority="2721" stopIfTrue="1">
      <formula>IF(DW$8="判定対象外",TRUE,FALSE)</formula>
    </cfRule>
  </conditionalFormatting>
  <conditionalFormatting sqref="DV16:DV20">
    <cfRule type="expression" dxfId="2573" priority="2720" stopIfTrue="1">
      <formula>IF(DW$8="判定対象外",TRUE,FALSE)</formula>
    </cfRule>
  </conditionalFormatting>
  <conditionalFormatting sqref="DV11:DV20">
    <cfRule type="expression" dxfId="2572" priority="2719" stopIfTrue="1">
      <formula>IF(DW$8="判定対象外",TRUE,FALSE)</formula>
    </cfRule>
  </conditionalFormatting>
  <conditionalFormatting sqref="DV16:DV18">
    <cfRule type="expression" dxfId="2571" priority="2718" stopIfTrue="1">
      <formula>IF(DW$8="判定対象外",TRUE,FALSE)</formula>
    </cfRule>
  </conditionalFormatting>
  <conditionalFormatting sqref="DV20">
    <cfRule type="expression" dxfId="2570" priority="2717" stopIfTrue="1">
      <formula>IF(DW$8="判定対象外",TRUE,FALSE)</formula>
    </cfRule>
  </conditionalFormatting>
  <conditionalFormatting sqref="DV16:DV20">
    <cfRule type="expression" dxfId="2569" priority="2716" stopIfTrue="1">
      <formula>IF(DW$8="判定対象外",TRUE,FALSE)</formula>
    </cfRule>
  </conditionalFormatting>
  <conditionalFormatting sqref="DV11:DV13">
    <cfRule type="expression" dxfId="2568" priority="2715" stopIfTrue="1">
      <formula>IF(DW$8="判定対象外",TRUE,FALSE)</formula>
    </cfRule>
  </conditionalFormatting>
  <conditionalFormatting sqref="DV15">
    <cfRule type="expression" dxfId="2567" priority="2714" stopIfTrue="1">
      <formula>IF(DW$8="判定対象外",TRUE,FALSE)</formula>
    </cfRule>
  </conditionalFormatting>
  <conditionalFormatting sqref="DV19">
    <cfRule type="expression" dxfId="2566" priority="2713" stopIfTrue="1">
      <formula>IF(DW$8="判定対象外",TRUE,FALSE)</formula>
    </cfRule>
  </conditionalFormatting>
  <conditionalFormatting sqref="DV19">
    <cfRule type="expression" dxfId="2565" priority="2712" stopIfTrue="1">
      <formula>IF(DW$8="判定対象外",TRUE,FALSE)</formula>
    </cfRule>
  </conditionalFormatting>
  <conditionalFormatting sqref="DV20">
    <cfRule type="expression" dxfId="2564" priority="2711" stopIfTrue="1">
      <formula>IF(DW$8="判定対象外",TRUE,FALSE)</formula>
    </cfRule>
  </conditionalFormatting>
  <conditionalFormatting sqref="DV20">
    <cfRule type="expression" dxfId="2563" priority="2710" stopIfTrue="1">
      <formula>IF(DW$8="判定対象外",TRUE,FALSE)</formula>
    </cfRule>
  </conditionalFormatting>
  <conditionalFormatting sqref="DV20">
    <cfRule type="expression" dxfId="2562" priority="2709" stopIfTrue="1">
      <formula>IF(DW$8="判定対象外",TRUE,FALSE)</formula>
    </cfRule>
  </conditionalFormatting>
  <conditionalFormatting sqref="DV13">
    <cfRule type="expression" dxfId="2561" priority="2708" stopIfTrue="1">
      <formula>IF(DW$8="判定対象外",TRUE,FALSE)</formula>
    </cfRule>
  </conditionalFormatting>
  <conditionalFormatting sqref="DV47">
    <cfRule type="expression" dxfId="2560" priority="2707" stopIfTrue="1">
      <formula>IF(DW$8="判定対象外",TRUE,FALSE)</formula>
    </cfRule>
  </conditionalFormatting>
  <conditionalFormatting sqref="DV47">
    <cfRule type="expression" dxfId="2559" priority="2706" stopIfTrue="1">
      <formula>IF(DW$8="判定対象外",TRUE,FALSE)</formula>
    </cfRule>
  </conditionalFormatting>
  <conditionalFormatting sqref="DV49">
    <cfRule type="expression" dxfId="2558" priority="2705" stopIfTrue="1">
      <formula>IF(DW$8="判定対象外",TRUE,FALSE)</formula>
    </cfRule>
  </conditionalFormatting>
  <conditionalFormatting sqref="DV49">
    <cfRule type="expression" dxfId="2557" priority="2704" stopIfTrue="1">
      <formula>IF(DW$8="判定対象外",TRUE,FALSE)</formula>
    </cfRule>
  </conditionalFormatting>
  <conditionalFormatting sqref="DV50">
    <cfRule type="expression" dxfId="2556" priority="2703" stopIfTrue="1">
      <formula>IF(DW$8="判定対象外",TRUE,FALSE)</formula>
    </cfRule>
  </conditionalFormatting>
  <conditionalFormatting sqref="DV50">
    <cfRule type="expression" dxfId="2555" priority="2702" stopIfTrue="1">
      <formula>IF(DW$8="判定対象外",TRUE,FALSE)</formula>
    </cfRule>
  </conditionalFormatting>
  <conditionalFormatting sqref="DV53 DV56 DV68 DV71">
    <cfRule type="expression" dxfId="2554" priority="2701" stopIfTrue="1">
      <formula>IF(DW$8="判定対象外",TRUE,FALSE)</formula>
    </cfRule>
  </conditionalFormatting>
  <conditionalFormatting sqref="DV54 DV57 DV69">
    <cfRule type="expression" dxfId="2553" priority="2700" stopIfTrue="1">
      <formula>IF(DW$8="判定対象外",TRUE,FALSE)</formula>
    </cfRule>
  </conditionalFormatting>
  <conditionalFormatting sqref="DY57">
    <cfRule type="expression" dxfId="2552" priority="2698" stopIfTrue="1">
      <formula>IF(DY57="-",TRUE,FALSE)</formula>
    </cfRule>
    <cfRule type="expression" dxfId="2551" priority="2699" stopIfTrue="1">
      <formula>IF(OR(DY57="OK"),FALSE,TRUE)</formula>
    </cfRule>
  </conditionalFormatting>
  <conditionalFormatting sqref="DX57">
    <cfRule type="expression" dxfId="2550" priority="2697" stopIfTrue="1">
      <formula>IF(DW$8="判定対象外",TRUE,FALSE)</formula>
    </cfRule>
  </conditionalFormatting>
  <conditionalFormatting sqref="DW57">
    <cfRule type="expression" dxfId="2549" priority="2696" stopIfTrue="1">
      <formula>IF(DW$8="判定対象外",TRUE,FALSE)</formula>
    </cfRule>
  </conditionalFormatting>
  <conditionalFormatting sqref="DY67:DY70">
    <cfRule type="expression" dxfId="2548" priority="2694" stopIfTrue="1">
      <formula>IF(DY67="-",TRUE,FALSE)</formula>
    </cfRule>
    <cfRule type="expression" dxfId="2547" priority="2695" stopIfTrue="1">
      <formula>IF(OR(DY67="OK"),FALSE,TRUE)</formula>
    </cfRule>
  </conditionalFormatting>
  <conditionalFormatting sqref="DX67:DX70">
    <cfRule type="expression" dxfId="2546" priority="2693" stopIfTrue="1">
      <formula>IF(DW$8="判定対象外",TRUE,FALSE)</formula>
    </cfRule>
  </conditionalFormatting>
  <conditionalFormatting sqref="DW67:DW70">
    <cfRule type="expression" dxfId="2545" priority="2692" stopIfTrue="1">
      <formula>IF(DW$8="判定対象外",TRUE,FALSE)</formula>
    </cfRule>
  </conditionalFormatting>
  <conditionalFormatting sqref="EC8:EC10">
    <cfRule type="expression" dxfId="2544" priority="2690" stopIfTrue="1">
      <formula>IF(EC8="-",TRUE,FALSE)</formula>
    </cfRule>
    <cfRule type="expression" dxfId="2543" priority="2691" stopIfTrue="1">
      <formula>IF(OR(EC8="OK"),FALSE,TRUE)</formula>
    </cfRule>
  </conditionalFormatting>
  <conditionalFormatting sqref="DZ8:DZ10">
    <cfRule type="expression" dxfId="2542" priority="2689" stopIfTrue="1">
      <formula>IF(EA$8="判定対象外",TRUE,FALSE)</formula>
    </cfRule>
  </conditionalFormatting>
  <conditionalFormatting sqref="EA8:EA10">
    <cfRule type="expression" dxfId="2541" priority="2688" stopIfTrue="1">
      <formula>IF(EA$8="判定対象外",TRUE,FALSE)</formula>
    </cfRule>
  </conditionalFormatting>
  <conditionalFormatting sqref="EB8:EB10">
    <cfRule type="expression" dxfId="2540" priority="2687" stopIfTrue="1">
      <formula>IF(EA$8="判定対象外",TRUE,FALSE)</formula>
    </cfRule>
  </conditionalFormatting>
  <conditionalFormatting sqref="EC11:EC34 EC71:EC81 EC36:EC56">
    <cfRule type="expression" dxfId="2539" priority="2684" stopIfTrue="1">
      <formula>IF(EC11="-",TRUE,FALSE)</formula>
    </cfRule>
    <cfRule type="expression" dxfId="2538" priority="2685" stopIfTrue="1">
      <formula>IF(OR(EC11="OK"),FALSE,TRUE)</formula>
    </cfRule>
  </conditionalFormatting>
  <conditionalFormatting sqref="EB11:EB34 EB71:EB81 EB36:EB56">
    <cfRule type="expression" dxfId="2537" priority="2683" stopIfTrue="1">
      <formula>IF(EA$8="判定対象外",TRUE,FALSE)</formula>
    </cfRule>
  </conditionalFormatting>
  <conditionalFormatting sqref="DZ72:DZ81 DZ21:DZ34 DZ36:DZ46">
    <cfRule type="expression" dxfId="2536" priority="2682" stopIfTrue="1">
      <formula>IF(EA$8="判定対象外",TRUE,FALSE)</formula>
    </cfRule>
  </conditionalFormatting>
  <conditionalFormatting sqref="DZ29:DZ32">
    <cfRule type="expression" dxfId="2535" priority="2681" stopIfTrue="1">
      <formula>IF(EA$8="判定対象外",TRUE,FALSE)</formula>
    </cfRule>
  </conditionalFormatting>
  <conditionalFormatting sqref="DZ42:DZ44">
    <cfRule type="expression" dxfId="2534" priority="2680" stopIfTrue="1">
      <formula>IF(EA$8="判定対象外",TRUE,FALSE)</formula>
    </cfRule>
  </conditionalFormatting>
  <conditionalFormatting sqref="DZ46">
    <cfRule type="expression" dxfId="2533" priority="2679" stopIfTrue="1">
      <formula>IF(EA$8="判定対象外",TRUE,FALSE)</formula>
    </cfRule>
  </conditionalFormatting>
  <conditionalFormatting sqref="DZ42:DZ44">
    <cfRule type="expression" dxfId="2532" priority="2678" stopIfTrue="1">
      <formula>IF(EA$8="判定対象外",TRUE,FALSE)</formula>
    </cfRule>
  </conditionalFormatting>
  <conditionalFormatting sqref="DZ42:DZ44">
    <cfRule type="expression" dxfId="2531" priority="2677" stopIfTrue="1">
      <formula>IF(EA$8="判定対象外",TRUE,FALSE)</formula>
    </cfRule>
  </conditionalFormatting>
  <conditionalFormatting sqref="DZ42:DZ44">
    <cfRule type="expression" dxfId="2530" priority="2676" stopIfTrue="1">
      <formula>IF(EA$8="判定対象外",TRUE,FALSE)</formula>
    </cfRule>
  </conditionalFormatting>
  <conditionalFormatting sqref="DZ42:DZ44">
    <cfRule type="expression" dxfId="2529" priority="2675" stopIfTrue="1">
      <formula>IF(EA$8="判定対象外",TRUE,FALSE)</formula>
    </cfRule>
  </conditionalFormatting>
  <conditionalFormatting sqref="DZ42:DZ44">
    <cfRule type="expression" dxfId="2528" priority="2674" stopIfTrue="1">
      <formula>IF(EA$8="判定対象外",TRUE,FALSE)</formula>
    </cfRule>
  </conditionalFormatting>
  <conditionalFormatting sqref="DZ42:DZ44">
    <cfRule type="expression" dxfId="2527" priority="2673" stopIfTrue="1">
      <formula>IF(EA$8="判定対象外",TRUE,FALSE)</formula>
    </cfRule>
  </conditionalFormatting>
  <conditionalFormatting sqref="DZ42:DZ44">
    <cfRule type="expression" dxfId="2526" priority="2672" stopIfTrue="1">
      <formula>IF(EA$8="判定対象外",TRUE,FALSE)</formula>
    </cfRule>
  </conditionalFormatting>
  <conditionalFormatting sqref="DZ38">
    <cfRule type="expression" dxfId="2525" priority="2686" stopIfTrue="1">
      <formula>IF(#REF!="判定対象外",TRUE,FALSE)</formula>
    </cfRule>
  </conditionalFormatting>
  <conditionalFormatting sqref="EA11:EA34 EA71:EA81 EA36:EA56">
    <cfRule type="expression" dxfId="2524" priority="2671" stopIfTrue="1">
      <formula>IF(EA$8="判定対象外",TRUE,FALSE)</formula>
    </cfRule>
  </conditionalFormatting>
  <conditionalFormatting sqref="DZ48">
    <cfRule type="expression" dxfId="2523" priority="2670" stopIfTrue="1">
      <formula>IF(EA$8="判定対象外",TRUE,FALSE)</formula>
    </cfRule>
  </conditionalFormatting>
  <conditionalFormatting sqref="DZ51">
    <cfRule type="expression" dxfId="2522" priority="2669" stopIfTrue="1">
      <formula>IF(EA$8="判定対象外",TRUE,FALSE)</formula>
    </cfRule>
  </conditionalFormatting>
  <conditionalFormatting sqref="DZ52 DZ55 DZ67 DZ70">
    <cfRule type="expression" dxfId="2521" priority="2668" stopIfTrue="1">
      <formula>IF(EA$8="判定対象外",TRUE,FALSE)</formula>
    </cfRule>
  </conditionalFormatting>
  <conditionalFormatting sqref="DZ11:DZ20">
    <cfRule type="expression" dxfId="2520" priority="2667" stopIfTrue="1">
      <formula>IF(EA$8="判定対象外",TRUE,FALSE)</formula>
    </cfRule>
  </conditionalFormatting>
  <conditionalFormatting sqref="DZ16:DZ18">
    <cfRule type="expression" dxfId="2519" priority="2666" stopIfTrue="1">
      <formula>IF(EA$8="判定対象外",TRUE,FALSE)</formula>
    </cfRule>
  </conditionalFormatting>
  <conditionalFormatting sqref="DZ20">
    <cfRule type="expression" dxfId="2518" priority="2665" stopIfTrue="1">
      <formula>IF(EA$8="判定対象外",TRUE,FALSE)</formula>
    </cfRule>
  </conditionalFormatting>
  <conditionalFormatting sqref="DZ16:DZ20">
    <cfRule type="expression" dxfId="2517" priority="2664" stopIfTrue="1">
      <formula>IF(EA$8="判定対象外",TRUE,FALSE)</formula>
    </cfRule>
  </conditionalFormatting>
  <conditionalFormatting sqref="DZ11:DZ20">
    <cfRule type="expression" dxfId="2516" priority="2663" stopIfTrue="1">
      <formula>IF(EA$8="判定対象外",TRUE,FALSE)</formula>
    </cfRule>
  </conditionalFormatting>
  <conditionalFormatting sqref="DZ16:DZ18">
    <cfRule type="expression" dxfId="2515" priority="2662" stopIfTrue="1">
      <formula>IF(EA$8="判定対象外",TRUE,FALSE)</formula>
    </cfRule>
  </conditionalFormatting>
  <conditionalFormatting sqref="DZ20">
    <cfRule type="expression" dxfId="2514" priority="2661" stopIfTrue="1">
      <formula>IF(EA$8="判定対象外",TRUE,FALSE)</formula>
    </cfRule>
  </conditionalFormatting>
  <conditionalFormatting sqref="DZ16:DZ20">
    <cfRule type="expression" dxfId="2513" priority="2660" stopIfTrue="1">
      <formula>IF(EA$8="判定対象外",TRUE,FALSE)</formula>
    </cfRule>
  </conditionalFormatting>
  <conditionalFormatting sqref="DZ11:DZ20">
    <cfRule type="expression" dxfId="2512" priority="2659" stopIfTrue="1">
      <formula>IF(EA$8="判定対象外",TRUE,FALSE)</formula>
    </cfRule>
  </conditionalFormatting>
  <conditionalFormatting sqref="DZ16:DZ18">
    <cfRule type="expression" dxfId="2511" priority="2658" stopIfTrue="1">
      <formula>IF(EA$8="判定対象外",TRUE,FALSE)</formula>
    </cfRule>
  </conditionalFormatting>
  <conditionalFormatting sqref="DZ20">
    <cfRule type="expression" dxfId="2510" priority="2657" stopIfTrue="1">
      <formula>IF(EA$8="判定対象外",TRUE,FALSE)</formula>
    </cfRule>
  </conditionalFormatting>
  <conditionalFormatting sqref="DZ16:DZ20">
    <cfRule type="expression" dxfId="2509" priority="2656" stopIfTrue="1">
      <formula>IF(EA$8="判定対象外",TRUE,FALSE)</formula>
    </cfRule>
  </conditionalFormatting>
  <conditionalFormatting sqref="DZ11:DZ13">
    <cfRule type="expression" dxfId="2508" priority="2655" stopIfTrue="1">
      <formula>IF(EA$8="判定対象外",TRUE,FALSE)</formula>
    </cfRule>
  </conditionalFormatting>
  <conditionalFormatting sqref="DZ15">
    <cfRule type="expression" dxfId="2507" priority="2654" stopIfTrue="1">
      <formula>IF(EA$8="判定対象外",TRUE,FALSE)</formula>
    </cfRule>
  </conditionalFormatting>
  <conditionalFormatting sqref="DZ19">
    <cfRule type="expression" dxfId="2506" priority="2653" stopIfTrue="1">
      <formula>IF(EA$8="判定対象外",TRUE,FALSE)</formula>
    </cfRule>
  </conditionalFormatting>
  <conditionalFormatting sqref="DZ19">
    <cfRule type="expression" dxfId="2505" priority="2652" stopIfTrue="1">
      <formula>IF(EA$8="判定対象外",TRUE,FALSE)</formula>
    </cfRule>
  </conditionalFormatting>
  <conditionalFormatting sqref="DZ20">
    <cfRule type="expression" dxfId="2504" priority="2651" stopIfTrue="1">
      <formula>IF(EA$8="判定対象外",TRUE,FALSE)</formula>
    </cfRule>
  </conditionalFormatting>
  <conditionalFormatting sqref="DZ20">
    <cfRule type="expression" dxfId="2503" priority="2650" stopIfTrue="1">
      <formula>IF(EA$8="判定対象外",TRUE,FALSE)</formula>
    </cfRule>
  </conditionalFormatting>
  <conditionalFormatting sqref="DZ20">
    <cfRule type="expression" dxfId="2502" priority="2649" stopIfTrue="1">
      <formula>IF(EA$8="判定対象外",TRUE,FALSE)</formula>
    </cfRule>
  </conditionalFormatting>
  <conditionalFormatting sqref="DZ13">
    <cfRule type="expression" dxfId="2501" priority="2648" stopIfTrue="1">
      <formula>IF(EA$8="判定対象外",TRUE,FALSE)</formula>
    </cfRule>
  </conditionalFormatting>
  <conditionalFormatting sqref="DZ47">
    <cfRule type="expression" dxfId="2500" priority="2647" stopIfTrue="1">
      <formula>IF(EA$8="判定対象外",TRUE,FALSE)</formula>
    </cfRule>
  </conditionalFormatting>
  <conditionalFormatting sqref="DZ47">
    <cfRule type="expression" dxfId="2499" priority="2646" stopIfTrue="1">
      <formula>IF(EA$8="判定対象外",TRUE,FALSE)</formula>
    </cfRule>
  </conditionalFormatting>
  <conditionalFormatting sqref="DZ49">
    <cfRule type="expression" dxfId="2498" priority="2645" stopIfTrue="1">
      <formula>IF(EA$8="判定対象外",TRUE,FALSE)</formula>
    </cfRule>
  </conditionalFormatting>
  <conditionalFormatting sqref="DZ49">
    <cfRule type="expression" dxfId="2497" priority="2644" stopIfTrue="1">
      <formula>IF(EA$8="判定対象外",TRUE,FALSE)</formula>
    </cfRule>
  </conditionalFormatting>
  <conditionalFormatting sqref="DZ50">
    <cfRule type="expression" dxfId="2496" priority="2643" stopIfTrue="1">
      <formula>IF(EA$8="判定対象外",TRUE,FALSE)</formula>
    </cfRule>
  </conditionalFormatting>
  <conditionalFormatting sqref="DZ50">
    <cfRule type="expression" dxfId="2495" priority="2642" stopIfTrue="1">
      <formula>IF(EA$8="判定対象外",TRUE,FALSE)</formula>
    </cfRule>
  </conditionalFormatting>
  <conditionalFormatting sqref="DZ53 DZ56 DZ68 DZ71">
    <cfRule type="expression" dxfId="2494" priority="2641" stopIfTrue="1">
      <formula>IF(EA$8="判定対象外",TRUE,FALSE)</formula>
    </cfRule>
  </conditionalFormatting>
  <conditionalFormatting sqref="DZ54 DZ57 DZ69">
    <cfRule type="expression" dxfId="2493" priority="2640" stopIfTrue="1">
      <formula>IF(EA$8="判定対象外",TRUE,FALSE)</formula>
    </cfRule>
  </conditionalFormatting>
  <conditionalFormatting sqref="EC57">
    <cfRule type="expression" dxfId="2492" priority="2638" stopIfTrue="1">
      <formula>IF(EC57="-",TRUE,FALSE)</formula>
    </cfRule>
    <cfRule type="expression" dxfId="2491" priority="2639" stopIfTrue="1">
      <formula>IF(OR(EC57="OK"),FALSE,TRUE)</formula>
    </cfRule>
  </conditionalFormatting>
  <conditionalFormatting sqref="EB57">
    <cfRule type="expression" dxfId="2490" priority="2637" stopIfTrue="1">
      <formula>IF(EA$8="判定対象外",TRUE,FALSE)</formula>
    </cfRule>
  </conditionalFormatting>
  <conditionalFormatting sqref="EA57">
    <cfRule type="expression" dxfId="2489" priority="2636" stopIfTrue="1">
      <formula>IF(EA$8="判定対象外",TRUE,FALSE)</formula>
    </cfRule>
  </conditionalFormatting>
  <conditionalFormatting sqref="EC67:EC70">
    <cfRule type="expression" dxfId="2488" priority="2634" stopIfTrue="1">
      <formula>IF(EC67="-",TRUE,FALSE)</formula>
    </cfRule>
    <cfRule type="expression" dxfId="2487" priority="2635" stopIfTrue="1">
      <formula>IF(OR(EC67="OK"),FALSE,TRUE)</formula>
    </cfRule>
  </conditionalFormatting>
  <conditionalFormatting sqref="EB67:EB70">
    <cfRule type="expression" dxfId="2486" priority="2633" stopIfTrue="1">
      <formula>IF(EA$8="判定対象外",TRUE,FALSE)</formula>
    </cfRule>
  </conditionalFormatting>
  <conditionalFormatting sqref="EA67:EA70">
    <cfRule type="expression" dxfId="2485" priority="2632" stopIfTrue="1">
      <formula>IF(EA$8="判定対象外",TRUE,FALSE)</formula>
    </cfRule>
  </conditionalFormatting>
  <conditionalFormatting sqref="ED29:ED32">
    <cfRule type="expression" dxfId="2484" priority="2621" stopIfTrue="1">
      <formula>IF(EE$8="判定対象外",TRUE,FALSE)</formula>
    </cfRule>
  </conditionalFormatting>
  <conditionalFormatting sqref="EG8:EG10">
    <cfRule type="expression" dxfId="2483" priority="2630" stopIfTrue="1">
      <formula>IF(EG8="-",TRUE,FALSE)</formula>
    </cfRule>
    <cfRule type="expression" dxfId="2482" priority="2631" stopIfTrue="1">
      <formula>IF(OR(EG8="OK"),FALSE,TRUE)</formula>
    </cfRule>
  </conditionalFormatting>
  <conditionalFormatting sqref="ED8:ED10">
    <cfRule type="expression" dxfId="2481" priority="2629" stopIfTrue="1">
      <formula>IF(EE$8="判定対象外",TRUE,FALSE)</formula>
    </cfRule>
  </conditionalFormatting>
  <conditionalFormatting sqref="EE8:EE10">
    <cfRule type="expression" dxfId="2480" priority="2628" stopIfTrue="1">
      <formula>IF(EE$8="判定対象外",TRUE,FALSE)</formula>
    </cfRule>
  </conditionalFormatting>
  <conditionalFormatting sqref="EF8:EF10">
    <cfRule type="expression" dxfId="2479" priority="2627" stopIfTrue="1">
      <formula>IF(EE$8="判定対象外",TRUE,FALSE)</formula>
    </cfRule>
  </conditionalFormatting>
  <conditionalFormatting sqref="EG11:EG34 EG71:EG81 EG36:EG56">
    <cfRule type="expression" dxfId="2478" priority="2624" stopIfTrue="1">
      <formula>IF(EG11="-",TRUE,FALSE)</formula>
    </cfRule>
    <cfRule type="expression" dxfId="2477" priority="2625" stopIfTrue="1">
      <formula>IF(OR(EG11="OK"),FALSE,TRUE)</formula>
    </cfRule>
  </conditionalFormatting>
  <conditionalFormatting sqref="EF11:EF34 EF71:EF81 EF36:EF56">
    <cfRule type="expression" dxfId="2476" priority="2623" stopIfTrue="1">
      <formula>IF(EE$8="判定対象外",TRUE,FALSE)</formula>
    </cfRule>
  </conditionalFormatting>
  <conditionalFormatting sqref="ED72:ED81 ED21:ED34 ED36:ED46">
    <cfRule type="expression" dxfId="2475" priority="2622" stopIfTrue="1">
      <formula>IF(EE$8="判定対象外",TRUE,FALSE)</formula>
    </cfRule>
  </conditionalFormatting>
  <conditionalFormatting sqref="ED42:ED44">
    <cfRule type="expression" dxfId="2474" priority="2620" stopIfTrue="1">
      <formula>IF(EE$8="判定対象外",TRUE,FALSE)</formula>
    </cfRule>
  </conditionalFormatting>
  <conditionalFormatting sqref="ED46">
    <cfRule type="expression" dxfId="2473" priority="2619" stopIfTrue="1">
      <formula>IF(EE$8="判定対象外",TRUE,FALSE)</formula>
    </cfRule>
  </conditionalFormatting>
  <conditionalFormatting sqref="ED42:ED44">
    <cfRule type="expression" dxfId="2472" priority="2618" stopIfTrue="1">
      <formula>IF(EE$8="判定対象外",TRUE,FALSE)</formula>
    </cfRule>
  </conditionalFormatting>
  <conditionalFormatting sqref="ED42:ED44">
    <cfRule type="expression" dxfId="2471" priority="2617" stopIfTrue="1">
      <formula>IF(EE$8="判定対象外",TRUE,FALSE)</formula>
    </cfRule>
  </conditionalFormatting>
  <conditionalFormatting sqref="ED42:ED44">
    <cfRule type="expression" dxfId="2470" priority="2616" stopIfTrue="1">
      <formula>IF(EE$8="判定対象外",TRUE,FALSE)</formula>
    </cfRule>
  </conditionalFormatting>
  <conditionalFormatting sqref="ED42:ED44">
    <cfRule type="expression" dxfId="2469" priority="2615" stopIfTrue="1">
      <formula>IF(EE$8="判定対象外",TRUE,FALSE)</formula>
    </cfRule>
  </conditionalFormatting>
  <conditionalFormatting sqref="ED42:ED44">
    <cfRule type="expression" dxfId="2468" priority="2614" stopIfTrue="1">
      <formula>IF(EE$8="判定対象外",TRUE,FALSE)</formula>
    </cfRule>
  </conditionalFormatting>
  <conditionalFormatting sqref="ED42:ED44">
    <cfRule type="expression" dxfId="2467" priority="2613" stopIfTrue="1">
      <formula>IF(EE$8="判定対象外",TRUE,FALSE)</formula>
    </cfRule>
  </conditionalFormatting>
  <conditionalFormatting sqref="ED42:ED44">
    <cfRule type="expression" dxfId="2466" priority="2612" stopIfTrue="1">
      <formula>IF(EE$8="判定対象外",TRUE,FALSE)</formula>
    </cfRule>
  </conditionalFormatting>
  <conditionalFormatting sqref="ED38">
    <cfRule type="expression" dxfId="2465" priority="2626" stopIfTrue="1">
      <formula>IF(#REF!="判定対象外",TRUE,FALSE)</formula>
    </cfRule>
  </conditionalFormatting>
  <conditionalFormatting sqref="EE11:EE34 EE71:EE81 EE36:EE56">
    <cfRule type="expression" dxfId="2464" priority="2611" stopIfTrue="1">
      <formula>IF(EE$8="判定対象外",TRUE,FALSE)</formula>
    </cfRule>
  </conditionalFormatting>
  <conditionalFormatting sqref="ED48">
    <cfRule type="expression" dxfId="2463" priority="2610" stopIfTrue="1">
      <formula>IF(EE$8="判定対象外",TRUE,FALSE)</formula>
    </cfRule>
  </conditionalFormatting>
  <conditionalFormatting sqref="ED51">
    <cfRule type="expression" dxfId="2462" priority="2609" stopIfTrue="1">
      <formula>IF(EE$8="判定対象外",TRUE,FALSE)</formula>
    </cfRule>
  </conditionalFormatting>
  <conditionalFormatting sqref="ED52 ED55 ED67 ED70">
    <cfRule type="expression" dxfId="2461" priority="2608" stopIfTrue="1">
      <formula>IF(EE$8="判定対象外",TRUE,FALSE)</formula>
    </cfRule>
  </conditionalFormatting>
  <conditionalFormatting sqref="ED11:ED20">
    <cfRule type="expression" dxfId="2460" priority="2607" stopIfTrue="1">
      <formula>IF(EE$8="判定対象外",TRUE,FALSE)</formula>
    </cfRule>
  </conditionalFormatting>
  <conditionalFormatting sqref="ED16:ED18">
    <cfRule type="expression" dxfId="2459" priority="2606" stopIfTrue="1">
      <formula>IF(EE$8="判定対象外",TRUE,FALSE)</formula>
    </cfRule>
  </conditionalFormatting>
  <conditionalFormatting sqref="ED20">
    <cfRule type="expression" dxfId="2458" priority="2605" stopIfTrue="1">
      <formula>IF(EE$8="判定対象外",TRUE,FALSE)</formula>
    </cfRule>
  </conditionalFormatting>
  <conditionalFormatting sqref="ED16:ED20">
    <cfRule type="expression" dxfId="2457" priority="2604" stopIfTrue="1">
      <formula>IF(EE$8="判定対象外",TRUE,FALSE)</formula>
    </cfRule>
  </conditionalFormatting>
  <conditionalFormatting sqref="ED11:ED20">
    <cfRule type="expression" dxfId="2456" priority="2603" stopIfTrue="1">
      <formula>IF(EE$8="判定対象外",TRUE,FALSE)</formula>
    </cfRule>
  </conditionalFormatting>
  <conditionalFormatting sqref="ED20">
    <cfRule type="expression" dxfId="2455" priority="2601" stopIfTrue="1">
      <formula>IF(EE$8="判定対象外",TRUE,FALSE)</formula>
    </cfRule>
  </conditionalFormatting>
  <conditionalFormatting sqref="ED16:ED20">
    <cfRule type="expression" dxfId="2454" priority="2600" stopIfTrue="1">
      <formula>IF(EE$8="判定対象外",TRUE,FALSE)</formula>
    </cfRule>
  </conditionalFormatting>
  <conditionalFormatting sqref="ED11:ED20">
    <cfRule type="expression" dxfId="2453" priority="2599" stopIfTrue="1">
      <formula>IF(EE$8="判定対象外",TRUE,FALSE)</formula>
    </cfRule>
  </conditionalFormatting>
  <conditionalFormatting sqref="ED16:ED18">
    <cfRule type="expression" dxfId="2452" priority="2598" stopIfTrue="1">
      <formula>IF(EE$8="判定対象外",TRUE,FALSE)</formula>
    </cfRule>
  </conditionalFormatting>
  <conditionalFormatting sqref="ED20">
    <cfRule type="expression" dxfId="2451" priority="2597" stopIfTrue="1">
      <formula>IF(EE$8="判定対象外",TRUE,FALSE)</formula>
    </cfRule>
  </conditionalFormatting>
  <conditionalFormatting sqref="ED16:ED20">
    <cfRule type="expression" dxfId="2450" priority="2596" stopIfTrue="1">
      <formula>IF(EE$8="判定対象外",TRUE,FALSE)</formula>
    </cfRule>
  </conditionalFormatting>
  <conditionalFormatting sqref="ED11:ED13">
    <cfRule type="expression" dxfId="2449" priority="2595" stopIfTrue="1">
      <formula>IF(EE$8="判定対象外",TRUE,FALSE)</formula>
    </cfRule>
  </conditionalFormatting>
  <conditionalFormatting sqref="ED15">
    <cfRule type="expression" dxfId="2448" priority="2594" stopIfTrue="1">
      <formula>IF(EE$8="判定対象外",TRUE,FALSE)</formula>
    </cfRule>
  </conditionalFormatting>
  <conditionalFormatting sqref="ED19">
    <cfRule type="expression" dxfId="2447" priority="2593" stopIfTrue="1">
      <formula>IF(EE$8="判定対象外",TRUE,FALSE)</formula>
    </cfRule>
  </conditionalFormatting>
  <conditionalFormatting sqref="ED20">
    <cfRule type="expression" dxfId="2446" priority="2591" stopIfTrue="1">
      <formula>IF(EE$8="判定対象外",TRUE,FALSE)</formula>
    </cfRule>
  </conditionalFormatting>
  <conditionalFormatting sqref="ED20">
    <cfRule type="expression" dxfId="2445" priority="2590" stopIfTrue="1">
      <formula>IF(EE$8="判定対象外",TRUE,FALSE)</formula>
    </cfRule>
  </conditionalFormatting>
  <conditionalFormatting sqref="ED20">
    <cfRule type="expression" dxfId="2444" priority="2589" stopIfTrue="1">
      <formula>IF(EE$8="判定対象外",TRUE,FALSE)</formula>
    </cfRule>
  </conditionalFormatting>
  <conditionalFormatting sqref="ED13">
    <cfRule type="expression" dxfId="2443" priority="2588" stopIfTrue="1">
      <formula>IF(EE$8="判定対象外",TRUE,FALSE)</formula>
    </cfRule>
  </conditionalFormatting>
  <conditionalFormatting sqref="ED47">
    <cfRule type="expression" dxfId="2442" priority="2587" stopIfTrue="1">
      <formula>IF(EE$8="判定対象外",TRUE,FALSE)</formula>
    </cfRule>
  </conditionalFormatting>
  <conditionalFormatting sqref="ED47">
    <cfRule type="expression" dxfId="2441" priority="2586" stopIfTrue="1">
      <formula>IF(EE$8="判定対象外",TRUE,FALSE)</formula>
    </cfRule>
  </conditionalFormatting>
  <conditionalFormatting sqref="ED49">
    <cfRule type="expression" dxfId="2440" priority="2585" stopIfTrue="1">
      <formula>IF(EE$8="判定対象外",TRUE,FALSE)</formula>
    </cfRule>
  </conditionalFormatting>
  <conditionalFormatting sqref="ED49">
    <cfRule type="expression" dxfId="2439" priority="2584" stopIfTrue="1">
      <formula>IF(EE$8="判定対象外",TRUE,FALSE)</formula>
    </cfRule>
  </conditionalFormatting>
  <conditionalFormatting sqref="ED50">
    <cfRule type="expression" dxfId="2438" priority="2583" stopIfTrue="1">
      <formula>IF(EE$8="判定対象外",TRUE,FALSE)</formula>
    </cfRule>
  </conditionalFormatting>
  <conditionalFormatting sqref="ED50">
    <cfRule type="expression" dxfId="2437" priority="2582" stopIfTrue="1">
      <formula>IF(EE$8="判定対象外",TRUE,FALSE)</formula>
    </cfRule>
  </conditionalFormatting>
  <conditionalFormatting sqref="ED54 ED57 ED69">
    <cfRule type="expression" dxfId="2436" priority="2580" stopIfTrue="1">
      <formula>IF(EE$8="判定対象外",TRUE,FALSE)</formula>
    </cfRule>
  </conditionalFormatting>
  <conditionalFormatting sqref="EG57">
    <cfRule type="expression" dxfId="2435" priority="2578" stopIfTrue="1">
      <formula>IF(EG57="-",TRUE,FALSE)</formula>
    </cfRule>
    <cfRule type="expression" dxfId="2434" priority="2579" stopIfTrue="1">
      <formula>IF(OR(EG57="OK"),FALSE,TRUE)</formula>
    </cfRule>
  </conditionalFormatting>
  <conditionalFormatting sqref="EF57">
    <cfRule type="expression" dxfId="2433" priority="2577" stopIfTrue="1">
      <formula>IF(EE$8="判定対象外",TRUE,FALSE)</formula>
    </cfRule>
  </conditionalFormatting>
  <conditionalFormatting sqref="EE57">
    <cfRule type="expression" dxfId="2432" priority="2576" stopIfTrue="1">
      <formula>IF(EE$8="判定対象外",TRUE,FALSE)</formula>
    </cfRule>
  </conditionalFormatting>
  <conditionalFormatting sqref="EG58:EG64">
    <cfRule type="expression" dxfId="2431" priority="2574" stopIfTrue="1">
      <formula>IF(EG58="-",TRUE,FALSE)</formula>
    </cfRule>
    <cfRule type="expression" dxfId="2430" priority="2575" stopIfTrue="1">
      <formula>IF(OR(EG58="OK"),FALSE,TRUE)</formula>
    </cfRule>
  </conditionalFormatting>
  <conditionalFormatting sqref="EF58:EF64">
    <cfRule type="expression" dxfId="2429" priority="2573" stopIfTrue="1">
      <formula>IF(EE$8="判定対象外",TRUE,FALSE)</formula>
    </cfRule>
  </conditionalFormatting>
  <conditionalFormatting sqref="EE58:EE64">
    <cfRule type="expression" dxfId="2428" priority="2572" stopIfTrue="1">
      <formula>IF(EE$8="判定対象外",TRUE,FALSE)</formula>
    </cfRule>
  </conditionalFormatting>
  <conditionalFormatting sqref="EG65:EG70">
    <cfRule type="expression" dxfId="2427" priority="2570" stopIfTrue="1">
      <formula>IF(EG65="-",TRUE,FALSE)</formula>
    </cfRule>
    <cfRule type="expression" dxfId="2426" priority="2571" stopIfTrue="1">
      <formula>IF(OR(EG65="OK"),FALSE,TRUE)</formula>
    </cfRule>
  </conditionalFormatting>
  <conditionalFormatting sqref="EF65:EF70">
    <cfRule type="expression" dxfId="2425" priority="2569" stopIfTrue="1">
      <formula>IF(EE$8="判定対象外",TRUE,FALSE)</formula>
    </cfRule>
  </conditionalFormatting>
  <conditionalFormatting sqref="EE65:EE70">
    <cfRule type="expression" dxfId="2424" priority="2568" stopIfTrue="1">
      <formula>IF(EE$8="判定対象外",TRUE,FALSE)</formula>
    </cfRule>
  </conditionalFormatting>
  <conditionalFormatting sqref="ED58">
    <cfRule type="expression" dxfId="2423" priority="2557" stopIfTrue="1">
      <formula>IF(EE$8="判定対象外",TRUE,FALSE)</formula>
    </cfRule>
  </conditionalFormatting>
  <conditionalFormatting sqref="DV58">
    <cfRule type="expression" dxfId="2422" priority="2567" stopIfTrue="1">
      <formula>IF(DW$8="判定対象外",TRUE,FALSE)</formula>
    </cfRule>
  </conditionalFormatting>
  <conditionalFormatting sqref="DY58">
    <cfRule type="expression" dxfId="2421" priority="2565" stopIfTrue="1">
      <formula>IF(DY58="-",TRUE,FALSE)</formula>
    </cfRule>
    <cfRule type="expression" dxfId="2420" priority="2566" stopIfTrue="1">
      <formula>IF(OR(DY58="OK"),FALSE,TRUE)</formula>
    </cfRule>
  </conditionalFormatting>
  <conditionalFormatting sqref="DX58">
    <cfRule type="expression" dxfId="2419" priority="2564" stopIfTrue="1">
      <formula>IF(DW$8="判定対象外",TRUE,FALSE)</formula>
    </cfRule>
  </conditionalFormatting>
  <conditionalFormatting sqref="DW58">
    <cfRule type="expression" dxfId="2418" priority="2563" stopIfTrue="1">
      <formula>IF(DW$8="判定対象外",TRUE,FALSE)</formula>
    </cfRule>
  </conditionalFormatting>
  <conditionalFormatting sqref="DZ58">
    <cfRule type="expression" dxfId="2417" priority="2562" stopIfTrue="1">
      <formula>IF(EA$8="判定対象外",TRUE,FALSE)</formula>
    </cfRule>
  </conditionalFormatting>
  <conditionalFormatting sqref="EC58">
    <cfRule type="expression" dxfId="2416" priority="2560" stopIfTrue="1">
      <formula>IF(EC58="-",TRUE,FALSE)</formula>
    </cfRule>
    <cfRule type="expression" dxfId="2415" priority="2561" stopIfTrue="1">
      <formula>IF(OR(EC58="OK"),FALSE,TRUE)</formula>
    </cfRule>
  </conditionalFormatting>
  <conditionalFormatting sqref="EB58">
    <cfRule type="expression" dxfId="2414" priority="2559" stopIfTrue="1">
      <formula>IF(EA$8="判定対象外",TRUE,FALSE)</formula>
    </cfRule>
  </conditionalFormatting>
  <conditionalFormatting sqref="EA58">
    <cfRule type="expression" dxfId="2413" priority="2558" stopIfTrue="1">
      <formula>IF(EA$8="判定対象外",TRUE,FALSE)</formula>
    </cfRule>
  </conditionalFormatting>
  <conditionalFormatting sqref="DZ59">
    <cfRule type="expression" dxfId="2412" priority="2551" stopIfTrue="1">
      <formula>IF(EA$8="判定対象外",TRUE,FALSE)</formula>
    </cfRule>
  </conditionalFormatting>
  <conditionalFormatting sqref="EC59">
    <cfRule type="expression" dxfId="2411" priority="2549" stopIfTrue="1">
      <formula>IF(EC59="-",TRUE,FALSE)</formula>
    </cfRule>
    <cfRule type="expression" dxfId="2410" priority="2550" stopIfTrue="1">
      <formula>IF(OR(EC59="OK"),FALSE,TRUE)</formula>
    </cfRule>
  </conditionalFormatting>
  <conditionalFormatting sqref="EB59">
    <cfRule type="expression" dxfId="2409" priority="2548" stopIfTrue="1">
      <formula>IF(EA$8="判定対象外",TRUE,FALSE)</formula>
    </cfRule>
  </conditionalFormatting>
  <conditionalFormatting sqref="EA59">
    <cfRule type="expression" dxfId="2408" priority="2547" stopIfTrue="1">
      <formula>IF(EA$8="判定対象外",TRUE,FALSE)</formula>
    </cfRule>
  </conditionalFormatting>
  <conditionalFormatting sqref="DZ60">
    <cfRule type="expression" dxfId="2407" priority="2540" stopIfTrue="1">
      <formula>IF(EA$8="判定対象外",TRUE,FALSE)</formula>
    </cfRule>
  </conditionalFormatting>
  <conditionalFormatting sqref="EC60">
    <cfRule type="expression" dxfId="2406" priority="2538" stopIfTrue="1">
      <formula>IF(EC60="-",TRUE,FALSE)</formula>
    </cfRule>
    <cfRule type="expression" dxfId="2405" priority="2539" stopIfTrue="1">
      <formula>IF(OR(EC60="OK"),FALSE,TRUE)</formula>
    </cfRule>
  </conditionalFormatting>
  <conditionalFormatting sqref="EB60">
    <cfRule type="expression" dxfId="2404" priority="2537" stopIfTrue="1">
      <formula>IF(EA$8="判定対象外",TRUE,FALSE)</formula>
    </cfRule>
  </conditionalFormatting>
  <conditionalFormatting sqref="EA60">
    <cfRule type="expression" dxfId="2403" priority="2536" stopIfTrue="1">
      <formula>IF(EA$8="判定対象外",TRUE,FALSE)</formula>
    </cfRule>
  </conditionalFormatting>
  <conditionalFormatting sqref="DZ61">
    <cfRule type="expression" dxfId="2402" priority="2529" stopIfTrue="1">
      <formula>IF(EA$8="判定対象外",TRUE,FALSE)</formula>
    </cfRule>
  </conditionalFormatting>
  <conditionalFormatting sqref="EC61">
    <cfRule type="expression" dxfId="2401" priority="2527" stopIfTrue="1">
      <formula>IF(EC61="-",TRUE,FALSE)</formula>
    </cfRule>
    <cfRule type="expression" dxfId="2400" priority="2528" stopIfTrue="1">
      <formula>IF(OR(EC61="OK"),FALSE,TRUE)</formula>
    </cfRule>
  </conditionalFormatting>
  <conditionalFormatting sqref="EB61">
    <cfRule type="expression" dxfId="2399" priority="2526" stopIfTrue="1">
      <formula>IF(EA$8="判定対象外",TRUE,FALSE)</formula>
    </cfRule>
  </conditionalFormatting>
  <conditionalFormatting sqref="EA61">
    <cfRule type="expression" dxfId="2398" priority="2525" stopIfTrue="1">
      <formula>IF(EA$8="判定対象外",TRUE,FALSE)</formula>
    </cfRule>
  </conditionalFormatting>
  <conditionalFormatting sqref="DZ62">
    <cfRule type="expression" dxfId="2397" priority="2518" stopIfTrue="1">
      <formula>IF(EA$8="判定対象外",TRUE,FALSE)</formula>
    </cfRule>
  </conditionalFormatting>
  <conditionalFormatting sqref="EC62">
    <cfRule type="expression" dxfId="2396" priority="2516" stopIfTrue="1">
      <formula>IF(EC62="-",TRUE,FALSE)</formula>
    </cfRule>
    <cfRule type="expression" dxfId="2395" priority="2517" stopIfTrue="1">
      <formula>IF(OR(EC62="OK"),FALSE,TRUE)</formula>
    </cfRule>
  </conditionalFormatting>
  <conditionalFormatting sqref="EB62">
    <cfRule type="expression" dxfId="2394" priority="2515" stopIfTrue="1">
      <formula>IF(EA$8="判定対象外",TRUE,FALSE)</formula>
    </cfRule>
  </conditionalFormatting>
  <conditionalFormatting sqref="EA62">
    <cfRule type="expression" dxfId="2393" priority="2514" stopIfTrue="1">
      <formula>IF(EA$8="判定対象外",TRUE,FALSE)</formula>
    </cfRule>
  </conditionalFormatting>
  <conditionalFormatting sqref="DZ63">
    <cfRule type="expression" dxfId="2392" priority="2507" stopIfTrue="1">
      <formula>IF(EA$8="判定対象外",TRUE,FALSE)</formula>
    </cfRule>
  </conditionalFormatting>
  <conditionalFormatting sqref="EC63">
    <cfRule type="expression" dxfId="2391" priority="2505" stopIfTrue="1">
      <formula>IF(EC63="-",TRUE,FALSE)</formula>
    </cfRule>
    <cfRule type="expression" dxfId="2390" priority="2506" stopIfTrue="1">
      <formula>IF(OR(EC63="OK"),FALSE,TRUE)</formula>
    </cfRule>
  </conditionalFormatting>
  <conditionalFormatting sqref="EB63">
    <cfRule type="expression" dxfId="2389" priority="2504" stopIfTrue="1">
      <formula>IF(EA$8="判定対象外",TRUE,FALSE)</formula>
    </cfRule>
  </conditionalFormatting>
  <conditionalFormatting sqref="EA63">
    <cfRule type="expression" dxfId="2388" priority="2503" stopIfTrue="1">
      <formula>IF(EA$8="判定対象外",TRUE,FALSE)</formula>
    </cfRule>
  </conditionalFormatting>
  <conditionalFormatting sqref="DZ64">
    <cfRule type="expression" dxfId="2387" priority="2485" stopIfTrue="1">
      <formula>IF(EA$8="判定対象外",TRUE,FALSE)</formula>
    </cfRule>
  </conditionalFormatting>
  <conditionalFormatting sqref="EC64">
    <cfRule type="expression" dxfId="2386" priority="2483" stopIfTrue="1">
      <formula>IF(EC64="-",TRUE,FALSE)</formula>
    </cfRule>
    <cfRule type="expression" dxfId="2385" priority="2484" stopIfTrue="1">
      <formula>IF(OR(EC64="OK"),FALSE,TRUE)</formula>
    </cfRule>
  </conditionalFormatting>
  <conditionalFormatting sqref="EB64">
    <cfRule type="expression" dxfId="2384" priority="2482" stopIfTrue="1">
      <formula>IF(EA$8="判定対象外",TRUE,FALSE)</formula>
    </cfRule>
  </conditionalFormatting>
  <conditionalFormatting sqref="EA64">
    <cfRule type="expression" dxfId="2383" priority="2481" stopIfTrue="1">
      <formula>IF(EA$8="判定対象外",TRUE,FALSE)</formula>
    </cfRule>
  </conditionalFormatting>
  <conditionalFormatting sqref="EP67">
    <cfRule type="expression" dxfId="2382" priority="2164" stopIfTrue="1">
      <formula>IF(EQ$8="判定対象外",TRUE,FALSE)</formula>
    </cfRule>
  </conditionalFormatting>
  <conditionalFormatting sqref="DV66">
    <cfRule type="expression" dxfId="2381" priority="2479" stopIfTrue="1">
      <formula>IF(DW$8="判定対象外",TRUE,FALSE)</formula>
    </cfRule>
  </conditionalFormatting>
  <conditionalFormatting sqref="DY66">
    <cfRule type="expression" dxfId="2380" priority="2477" stopIfTrue="1">
      <formula>IF(DY66="-",TRUE,FALSE)</formula>
    </cfRule>
    <cfRule type="expression" dxfId="2379" priority="2478" stopIfTrue="1">
      <formula>IF(OR(DY66="OK"),FALSE,TRUE)</formula>
    </cfRule>
  </conditionalFormatting>
  <conditionalFormatting sqref="DX66">
    <cfRule type="expression" dxfId="2378" priority="2476" stopIfTrue="1">
      <formula>IF(DW$8="判定対象外",TRUE,FALSE)</formula>
    </cfRule>
  </conditionalFormatting>
  <conditionalFormatting sqref="DW66">
    <cfRule type="expression" dxfId="2377" priority="2475" stopIfTrue="1">
      <formula>IF(DW$8="判定対象外",TRUE,FALSE)</formula>
    </cfRule>
  </conditionalFormatting>
  <conditionalFormatting sqref="EC66">
    <cfRule type="expression" dxfId="2376" priority="2473" stopIfTrue="1">
      <formula>IF(EC66="-",TRUE,FALSE)</formula>
    </cfRule>
    <cfRule type="expression" dxfId="2375" priority="2474" stopIfTrue="1">
      <formula>IF(OR(EC66="OK"),FALSE,TRUE)</formula>
    </cfRule>
  </conditionalFormatting>
  <conditionalFormatting sqref="EB66">
    <cfRule type="expression" dxfId="2374" priority="2472" stopIfTrue="1">
      <formula>IF(EA$8="判定対象外",TRUE,FALSE)</formula>
    </cfRule>
  </conditionalFormatting>
  <conditionalFormatting sqref="EA66">
    <cfRule type="expression" dxfId="2373" priority="2471" stopIfTrue="1">
      <formula>IF(EA$8="判定対象外",TRUE,FALSE)</formula>
    </cfRule>
  </conditionalFormatting>
  <conditionalFormatting sqref="DV65">
    <cfRule type="expression" dxfId="2372" priority="2468" stopIfTrue="1">
      <formula>IF(DW$8="判定対象外",TRUE,FALSE)</formula>
    </cfRule>
  </conditionalFormatting>
  <conditionalFormatting sqref="DY65">
    <cfRule type="expression" dxfId="2371" priority="2466" stopIfTrue="1">
      <formula>IF(DY65="-",TRUE,FALSE)</formula>
    </cfRule>
    <cfRule type="expression" dxfId="2370" priority="2467" stopIfTrue="1">
      <formula>IF(OR(DY65="OK"),FALSE,TRUE)</formula>
    </cfRule>
  </conditionalFormatting>
  <conditionalFormatting sqref="DX65">
    <cfRule type="expression" dxfId="2369" priority="2465" stopIfTrue="1">
      <formula>IF(DW$8="判定対象外",TRUE,FALSE)</formula>
    </cfRule>
  </conditionalFormatting>
  <conditionalFormatting sqref="DW65">
    <cfRule type="expression" dxfId="2368" priority="2464" stopIfTrue="1">
      <formula>IF(DW$8="判定対象外",TRUE,FALSE)</formula>
    </cfRule>
  </conditionalFormatting>
  <conditionalFormatting sqref="DZ65">
    <cfRule type="expression" dxfId="2367" priority="2463" stopIfTrue="1">
      <formula>IF(EA$8="判定対象外",TRUE,FALSE)</formula>
    </cfRule>
  </conditionalFormatting>
  <conditionalFormatting sqref="EC65">
    <cfRule type="expression" dxfId="2366" priority="2461" stopIfTrue="1">
      <formula>IF(EC65="-",TRUE,FALSE)</formula>
    </cfRule>
    <cfRule type="expression" dxfId="2365" priority="2462" stopIfTrue="1">
      <formula>IF(OR(EC65="OK"),FALSE,TRUE)</formula>
    </cfRule>
  </conditionalFormatting>
  <conditionalFormatting sqref="EB65">
    <cfRule type="expression" dxfId="2364" priority="2460" stopIfTrue="1">
      <formula>IF(EA$8="判定対象外",TRUE,FALSE)</formula>
    </cfRule>
  </conditionalFormatting>
  <conditionalFormatting sqref="EA65">
    <cfRule type="expression" dxfId="2363" priority="2459" stopIfTrue="1">
      <formula>IF(EA$8="判定対象外",TRUE,FALSE)</formula>
    </cfRule>
  </conditionalFormatting>
  <conditionalFormatting sqref="ED65">
    <cfRule type="expression" dxfId="2362" priority="2458" stopIfTrue="1">
      <formula>IF(EE$8="判定対象外",TRUE,FALSE)</formula>
    </cfRule>
  </conditionalFormatting>
  <conditionalFormatting sqref="EP64">
    <cfRule type="expression" dxfId="2361" priority="2197" stopIfTrue="1">
      <formula>IF(EQ$8="判定対象外",TRUE,FALSE)</formula>
    </cfRule>
  </conditionalFormatting>
  <conditionalFormatting sqref="EH64">
    <cfRule type="expression" dxfId="2360" priority="2207" stopIfTrue="1">
      <formula>IF(EI$8="判定対象外",TRUE,FALSE)</formula>
    </cfRule>
  </conditionalFormatting>
  <conditionalFormatting sqref="EK64">
    <cfRule type="expression" dxfId="2359" priority="2205" stopIfTrue="1">
      <formula>IF(EK64="-",TRUE,FALSE)</formula>
    </cfRule>
    <cfRule type="expression" dxfId="2358" priority="2206" stopIfTrue="1">
      <formula>IF(OR(EK64="OK"),FALSE,TRUE)</formula>
    </cfRule>
  </conditionalFormatting>
  <conditionalFormatting sqref="EJ64">
    <cfRule type="expression" dxfId="2357" priority="2204" stopIfTrue="1">
      <formula>IF(EI$8="判定対象外",TRUE,FALSE)</formula>
    </cfRule>
  </conditionalFormatting>
  <conditionalFormatting sqref="EI64">
    <cfRule type="expression" dxfId="2356" priority="2203" stopIfTrue="1">
      <formula>IF(EI$8="判定対象外",TRUE,FALSE)</formula>
    </cfRule>
  </conditionalFormatting>
  <conditionalFormatting sqref="EP63">
    <cfRule type="expression" dxfId="2355" priority="2208" stopIfTrue="1">
      <formula>IF(EQ$8="判定対象外",TRUE,FALSE)</formula>
    </cfRule>
  </conditionalFormatting>
  <conditionalFormatting sqref="EH63">
    <cfRule type="expression" dxfId="2354" priority="2218" stopIfTrue="1">
      <formula>IF(EI$8="判定対象外",TRUE,FALSE)</formula>
    </cfRule>
  </conditionalFormatting>
  <conditionalFormatting sqref="EK63">
    <cfRule type="expression" dxfId="2353" priority="2216" stopIfTrue="1">
      <formula>IF(EK63="-",TRUE,FALSE)</formula>
    </cfRule>
    <cfRule type="expression" dxfId="2352" priority="2217" stopIfTrue="1">
      <formula>IF(OR(EK63="OK"),FALSE,TRUE)</formula>
    </cfRule>
  </conditionalFormatting>
  <conditionalFormatting sqref="EJ63">
    <cfRule type="expression" dxfId="2351" priority="2215" stopIfTrue="1">
      <formula>IF(EI$8="判定対象外",TRUE,FALSE)</formula>
    </cfRule>
  </conditionalFormatting>
  <conditionalFormatting sqref="EI63">
    <cfRule type="expression" dxfId="2350" priority="2214" stopIfTrue="1">
      <formula>IF(EI$8="判定対象外",TRUE,FALSE)</formula>
    </cfRule>
  </conditionalFormatting>
  <conditionalFormatting sqref="EP62">
    <cfRule type="expression" dxfId="2349" priority="2219" stopIfTrue="1">
      <formula>IF(EQ$8="判定対象外",TRUE,FALSE)</formula>
    </cfRule>
  </conditionalFormatting>
  <conditionalFormatting sqref="EH62">
    <cfRule type="expression" dxfId="2348" priority="2229" stopIfTrue="1">
      <formula>IF(EI$8="判定対象外",TRUE,FALSE)</formula>
    </cfRule>
  </conditionalFormatting>
  <conditionalFormatting sqref="EK62">
    <cfRule type="expression" dxfId="2347" priority="2227" stopIfTrue="1">
      <formula>IF(EK62="-",TRUE,FALSE)</formula>
    </cfRule>
    <cfRule type="expression" dxfId="2346" priority="2228" stopIfTrue="1">
      <formula>IF(OR(EK62="OK"),FALSE,TRUE)</formula>
    </cfRule>
  </conditionalFormatting>
  <conditionalFormatting sqref="EJ62">
    <cfRule type="expression" dxfId="2345" priority="2226" stopIfTrue="1">
      <formula>IF(EI$8="判定対象外",TRUE,FALSE)</formula>
    </cfRule>
  </conditionalFormatting>
  <conditionalFormatting sqref="EI62">
    <cfRule type="expression" dxfId="2344" priority="2225" stopIfTrue="1">
      <formula>IF(EI$8="判定対象外",TRUE,FALSE)</formula>
    </cfRule>
  </conditionalFormatting>
  <conditionalFormatting sqref="EP61">
    <cfRule type="expression" dxfId="2343" priority="2230" stopIfTrue="1">
      <formula>IF(EQ$8="判定対象外",TRUE,FALSE)</formula>
    </cfRule>
  </conditionalFormatting>
  <conditionalFormatting sqref="EH61">
    <cfRule type="expression" dxfId="2342" priority="2240" stopIfTrue="1">
      <formula>IF(EI$8="判定対象外",TRUE,FALSE)</formula>
    </cfRule>
  </conditionalFormatting>
  <conditionalFormatting sqref="EK61">
    <cfRule type="expression" dxfId="2341" priority="2238" stopIfTrue="1">
      <formula>IF(EK61="-",TRUE,FALSE)</formula>
    </cfRule>
    <cfRule type="expression" dxfId="2340" priority="2239" stopIfTrue="1">
      <formula>IF(OR(EK61="OK"),FALSE,TRUE)</formula>
    </cfRule>
  </conditionalFormatting>
  <conditionalFormatting sqref="EJ61">
    <cfRule type="expression" dxfId="2339" priority="2237" stopIfTrue="1">
      <formula>IF(EI$8="判定対象外",TRUE,FALSE)</formula>
    </cfRule>
  </conditionalFormatting>
  <conditionalFormatting sqref="EI61">
    <cfRule type="expression" dxfId="2338" priority="2236" stopIfTrue="1">
      <formula>IF(EI$8="判定対象外",TRUE,FALSE)</formula>
    </cfRule>
  </conditionalFormatting>
  <conditionalFormatting sqref="EP60">
    <cfRule type="expression" dxfId="2337" priority="2241" stopIfTrue="1">
      <formula>IF(EQ$8="判定対象外",TRUE,FALSE)</formula>
    </cfRule>
  </conditionalFormatting>
  <conditionalFormatting sqref="EP53 EP56 EP68 EP71">
    <cfRule type="expression" dxfId="2336" priority="2287" stopIfTrue="1">
      <formula>IF(EQ$8="判定対象外",TRUE,FALSE)</formula>
    </cfRule>
  </conditionalFormatting>
  <conditionalFormatting sqref="EH60">
    <cfRule type="expression" dxfId="2335" priority="2251" stopIfTrue="1">
      <formula>IF(EI$8="判定対象外",TRUE,FALSE)</formula>
    </cfRule>
  </conditionalFormatting>
  <conditionalFormatting sqref="EK60">
    <cfRule type="expression" dxfId="2334" priority="2249" stopIfTrue="1">
      <formula>IF(EK60="-",TRUE,FALSE)</formula>
    </cfRule>
    <cfRule type="expression" dxfId="2333" priority="2250" stopIfTrue="1">
      <formula>IF(OR(EK60="OK"),FALSE,TRUE)</formula>
    </cfRule>
  </conditionalFormatting>
  <conditionalFormatting sqref="EJ60">
    <cfRule type="expression" dxfId="2332" priority="2248" stopIfTrue="1">
      <formula>IF(EI$8="判定対象外",TRUE,FALSE)</formula>
    </cfRule>
  </conditionalFormatting>
  <conditionalFormatting sqref="EI60">
    <cfRule type="expression" dxfId="2331" priority="2247" stopIfTrue="1">
      <formula>IF(EI$8="判定対象外",TRUE,FALSE)</formula>
    </cfRule>
  </conditionalFormatting>
  <conditionalFormatting sqref="EP19">
    <cfRule type="expression" dxfId="2330" priority="2298" stopIfTrue="1">
      <formula>IF(EQ$8="判定対象外",TRUE,FALSE)</formula>
    </cfRule>
  </conditionalFormatting>
  <conditionalFormatting sqref="EP59">
    <cfRule type="expression" dxfId="2329" priority="2252" stopIfTrue="1">
      <formula>IF(EQ$8="判定対象外",TRUE,FALSE)</formula>
    </cfRule>
  </conditionalFormatting>
  <conditionalFormatting sqref="EH59">
    <cfRule type="expression" dxfId="2328" priority="2262" stopIfTrue="1">
      <formula>IF(EI$8="判定対象外",TRUE,FALSE)</formula>
    </cfRule>
  </conditionalFormatting>
  <conditionalFormatting sqref="EK59">
    <cfRule type="expression" dxfId="2327" priority="2260" stopIfTrue="1">
      <formula>IF(EK59="-",TRUE,FALSE)</formula>
    </cfRule>
    <cfRule type="expression" dxfId="2326" priority="2261" stopIfTrue="1">
      <formula>IF(OR(EK59="OK"),FALSE,TRUE)</formula>
    </cfRule>
  </conditionalFormatting>
  <conditionalFormatting sqref="EJ59">
    <cfRule type="expression" dxfId="2325" priority="2259" stopIfTrue="1">
      <formula>IF(EI$8="判定対象外",TRUE,FALSE)</formula>
    </cfRule>
  </conditionalFormatting>
  <conditionalFormatting sqref="EI59">
    <cfRule type="expression" dxfId="2324" priority="2258" stopIfTrue="1">
      <formula>IF(EI$8="判定対象外",TRUE,FALSE)</formula>
    </cfRule>
  </conditionalFormatting>
  <conditionalFormatting sqref="EP16:EP18">
    <cfRule type="expression" dxfId="2323" priority="2308" stopIfTrue="1">
      <formula>IF(EQ$8="判定対象外",TRUE,FALSE)</formula>
    </cfRule>
  </conditionalFormatting>
  <conditionalFormatting sqref="EK8:EK10">
    <cfRule type="expression" dxfId="2322" priority="2456" stopIfTrue="1">
      <formula>IF(EK8="-",TRUE,FALSE)</formula>
    </cfRule>
    <cfRule type="expression" dxfId="2321" priority="2457" stopIfTrue="1">
      <formula>IF(OR(EK8="OK"),FALSE,TRUE)</formula>
    </cfRule>
  </conditionalFormatting>
  <conditionalFormatting sqref="EH8:EH10">
    <cfRule type="expression" dxfId="2320" priority="2455" stopIfTrue="1">
      <formula>IF(EI$8="判定対象外",TRUE,FALSE)</formula>
    </cfRule>
  </conditionalFormatting>
  <conditionalFormatting sqref="EI8:EI10">
    <cfRule type="expression" dxfId="2319" priority="2454" stopIfTrue="1">
      <formula>IF(EI$8="判定対象外",TRUE,FALSE)</formula>
    </cfRule>
  </conditionalFormatting>
  <conditionalFormatting sqref="EJ8:EJ10">
    <cfRule type="expression" dxfId="2318" priority="2453" stopIfTrue="1">
      <formula>IF(EI$8="判定対象外",TRUE,FALSE)</formula>
    </cfRule>
  </conditionalFormatting>
  <conditionalFormatting sqref="EK11:EK34 EK71:EK81 EK36:EK56">
    <cfRule type="expression" dxfId="2317" priority="2450" stopIfTrue="1">
      <formula>IF(EK11="-",TRUE,FALSE)</formula>
    </cfRule>
    <cfRule type="expression" dxfId="2316" priority="2451" stopIfTrue="1">
      <formula>IF(OR(EK11="OK"),FALSE,TRUE)</formula>
    </cfRule>
  </conditionalFormatting>
  <conditionalFormatting sqref="EJ11:EJ34 EJ71:EJ81 EJ36:EJ56">
    <cfRule type="expression" dxfId="2315" priority="2449" stopIfTrue="1">
      <formula>IF(EI$8="判定対象外",TRUE,FALSE)</formula>
    </cfRule>
  </conditionalFormatting>
  <conditionalFormatting sqref="EH72:EH81 EH21:EH34 EH36:EH46">
    <cfRule type="expression" dxfId="2314" priority="2448" stopIfTrue="1">
      <formula>IF(EI$8="判定対象外",TRUE,FALSE)</formula>
    </cfRule>
  </conditionalFormatting>
  <conditionalFormatting sqref="EH29:EH32">
    <cfRule type="expression" dxfId="2313" priority="2447" stopIfTrue="1">
      <formula>IF(EI$8="判定対象外",TRUE,FALSE)</formula>
    </cfRule>
  </conditionalFormatting>
  <conditionalFormatting sqref="EH42:EH44">
    <cfRule type="expression" dxfId="2312" priority="2446" stopIfTrue="1">
      <formula>IF(EI$8="判定対象外",TRUE,FALSE)</formula>
    </cfRule>
  </conditionalFormatting>
  <conditionalFormatting sqref="EH46">
    <cfRule type="expression" dxfId="2311" priority="2445" stopIfTrue="1">
      <formula>IF(EI$8="判定対象外",TRUE,FALSE)</formula>
    </cfRule>
  </conditionalFormatting>
  <conditionalFormatting sqref="EH42:EH44">
    <cfRule type="expression" dxfId="2310" priority="2444" stopIfTrue="1">
      <formula>IF(EI$8="判定対象外",TRUE,FALSE)</formula>
    </cfRule>
  </conditionalFormatting>
  <conditionalFormatting sqref="EH42:EH44">
    <cfRule type="expression" dxfId="2309" priority="2443" stopIfTrue="1">
      <formula>IF(EI$8="判定対象外",TRUE,FALSE)</formula>
    </cfRule>
  </conditionalFormatting>
  <conditionalFormatting sqref="EH42:EH44">
    <cfRule type="expression" dxfId="2308" priority="2442" stopIfTrue="1">
      <formula>IF(EI$8="判定対象外",TRUE,FALSE)</formula>
    </cfRule>
  </conditionalFormatting>
  <conditionalFormatting sqref="EH42:EH44">
    <cfRule type="expression" dxfId="2307" priority="2441" stopIfTrue="1">
      <formula>IF(EI$8="判定対象外",TRUE,FALSE)</formula>
    </cfRule>
  </conditionalFormatting>
  <conditionalFormatting sqref="EH42:EH44">
    <cfRule type="expression" dxfId="2306" priority="2440" stopIfTrue="1">
      <formula>IF(EI$8="判定対象外",TRUE,FALSE)</formula>
    </cfRule>
  </conditionalFormatting>
  <conditionalFormatting sqref="EH42:EH44">
    <cfRule type="expression" dxfId="2305" priority="2439" stopIfTrue="1">
      <formula>IF(EI$8="判定対象外",TRUE,FALSE)</formula>
    </cfRule>
  </conditionalFormatting>
  <conditionalFormatting sqref="EH42:EH44">
    <cfRule type="expression" dxfId="2304" priority="2438" stopIfTrue="1">
      <formula>IF(EI$8="判定対象外",TRUE,FALSE)</formula>
    </cfRule>
  </conditionalFormatting>
  <conditionalFormatting sqref="EH38">
    <cfRule type="expression" dxfId="2303" priority="2452" stopIfTrue="1">
      <formula>IF(#REF!="判定対象外",TRUE,FALSE)</formula>
    </cfRule>
  </conditionalFormatting>
  <conditionalFormatting sqref="EI11:EI34 EI71:EI81 EI36:EI56">
    <cfRule type="expression" dxfId="2302" priority="2437" stopIfTrue="1">
      <formula>IF(EI$8="判定対象外",TRUE,FALSE)</formula>
    </cfRule>
  </conditionalFormatting>
  <conditionalFormatting sqref="EH48">
    <cfRule type="expression" dxfId="2301" priority="2436" stopIfTrue="1">
      <formula>IF(EI$8="判定対象外",TRUE,FALSE)</formula>
    </cfRule>
  </conditionalFormatting>
  <conditionalFormatting sqref="EH51">
    <cfRule type="expression" dxfId="2300" priority="2435" stopIfTrue="1">
      <formula>IF(EI$8="判定対象外",TRUE,FALSE)</formula>
    </cfRule>
  </conditionalFormatting>
  <conditionalFormatting sqref="EH52 EH55 EH70">
    <cfRule type="expression" dxfId="2299" priority="2434" stopIfTrue="1">
      <formula>IF(EI$8="判定対象外",TRUE,FALSE)</formula>
    </cfRule>
  </conditionalFormatting>
  <conditionalFormatting sqref="EH11:EH20">
    <cfRule type="expression" dxfId="2298" priority="2433" stopIfTrue="1">
      <formula>IF(EI$8="判定対象外",TRUE,FALSE)</formula>
    </cfRule>
  </conditionalFormatting>
  <conditionalFormatting sqref="EH16:EH18">
    <cfRule type="expression" dxfId="2297" priority="2432" stopIfTrue="1">
      <formula>IF(EI$8="判定対象外",TRUE,FALSE)</formula>
    </cfRule>
  </conditionalFormatting>
  <conditionalFormatting sqref="EH20">
    <cfRule type="expression" dxfId="2296" priority="2431" stopIfTrue="1">
      <formula>IF(EI$8="判定対象外",TRUE,FALSE)</formula>
    </cfRule>
  </conditionalFormatting>
  <conditionalFormatting sqref="EH16:EH20">
    <cfRule type="expression" dxfId="2295" priority="2430" stopIfTrue="1">
      <formula>IF(EI$8="判定対象外",TRUE,FALSE)</formula>
    </cfRule>
  </conditionalFormatting>
  <conditionalFormatting sqref="EH11:EH20">
    <cfRule type="expression" dxfId="2294" priority="2429" stopIfTrue="1">
      <formula>IF(EI$8="判定対象外",TRUE,FALSE)</formula>
    </cfRule>
  </conditionalFormatting>
  <conditionalFormatting sqref="EH16:EH18">
    <cfRule type="expression" dxfId="2293" priority="2428" stopIfTrue="1">
      <formula>IF(EI$8="判定対象外",TRUE,FALSE)</formula>
    </cfRule>
  </conditionalFormatting>
  <conditionalFormatting sqref="EH20">
    <cfRule type="expression" dxfId="2292" priority="2427" stopIfTrue="1">
      <formula>IF(EI$8="判定対象外",TRUE,FALSE)</formula>
    </cfRule>
  </conditionalFormatting>
  <conditionalFormatting sqref="EH16:EH20">
    <cfRule type="expression" dxfId="2291" priority="2426" stopIfTrue="1">
      <formula>IF(EI$8="判定対象外",TRUE,FALSE)</formula>
    </cfRule>
  </conditionalFormatting>
  <conditionalFormatting sqref="EH11:EH20">
    <cfRule type="expression" dxfId="2290" priority="2425" stopIfTrue="1">
      <formula>IF(EI$8="判定対象外",TRUE,FALSE)</formula>
    </cfRule>
  </conditionalFormatting>
  <conditionalFormatting sqref="EH16:EH18">
    <cfRule type="expression" dxfId="2289" priority="2424" stopIfTrue="1">
      <formula>IF(EI$8="判定対象外",TRUE,FALSE)</formula>
    </cfRule>
  </conditionalFormatting>
  <conditionalFormatting sqref="EH20">
    <cfRule type="expression" dxfId="2288" priority="2423" stopIfTrue="1">
      <formula>IF(EI$8="判定対象外",TRUE,FALSE)</formula>
    </cfRule>
  </conditionalFormatting>
  <conditionalFormatting sqref="EH16:EH20">
    <cfRule type="expression" dxfId="2287" priority="2422" stopIfTrue="1">
      <formula>IF(EI$8="判定対象外",TRUE,FALSE)</formula>
    </cfRule>
  </conditionalFormatting>
  <conditionalFormatting sqref="EH11:EH13">
    <cfRule type="expression" dxfId="2286" priority="2421" stopIfTrue="1">
      <formula>IF(EI$8="判定対象外",TRUE,FALSE)</formula>
    </cfRule>
  </conditionalFormatting>
  <conditionalFormatting sqref="EH15">
    <cfRule type="expression" dxfId="2285" priority="2420" stopIfTrue="1">
      <formula>IF(EI$8="判定対象外",TRUE,FALSE)</formula>
    </cfRule>
  </conditionalFormatting>
  <conditionalFormatting sqref="EH19">
    <cfRule type="expression" dxfId="2284" priority="2419" stopIfTrue="1">
      <formula>IF(EI$8="判定対象外",TRUE,FALSE)</formula>
    </cfRule>
  </conditionalFormatting>
  <conditionalFormatting sqref="EH19">
    <cfRule type="expression" dxfId="2283" priority="2418" stopIfTrue="1">
      <formula>IF(EI$8="判定対象外",TRUE,FALSE)</formula>
    </cfRule>
  </conditionalFormatting>
  <conditionalFormatting sqref="EH20">
    <cfRule type="expression" dxfId="2282" priority="2417" stopIfTrue="1">
      <formula>IF(EI$8="判定対象外",TRUE,FALSE)</formula>
    </cfRule>
  </conditionalFormatting>
  <conditionalFormatting sqref="EH20">
    <cfRule type="expression" dxfId="2281" priority="2416" stopIfTrue="1">
      <formula>IF(EI$8="判定対象外",TRUE,FALSE)</formula>
    </cfRule>
  </conditionalFormatting>
  <conditionalFormatting sqref="EH20">
    <cfRule type="expression" dxfId="2280" priority="2415" stopIfTrue="1">
      <formula>IF(EI$8="判定対象外",TRUE,FALSE)</formula>
    </cfRule>
  </conditionalFormatting>
  <conditionalFormatting sqref="EH13">
    <cfRule type="expression" dxfId="2279" priority="2414" stopIfTrue="1">
      <formula>IF(EI$8="判定対象外",TRUE,FALSE)</formula>
    </cfRule>
  </conditionalFormatting>
  <conditionalFormatting sqref="EH47">
    <cfRule type="expression" dxfId="2278" priority="2413" stopIfTrue="1">
      <formula>IF(EI$8="判定対象外",TRUE,FALSE)</formula>
    </cfRule>
  </conditionalFormatting>
  <conditionalFormatting sqref="EH47">
    <cfRule type="expression" dxfId="2277" priority="2412" stopIfTrue="1">
      <formula>IF(EI$8="判定対象外",TRUE,FALSE)</formula>
    </cfRule>
  </conditionalFormatting>
  <conditionalFormatting sqref="EH49">
    <cfRule type="expression" dxfId="2276" priority="2411" stopIfTrue="1">
      <formula>IF(EI$8="判定対象外",TRUE,FALSE)</formula>
    </cfRule>
  </conditionalFormatting>
  <conditionalFormatting sqref="EH49">
    <cfRule type="expression" dxfId="2275" priority="2410" stopIfTrue="1">
      <formula>IF(EI$8="判定対象外",TRUE,FALSE)</formula>
    </cfRule>
  </conditionalFormatting>
  <conditionalFormatting sqref="EH50">
    <cfRule type="expression" dxfId="2274" priority="2409" stopIfTrue="1">
      <formula>IF(EI$8="判定対象外",TRUE,FALSE)</formula>
    </cfRule>
  </conditionalFormatting>
  <conditionalFormatting sqref="EH50">
    <cfRule type="expression" dxfId="2273" priority="2408" stopIfTrue="1">
      <formula>IF(EI$8="判定対象外",TRUE,FALSE)</formula>
    </cfRule>
  </conditionalFormatting>
  <conditionalFormatting sqref="EH53 EH56 EH68 EH71">
    <cfRule type="expression" dxfId="2272" priority="2407" stopIfTrue="1">
      <formula>IF(EI$8="判定対象外",TRUE,FALSE)</formula>
    </cfRule>
  </conditionalFormatting>
  <conditionalFormatting sqref="EH54 EH57 EH69">
    <cfRule type="expression" dxfId="2271" priority="2406" stopIfTrue="1">
      <formula>IF(EI$8="判定対象外",TRUE,FALSE)</formula>
    </cfRule>
  </conditionalFormatting>
  <conditionalFormatting sqref="EK57">
    <cfRule type="expression" dxfId="2270" priority="2404" stopIfTrue="1">
      <formula>IF(EK57="-",TRUE,FALSE)</formula>
    </cfRule>
    <cfRule type="expression" dxfId="2269" priority="2405" stopIfTrue="1">
      <formula>IF(OR(EK57="OK"),FALSE,TRUE)</formula>
    </cfRule>
  </conditionalFormatting>
  <conditionalFormatting sqref="EJ57">
    <cfRule type="expression" dxfId="2268" priority="2403" stopIfTrue="1">
      <formula>IF(EI$8="判定対象外",TRUE,FALSE)</formula>
    </cfRule>
  </conditionalFormatting>
  <conditionalFormatting sqref="EI57">
    <cfRule type="expression" dxfId="2267" priority="2402" stopIfTrue="1">
      <formula>IF(EI$8="判定対象外",TRUE,FALSE)</formula>
    </cfRule>
  </conditionalFormatting>
  <conditionalFormatting sqref="EK68:EK70">
    <cfRule type="expression" dxfId="2266" priority="2400" stopIfTrue="1">
      <formula>IF(EK68="-",TRUE,FALSE)</formula>
    </cfRule>
    <cfRule type="expression" dxfId="2265" priority="2401" stopIfTrue="1">
      <formula>IF(OR(EK68="OK"),FALSE,TRUE)</formula>
    </cfRule>
  </conditionalFormatting>
  <conditionalFormatting sqref="EJ68:EJ70">
    <cfRule type="expression" dxfId="2264" priority="2399" stopIfTrue="1">
      <formula>IF(EI$8="判定対象外",TRUE,FALSE)</formula>
    </cfRule>
  </conditionalFormatting>
  <conditionalFormatting sqref="EI68:EI70">
    <cfRule type="expression" dxfId="2263" priority="2398" stopIfTrue="1">
      <formula>IF(EI$8="判定対象外",TRUE,FALSE)</formula>
    </cfRule>
  </conditionalFormatting>
  <conditionalFormatting sqref="EO8:EO10">
    <cfRule type="expression" dxfId="2262" priority="2396" stopIfTrue="1">
      <formula>IF(EO8="-",TRUE,FALSE)</formula>
    </cfRule>
    <cfRule type="expression" dxfId="2261" priority="2397" stopIfTrue="1">
      <formula>IF(OR(EO8="OK"),FALSE,TRUE)</formula>
    </cfRule>
  </conditionalFormatting>
  <conditionalFormatting sqref="EL8:EL10">
    <cfRule type="expression" dxfId="2260" priority="2395" stopIfTrue="1">
      <formula>IF(EM$8="判定対象外",TRUE,FALSE)</formula>
    </cfRule>
  </conditionalFormatting>
  <conditionalFormatting sqref="EM8:EM10">
    <cfRule type="expression" dxfId="2259" priority="2394" stopIfTrue="1">
      <formula>IF(EM$8="判定対象外",TRUE,FALSE)</formula>
    </cfRule>
  </conditionalFormatting>
  <conditionalFormatting sqref="EN8:EN10">
    <cfRule type="expression" dxfId="2258" priority="2393" stopIfTrue="1">
      <formula>IF(EM$8="判定対象外",TRUE,FALSE)</formula>
    </cfRule>
  </conditionalFormatting>
  <conditionalFormatting sqref="EO11:EO34 EO71:EO81 EO36:EO56">
    <cfRule type="expression" dxfId="2257" priority="2390" stopIfTrue="1">
      <formula>IF(EO11="-",TRUE,FALSE)</formula>
    </cfRule>
    <cfRule type="expression" dxfId="2256" priority="2391" stopIfTrue="1">
      <formula>IF(OR(EO11="OK"),FALSE,TRUE)</formula>
    </cfRule>
  </conditionalFormatting>
  <conditionalFormatting sqref="EN11:EN34 EN71:EN81 EN36:EN56">
    <cfRule type="expression" dxfId="2255" priority="2389" stopIfTrue="1">
      <formula>IF(EM$8="判定対象外",TRUE,FALSE)</formula>
    </cfRule>
  </conditionalFormatting>
  <conditionalFormatting sqref="EL72:EL81 EL21:EL34 EL36:EL46">
    <cfRule type="expression" dxfId="2254" priority="2388" stopIfTrue="1">
      <formula>IF(EM$8="判定対象外",TRUE,FALSE)</formula>
    </cfRule>
  </conditionalFormatting>
  <conditionalFormatting sqref="EL29:EL32">
    <cfRule type="expression" dxfId="2253" priority="2387" stopIfTrue="1">
      <formula>IF(EM$8="判定対象外",TRUE,FALSE)</formula>
    </cfRule>
  </conditionalFormatting>
  <conditionalFormatting sqref="EL42:EL44">
    <cfRule type="expression" dxfId="2252" priority="2386" stopIfTrue="1">
      <formula>IF(EM$8="判定対象外",TRUE,FALSE)</formula>
    </cfRule>
  </conditionalFormatting>
  <conditionalFormatting sqref="EL46">
    <cfRule type="expression" dxfId="2251" priority="2385" stopIfTrue="1">
      <formula>IF(EM$8="判定対象外",TRUE,FALSE)</formula>
    </cfRule>
  </conditionalFormatting>
  <conditionalFormatting sqref="EL42:EL44">
    <cfRule type="expression" dxfId="2250" priority="2384" stopIfTrue="1">
      <formula>IF(EM$8="判定対象外",TRUE,FALSE)</formula>
    </cfRule>
  </conditionalFormatting>
  <conditionalFormatting sqref="EL42:EL44">
    <cfRule type="expression" dxfId="2249" priority="2383" stopIfTrue="1">
      <formula>IF(EM$8="判定対象外",TRUE,FALSE)</formula>
    </cfRule>
  </conditionalFormatting>
  <conditionalFormatting sqref="EL42:EL44">
    <cfRule type="expression" dxfId="2248" priority="2382" stopIfTrue="1">
      <formula>IF(EM$8="判定対象外",TRUE,FALSE)</formula>
    </cfRule>
  </conditionalFormatting>
  <conditionalFormatting sqref="EL42:EL44">
    <cfRule type="expression" dxfId="2247" priority="2381" stopIfTrue="1">
      <formula>IF(EM$8="判定対象外",TRUE,FALSE)</formula>
    </cfRule>
  </conditionalFormatting>
  <conditionalFormatting sqref="EL42:EL44">
    <cfRule type="expression" dxfId="2246" priority="2380" stopIfTrue="1">
      <formula>IF(EM$8="判定対象外",TRUE,FALSE)</formula>
    </cfRule>
  </conditionalFormatting>
  <conditionalFormatting sqref="EL42:EL44">
    <cfRule type="expression" dxfId="2245" priority="2379" stopIfTrue="1">
      <formula>IF(EM$8="判定対象外",TRUE,FALSE)</formula>
    </cfRule>
  </conditionalFormatting>
  <conditionalFormatting sqref="EL42:EL44">
    <cfRule type="expression" dxfId="2244" priority="2378" stopIfTrue="1">
      <formula>IF(EM$8="判定対象外",TRUE,FALSE)</formula>
    </cfRule>
  </conditionalFormatting>
  <conditionalFormatting sqref="EL38">
    <cfRule type="expression" dxfId="2243" priority="2392" stopIfTrue="1">
      <formula>IF(#REF!="判定対象外",TRUE,FALSE)</formula>
    </cfRule>
  </conditionalFormatting>
  <conditionalFormatting sqref="EM11:EM34 EM71:EM81 EM36:EM56">
    <cfRule type="expression" dxfId="2242" priority="2377" stopIfTrue="1">
      <formula>IF(EM$8="判定対象外",TRUE,FALSE)</formula>
    </cfRule>
  </conditionalFormatting>
  <conditionalFormatting sqref="EL48">
    <cfRule type="expression" dxfId="2241" priority="2376" stopIfTrue="1">
      <formula>IF(EM$8="判定対象外",TRUE,FALSE)</formula>
    </cfRule>
  </conditionalFormatting>
  <conditionalFormatting sqref="EL51">
    <cfRule type="expression" dxfId="2240" priority="2375" stopIfTrue="1">
      <formula>IF(EM$8="判定対象外",TRUE,FALSE)</formula>
    </cfRule>
  </conditionalFormatting>
  <conditionalFormatting sqref="EL52 EL55 EL70">
    <cfRule type="expression" dxfId="2239" priority="2374" stopIfTrue="1">
      <formula>IF(EM$8="判定対象外",TRUE,FALSE)</formula>
    </cfRule>
  </conditionalFormatting>
  <conditionalFormatting sqref="EL11:EL20">
    <cfRule type="expression" dxfId="2238" priority="2373" stopIfTrue="1">
      <formula>IF(EM$8="判定対象外",TRUE,FALSE)</formula>
    </cfRule>
  </conditionalFormatting>
  <conditionalFormatting sqref="EL16:EL18">
    <cfRule type="expression" dxfId="2237" priority="2372" stopIfTrue="1">
      <formula>IF(EM$8="判定対象外",TRUE,FALSE)</formula>
    </cfRule>
  </conditionalFormatting>
  <conditionalFormatting sqref="EL20">
    <cfRule type="expression" dxfId="2236" priority="2371" stopIfTrue="1">
      <formula>IF(EM$8="判定対象外",TRUE,FALSE)</formula>
    </cfRule>
  </conditionalFormatting>
  <conditionalFormatting sqref="EL16:EL20">
    <cfRule type="expression" dxfId="2235" priority="2370" stopIfTrue="1">
      <formula>IF(EM$8="判定対象外",TRUE,FALSE)</formula>
    </cfRule>
  </conditionalFormatting>
  <conditionalFormatting sqref="EL11:EL20">
    <cfRule type="expression" dxfId="2234" priority="2369" stopIfTrue="1">
      <formula>IF(EM$8="判定対象外",TRUE,FALSE)</formula>
    </cfRule>
  </conditionalFormatting>
  <conditionalFormatting sqref="EL16:EL18">
    <cfRule type="expression" dxfId="2233" priority="2368" stopIfTrue="1">
      <formula>IF(EM$8="判定対象外",TRUE,FALSE)</formula>
    </cfRule>
  </conditionalFormatting>
  <conditionalFormatting sqref="EL20">
    <cfRule type="expression" dxfId="2232" priority="2367" stopIfTrue="1">
      <formula>IF(EM$8="判定対象外",TRUE,FALSE)</formula>
    </cfRule>
  </conditionalFormatting>
  <conditionalFormatting sqref="EL16:EL20">
    <cfRule type="expression" dxfId="2231" priority="2366" stopIfTrue="1">
      <formula>IF(EM$8="判定対象外",TRUE,FALSE)</formula>
    </cfRule>
  </conditionalFormatting>
  <conditionalFormatting sqref="EL11:EL20">
    <cfRule type="expression" dxfId="2230" priority="2365" stopIfTrue="1">
      <formula>IF(EM$8="判定対象外",TRUE,FALSE)</formula>
    </cfRule>
  </conditionalFormatting>
  <conditionalFormatting sqref="EL16:EL18">
    <cfRule type="expression" dxfId="2229" priority="2364" stopIfTrue="1">
      <formula>IF(EM$8="判定対象外",TRUE,FALSE)</formula>
    </cfRule>
  </conditionalFormatting>
  <conditionalFormatting sqref="EL20">
    <cfRule type="expression" dxfId="2228" priority="2363" stopIfTrue="1">
      <formula>IF(EM$8="判定対象外",TRUE,FALSE)</formula>
    </cfRule>
  </conditionalFormatting>
  <conditionalFormatting sqref="EL16:EL20">
    <cfRule type="expression" dxfId="2227" priority="2362" stopIfTrue="1">
      <formula>IF(EM$8="判定対象外",TRUE,FALSE)</formula>
    </cfRule>
  </conditionalFormatting>
  <conditionalFormatting sqref="EL11:EL13">
    <cfRule type="expression" dxfId="2226" priority="2361" stopIfTrue="1">
      <formula>IF(EM$8="判定対象外",TRUE,FALSE)</formula>
    </cfRule>
  </conditionalFormatting>
  <conditionalFormatting sqref="EL15">
    <cfRule type="expression" dxfId="2225" priority="2360" stopIfTrue="1">
      <formula>IF(EM$8="判定対象外",TRUE,FALSE)</formula>
    </cfRule>
  </conditionalFormatting>
  <conditionalFormatting sqref="EL19">
    <cfRule type="expression" dxfId="2224" priority="2359" stopIfTrue="1">
      <formula>IF(EM$8="判定対象外",TRUE,FALSE)</formula>
    </cfRule>
  </conditionalFormatting>
  <conditionalFormatting sqref="EL19">
    <cfRule type="expression" dxfId="2223" priority="2358" stopIfTrue="1">
      <formula>IF(EM$8="判定対象外",TRUE,FALSE)</formula>
    </cfRule>
  </conditionalFormatting>
  <conditionalFormatting sqref="EL20">
    <cfRule type="expression" dxfId="2222" priority="2357" stopIfTrue="1">
      <formula>IF(EM$8="判定対象外",TRUE,FALSE)</formula>
    </cfRule>
  </conditionalFormatting>
  <conditionalFormatting sqref="EL20">
    <cfRule type="expression" dxfId="2221" priority="2356" stopIfTrue="1">
      <formula>IF(EM$8="判定対象外",TRUE,FALSE)</formula>
    </cfRule>
  </conditionalFormatting>
  <conditionalFormatting sqref="EL20">
    <cfRule type="expression" dxfId="2220" priority="2355" stopIfTrue="1">
      <formula>IF(EM$8="判定対象外",TRUE,FALSE)</formula>
    </cfRule>
  </conditionalFormatting>
  <conditionalFormatting sqref="EL13">
    <cfRule type="expression" dxfId="2219" priority="2354" stopIfTrue="1">
      <formula>IF(EM$8="判定対象外",TRUE,FALSE)</formula>
    </cfRule>
  </conditionalFormatting>
  <conditionalFormatting sqref="EL47">
    <cfRule type="expression" dxfId="2218" priority="2353" stopIfTrue="1">
      <formula>IF(EM$8="判定対象外",TRUE,FALSE)</formula>
    </cfRule>
  </conditionalFormatting>
  <conditionalFormatting sqref="EL47">
    <cfRule type="expression" dxfId="2217" priority="2352" stopIfTrue="1">
      <formula>IF(EM$8="判定対象外",TRUE,FALSE)</formula>
    </cfRule>
  </conditionalFormatting>
  <conditionalFormatting sqref="EL49">
    <cfRule type="expression" dxfId="2216" priority="2351" stopIfTrue="1">
      <formula>IF(EM$8="判定対象外",TRUE,FALSE)</formula>
    </cfRule>
  </conditionalFormatting>
  <conditionalFormatting sqref="EL49">
    <cfRule type="expression" dxfId="2215" priority="2350" stopIfTrue="1">
      <formula>IF(EM$8="判定対象外",TRUE,FALSE)</formula>
    </cfRule>
  </conditionalFormatting>
  <conditionalFormatting sqref="EL50">
    <cfRule type="expression" dxfId="2214" priority="2349" stopIfTrue="1">
      <formula>IF(EM$8="判定対象外",TRUE,FALSE)</formula>
    </cfRule>
  </conditionalFormatting>
  <conditionalFormatting sqref="EL50">
    <cfRule type="expression" dxfId="2213" priority="2348" stopIfTrue="1">
      <formula>IF(EM$8="判定対象外",TRUE,FALSE)</formula>
    </cfRule>
  </conditionalFormatting>
  <conditionalFormatting sqref="EL53 EL56 EL68 EL71">
    <cfRule type="expression" dxfId="2212" priority="2347" stopIfTrue="1">
      <formula>IF(EM$8="判定対象外",TRUE,FALSE)</formula>
    </cfRule>
  </conditionalFormatting>
  <conditionalFormatting sqref="EL54 EL57 EL69">
    <cfRule type="expression" dxfId="2211" priority="2346" stopIfTrue="1">
      <formula>IF(EM$8="判定対象外",TRUE,FALSE)</formula>
    </cfRule>
  </conditionalFormatting>
  <conditionalFormatting sqref="EO57">
    <cfRule type="expression" dxfId="2210" priority="2344" stopIfTrue="1">
      <formula>IF(EO57="-",TRUE,FALSE)</formula>
    </cfRule>
    <cfRule type="expression" dxfId="2209" priority="2345" stopIfTrue="1">
      <formula>IF(OR(EO57="OK"),FALSE,TRUE)</formula>
    </cfRule>
  </conditionalFormatting>
  <conditionalFormatting sqref="EN57">
    <cfRule type="expression" dxfId="2208" priority="2343" stopIfTrue="1">
      <formula>IF(EM$8="判定対象外",TRUE,FALSE)</formula>
    </cfRule>
  </conditionalFormatting>
  <conditionalFormatting sqref="EM57">
    <cfRule type="expression" dxfId="2207" priority="2342" stopIfTrue="1">
      <formula>IF(EM$8="判定対象外",TRUE,FALSE)</formula>
    </cfRule>
  </conditionalFormatting>
  <conditionalFormatting sqref="EO68:EO70">
    <cfRule type="expression" dxfId="2206" priority="2340" stopIfTrue="1">
      <formula>IF(EO68="-",TRUE,FALSE)</formula>
    </cfRule>
    <cfRule type="expression" dxfId="2205" priority="2341" stopIfTrue="1">
      <formula>IF(OR(EO68="OK"),FALSE,TRUE)</formula>
    </cfRule>
  </conditionalFormatting>
  <conditionalFormatting sqref="EN68:EN70">
    <cfRule type="expression" dxfId="2204" priority="2339" stopIfTrue="1">
      <formula>IF(EM$8="判定対象外",TRUE,FALSE)</formula>
    </cfRule>
  </conditionalFormatting>
  <conditionalFormatting sqref="EM68:EM70">
    <cfRule type="expression" dxfId="2203" priority="2338" stopIfTrue="1">
      <formula>IF(EM$8="判定対象外",TRUE,FALSE)</formula>
    </cfRule>
  </conditionalFormatting>
  <conditionalFormatting sqref="EP29:EP32">
    <cfRule type="expression" dxfId="2202" priority="2327" stopIfTrue="1">
      <formula>IF(EQ$8="判定対象外",TRUE,FALSE)</formula>
    </cfRule>
  </conditionalFormatting>
  <conditionalFormatting sqref="ES8:ES10">
    <cfRule type="expression" dxfId="2201" priority="2336" stopIfTrue="1">
      <formula>IF(ES8="-",TRUE,FALSE)</formula>
    </cfRule>
    <cfRule type="expression" dxfId="2200" priority="2337" stopIfTrue="1">
      <formula>IF(OR(ES8="OK"),FALSE,TRUE)</formula>
    </cfRule>
  </conditionalFormatting>
  <conditionalFormatting sqref="EP8:EP10">
    <cfRule type="expression" dxfId="2199" priority="2335" stopIfTrue="1">
      <formula>IF(EQ$8="判定対象外",TRUE,FALSE)</formula>
    </cfRule>
  </conditionalFormatting>
  <conditionalFormatting sqref="EQ8:EQ10">
    <cfRule type="expression" dxfId="2198" priority="2334" stopIfTrue="1">
      <formula>IF(EQ$8="判定対象外",TRUE,FALSE)</formula>
    </cfRule>
  </conditionalFormatting>
  <conditionalFormatting sqref="ER8:ER10">
    <cfRule type="expression" dxfId="2197" priority="2333" stopIfTrue="1">
      <formula>IF(EQ$8="判定対象外",TRUE,FALSE)</formula>
    </cfRule>
  </conditionalFormatting>
  <conditionalFormatting sqref="ES11:ES34 ES71:ES81 ES36:ES56">
    <cfRule type="expression" dxfId="2196" priority="2330" stopIfTrue="1">
      <formula>IF(ES11="-",TRUE,FALSE)</formula>
    </cfRule>
    <cfRule type="expression" dxfId="2195" priority="2331" stopIfTrue="1">
      <formula>IF(OR(ES11="OK"),FALSE,TRUE)</formula>
    </cfRule>
  </conditionalFormatting>
  <conditionalFormatting sqref="ER11:ER34 ER71:ER81 ER36:ER56">
    <cfRule type="expression" dxfId="2194" priority="2329" stopIfTrue="1">
      <formula>IF(EQ$8="判定対象外",TRUE,FALSE)</formula>
    </cfRule>
  </conditionalFormatting>
  <conditionalFormatting sqref="EP72:EP81 EP21:EP34 EP36:EP46">
    <cfRule type="expression" dxfId="2193" priority="2328" stopIfTrue="1">
      <formula>IF(EQ$8="判定対象外",TRUE,FALSE)</formula>
    </cfRule>
  </conditionalFormatting>
  <conditionalFormatting sqref="EP42:EP44">
    <cfRule type="expression" dxfId="2192" priority="2326" stopIfTrue="1">
      <formula>IF(EQ$8="判定対象外",TRUE,FALSE)</formula>
    </cfRule>
  </conditionalFormatting>
  <conditionalFormatting sqref="EP46">
    <cfRule type="expression" dxfId="2191" priority="2325" stopIfTrue="1">
      <formula>IF(EQ$8="判定対象外",TRUE,FALSE)</formula>
    </cfRule>
  </conditionalFormatting>
  <conditionalFormatting sqref="EP42:EP44">
    <cfRule type="expression" dxfId="2190" priority="2324" stopIfTrue="1">
      <formula>IF(EQ$8="判定対象外",TRUE,FALSE)</formula>
    </cfRule>
  </conditionalFormatting>
  <conditionalFormatting sqref="EP42:EP44">
    <cfRule type="expression" dxfId="2189" priority="2323" stopIfTrue="1">
      <formula>IF(EQ$8="判定対象外",TRUE,FALSE)</formula>
    </cfRule>
  </conditionalFormatting>
  <conditionalFormatting sqref="EP42:EP44">
    <cfRule type="expression" dxfId="2188" priority="2322" stopIfTrue="1">
      <formula>IF(EQ$8="判定対象外",TRUE,FALSE)</formula>
    </cfRule>
  </conditionalFormatting>
  <conditionalFormatting sqref="EP42:EP44">
    <cfRule type="expression" dxfId="2187" priority="2321" stopIfTrue="1">
      <formula>IF(EQ$8="判定対象外",TRUE,FALSE)</formula>
    </cfRule>
  </conditionalFormatting>
  <conditionalFormatting sqref="EP42:EP44">
    <cfRule type="expression" dxfId="2186" priority="2320" stopIfTrue="1">
      <formula>IF(EQ$8="判定対象外",TRUE,FALSE)</formula>
    </cfRule>
  </conditionalFormatting>
  <conditionalFormatting sqref="EP42:EP44">
    <cfRule type="expression" dxfId="2185" priority="2319" stopIfTrue="1">
      <formula>IF(EQ$8="判定対象外",TRUE,FALSE)</formula>
    </cfRule>
  </conditionalFormatting>
  <conditionalFormatting sqref="EP42:EP44">
    <cfRule type="expression" dxfId="2184" priority="2318" stopIfTrue="1">
      <formula>IF(EQ$8="判定対象外",TRUE,FALSE)</formula>
    </cfRule>
  </conditionalFormatting>
  <conditionalFormatting sqref="EP38">
    <cfRule type="expression" dxfId="2183" priority="2332" stopIfTrue="1">
      <formula>IF(#REF!="判定対象外",TRUE,FALSE)</formula>
    </cfRule>
  </conditionalFormatting>
  <conditionalFormatting sqref="EQ11:EQ34 EQ71:EQ81 EQ36:EQ56">
    <cfRule type="expression" dxfId="2182" priority="2317" stopIfTrue="1">
      <formula>IF(EQ$8="判定対象外",TRUE,FALSE)</formula>
    </cfRule>
  </conditionalFormatting>
  <conditionalFormatting sqref="EP48">
    <cfRule type="expression" dxfId="2181" priority="2316" stopIfTrue="1">
      <formula>IF(EQ$8="判定対象外",TRUE,FALSE)</formula>
    </cfRule>
  </conditionalFormatting>
  <conditionalFormatting sqref="EP51">
    <cfRule type="expression" dxfId="2180" priority="2315" stopIfTrue="1">
      <formula>IF(EQ$8="判定対象外",TRUE,FALSE)</formula>
    </cfRule>
  </conditionalFormatting>
  <conditionalFormatting sqref="EP52 EP55 EP70">
    <cfRule type="expression" dxfId="2179" priority="2314" stopIfTrue="1">
      <formula>IF(EQ$8="判定対象外",TRUE,FALSE)</formula>
    </cfRule>
  </conditionalFormatting>
  <conditionalFormatting sqref="EP11:EP20">
    <cfRule type="expression" dxfId="2178" priority="2313" stopIfTrue="1">
      <formula>IF(EQ$8="判定対象外",TRUE,FALSE)</formula>
    </cfRule>
  </conditionalFormatting>
  <conditionalFormatting sqref="EP16:EP18">
    <cfRule type="expression" dxfId="2177" priority="2312" stopIfTrue="1">
      <formula>IF(EQ$8="判定対象外",TRUE,FALSE)</formula>
    </cfRule>
  </conditionalFormatting>
  <conditionalFormatting sqref="EP20">
    <cfRule type="expression" dxfId="2176" priority="2311" stopIfTrue="1">
      <formula>IF(EQ$8="判定対象外",TRUE,FALSE)</formula>
    </cfRule>
  </conditionalFormatting>
  <conditionalFormatting sqref="EP16:EP20">
    <cfRule type="expression" dxfId="2175" priority="2310" stopIfTrue="1">
      <formula>IF(EQ$8="判定対象外",TRUE,FALSE)</formula>
    </cfRule>
  </conditionalFormatting>
  <conditionalFormatting sqref="EP11:EP20">
    <cfRule type="expression" dxfId="2174" priority="2309" stopIfTrue="1">
      <formula>IF(EQ$8="判定対象外",TRUE,FALSE)</formula>
    </cfRule>
  </conditionalFormatting>
  <conditionalFormatting sqref="EP20">
    <cfRule type="expression" dxfId="2173" priority="2307" stopIfTrue="1">
      <formula>IF(EQ$8="判定対象外",TRUE,FALSE)</formula>
    </cfRule>
  </conditionalFormatting>
  <conditionalFormatting sqref="EP16:EP20">
    <cfRule type="expression" dxfId="2172" priority="2306" stopIfTrue="1">
      <formula>IF(EQ$8="判定対象外",TRUE,FALSE)</formula>
    </cfRule>
  </conditionalFormatting>
  <conditionalFormatting sqref="EP11:EP20">
    <cfRule type="expression" dxfId="2171" priority="2305" stopIfTrue="1">
      <formula>IF(EQ$8="判定対象外",TRUE,FALSE)</formula>
    </cfRule>
  </conditionalFormatting>
  <conditionalFormatting sqref="EP16:EP18">
    <cfRule type="expression" dxfId="2170" priority="2304" stopIfTrue="1">
      <formula>IF(EQ$8="判定対象外",TRUE,FALSE)</formula>
    </cfRule>
  </conditionalFormatting>
  <conditionalFormatting sqref="EP20">
    <cfRule type="expression" dxfId="2169" priority="2303" stopIfTrue="1">
      <formula>IF(EQ$8="判定対象外",TRUE,FALSE)</formula>
    </cfRule>
  </conditionalFormatting>
  <conditionalFormatting sqref="EP16:EP20">
    <cfRule type="expression" dxfId="2168" priority="2302" stopIfTrue="1">
      <formula>IF(EQ$8="判定対象外",TRUE,FALSE)</formula>
    </cfRule>
  </conditionalFormatting>
  <conditionalFormatting sqref="EP11:EP13">
    <cfRule type="expression" dxfId="2167" priority="2301" stopIfTrue="1">
      <formula>IF(EQ$8="判定対象外",TRUE,FALSE)</formula>
    </cfRule>
  </conditionalFormatting>
  <conditionalFormatting sqref="EP15">
    <cfRule type="expression" dxfId="2166" priority="2300" stopIfTrue="1">
      <formula>IF(EQ$8="判定対象外",TRUE,FALSE)</formula>
    </cfRule>
  </conditionalFormatting>
  <conditionalFormatting sqref="EP19">
    <cfRule type="expression" dxfId="2165" priority="2299" stopIfTrue="1">
      <formula>IF(EQ$8="判定対象外",TRUE,FALSE)</formula>
    </cfRule>
  </conditionalFormatting>
  <conditionalFormatting sqref="EP20">
    <cfRule type="expression" dxfId="2164" priority="2297" stopIfTrue="1">
      <formula>IF(EQ$8="判定対象外",TRUE,FALSE)</formula>
    </cfRule>
  </conditionalFormatting>
  <conditionalFormatting sqref="EP20">
    <cfRule type="expression" dxfId="2163" priority="2296" stopIfTrue="1">
      <formula>IF(EQ$8="判定対象外",TRUE,FALSE)</formula>
    </cfRule>
  </conditionalFormatting>
  <conditionalFormatting sqref="EP20">
    <cfRule type="expression" dxfId="2162" priority="2295" stopIfTrue="1">
      <formula>IF(EQ$8="判定対象外",TRUE,FALSE)</formula>
    </cfRule>
  </conditionalFormatting>
  <conditionalFormatting sqref="EP13">
    <cfRule type="expression" dxfId="2161" priority="2294" stopIfTrue="1">
      <formula>IF(EQ$8="判定対象外",TRUE,FALSE)</formula>
    </cfRule>
  </conditionalFormatting>
  <conditionalFormatting sqref="EP47">
    <cfRule type="expression" dxfId="2160" priority="2293" stopIfTrue="1">
      <formula>IF(EQ$8="判定対象外",TRUE,FALSE)</formula>
    </cfRule>
  </conditionalFormatting>
  <conditionalFormatting sqref="EP47">
    <cfRule type="expression" dxfId="2159" priority="2292" stopIfTrue="1">
      <formula>IF(EQ$8="判定対象外",TRUE,FALSE)</formula>
    </cfRule>
  </conditionalFormatting>
  <conditionalFormatting sqref="EP49">
    <cfRule type="expression" dxfId="2158" priority="2291" stopIfTrue="1">
      <formula>IF(EQ$8="判定対象外",TRUE,FALSE)</formula>
    </cfRule>
  </conditionalFormatting>
  <conditionalFormatting sqref="EP49">
    <cfRule type="expression" dxfId="2157" priority="2290" stopIfTrue="1">
      <formula>IF(EQ$8="判定対象外",TRUE,FALSE)</formula>
    </cfRule>
  </conditionalFormatting>
  <conditionalFormatting sqref="EP50">
    <cfRule type="expression" dxfId="2156" priority="2289" stopIfTrue="1">
      <formula>IF(EQ$8="判定対象外",TRUE,FALSE)</formula>
    </cfRule>
  </conditionalFormatting>
  <conditionalFormatting sqref="EP50">
    <cfRule type="expression" dxfId="2155" priority="2288" stopIfTrue="1">
      <formula>IF(EQ$8="判定対象外",TRUE,FALSE)</formula>
    </cfRule>
  </conditionalFormatting>
  <conditionalFormatting sqref="EP54 EP57 EP69">
    <cfRule type="expression" dxfId="2154" priority="2286" stopIfTrue="1">
      <formula>IF(EQ$8="判定対象外",TRUE,FALSE)</formula>
    </cfRule>
  </conditionalFormatting>
  <conditionalFormatting sqref="ES57">
    <cfRule type="expression" dxfId="2153" priority="2284" stopIfTrue="1">
      <formula>IF(ES57="-",TRUE,FALSE)</formula>
    </cfRule>
    <cfRule type="expression" dxfId="2152" priority="2285" stopIfTrue="1">
      <formula>IF(OR(ES57="OK"),FALSE,TRUE)</formula>
    </cfRule>
  </conditionalFormatting>
  <conditionalFormatting sqref="ER57">
    <cfRule type="expression" dxfId="2151" priority="2283" stopIfTrue="1">
      <formula>IF(EQ$8="判定対象外",TRUE,FALSE)</formula>
    </cfRule>
  </conditionalFormatting>
  <conditionalFormatting sqref="EQ57">
    <cfRule type="expression" dxfId="2150" priority="2282" stopIfTrue="1">
      <formula>IF(EQ$8="判定対象外",TRUE,FALSE)</formula>
    </cfRule>
  </conditionalFormatting>
  <conditionalFormatting sqref="ES58:ES64">
    <cfRule type="expression" dxfId="2149" priority="2280" stopIfTrue="1">
      <formula>IF(ES58="-",TRUE,FALSE)</formula>
    </cfRule>
    <cfRule type="expression" dxfId="2148" priority="2281" stopIfTrue="1">
      <formula>IF(OR(ES58="OK"),FALSE,TRUE)</formula>
    </cfRule>
  </conditionalFormatting>
  <conditionalFormatting sqref="ER58:ER64">
    <cfRule type="expression" dxfId="2147" priority="2279" stopIfTrue="1">
      <formula>IF(EQ$8="判定対象外",TRUE,FALSE)</formula>
    </cfRule>
  </conditionalFormatting>
  <conditionalFormatting sqref="EQ58:EQ64">
    <cfRule type="expression" dxfId="2146" priority="2278" stopIfTrue="1">
      <formula>IF(EQ$8="判定対象外",TRUE,FALSE)</formula>
    </cfRule>
  </conditionalFormatting>
  <conditionalFormatting sqref="ES65:ES70">
    <cfRule type="expression" dxfId="2145" priority="2276" stopIfTrue="1">
      <formula>IF(ES65="-",TRUE,FALSE)</formula>
    </cfRule>
    <cfRule type="expression" dxfId="2144" priority="2277" stopIfTrue="1">
      <formula>IF(OR(ES65="OK"),FALSE,TRUE)</formula>
    </cfRule>
  </conditionalFormatting>
  <conditionalFormatting sqref="ER65:ER70">
    <cfRule type="expression" dxfId="2143" priority="2275" stopIfTrue="1">
      <formula>IF(EQ$8="判定対象外",TRUE,FALSE)</formula>
    </cfRule>
  </conditionalFormatting>
  <conditionalFormatting sqref="EQ65:EQ70">
    <cfRule type="expression" dxfId="2142" priority="2274" stopIfTrue="1">
      <formula>IF(EQ$8="判定対象外",TRUE,FALSE)</formula>
    </cfRule>
  </conditionalFormatting>
  <conditionalFormatting sqref="EP58">
    <cfRule type="expression" dxfId="2141" priority="2263" stopIfTrue="1">
      <formula>IF(EQ$8="判定対象外",TRUE,FALSE)</formula>
    </cfRule>
  </conditionalFormatting>
  <conditionalFormatting sqref="EH58">
    <cfRule type="expression" dxfId="2140" priority="2273" stopIfTrue="1">
      <formula>IF(EI$8="判定対象外",TRUE,FALSE)</formula>
    </cfRule>
  </conditionalFormatting>
  <conditionalFormatting sqref="EK58">
    <cfRule type="expression" dxfId="2139" priority="2271" stopIfTrue="1">
      <formula>IF(EK58="-",TRUE,FALSE)</formula>
    </cfRule>
    <cfRule type="expression" dxfId="2138" priority="2272" stopIfTrue="1">
      <formula>IF(OR(EK58="OK"),FALSE,TRUE)</formula>
    </cfRule>
  </conditionalFormatting>
  <conditionalFormatting sqref="EJ58">
    <cfRule type="expression" dxfId="2137" priority="2270" stopIfTrue="1">
      <formula>IF(EI$8="判定対象外",TRUE,FALSE)</formula>
    </cfRule>
  </conditionalFormatting>
  <conditionalFormatting sqref="EI58">
    <cfRule type="expression" dxfId="2136" priority="2269" stopIfTrue="1">
      <formula>IF(EI$8="判定対象外",TRUE,FALSE)</formula>
    </cfRule>
  </conditionalFormatting>
  <conditionalFormatting sqref="EL58">
    <cfRule type="expression" dxfId="2135" priority="2268" stopIfTrue="1">
      <formula>IF(EM$8="判定対象外",TRUE,FALSE)</formula>
    </cfRule>
  </conditionalFormatting>
  <conditionalFormatting sqref="EO58">
    <cfRule type="expression" dxfId="2134" priority="2266" stopIfTrue="1">
      <formula>IF(EO58="-",TRUE,FALSE)</formula>
    </cfRule>
    <cfRule type="expression" dxfId="2133" priority="2267" stopIfTrue="1">
      <formula>IF(OR(EO58="OK"),FALSE,TRUE)</formula>
    </cfRule>
  </conditionalFormatting>
  <conditionalFormatting sqref="EN58">
    <cfRule type="expression" dxfId="2132" priority="2265" stopIfTrue="1">
      <formula>IF(EM$8="判定対象外",TRUE,FALSE)</formula>
    </cfRule>
  </conditionalFormatting>
  <conditionalFormatting sqref="EM58">
    <cfRule type="expression" dxfId="2131" priority="2264" stopIfTrue="1">
      <formula>IF(EM$8="判定対象外",TRUE,FALSE)</formula>
    </cfRule>
  </conditionalFormatting>
  <conditionalFormatting sqref="EL59">
    <cfRule type="expression" dxfId="2130" priority="2257" stopIfTrue="1">
      <formula>IF(EM$8="判定対象外",TRUE,FALSE)</formula>
    </cfRule>
  </conditionalFormatting>
  <conditionalFormatting sqref="EO59">
    <cfRule type="expression" dxfId="2129" priority="2255" stopIfTrue="1">
      <formula>IF(EO59="-",TRUE,FALSE)</formula>
    </cfRule>
    <cfRule type="expression" dxfId="2128" priority="2256" stopIfTrue="1">
      <formula>IF(OR(EO59="OK"),FALSE,TRUE)</formula>
    </cfRule>
  </conditionalFormatting>
  <conditionalFormatting sqref="EN59">
    <cfRule type="expression" dxfId="2127" priority="2254" stopIfTrue="1">
      <formula>IF(EM$8="判定対象外",TRUE,FALSE)</formula>
    </cfRule>
  </conditionalFormatting>
  <conditionalFormatting sqref="EM59">
    <cfRule type="expression" dxfId="2126" priority="2253" stopIfTrue="1">
      <formula>IF(EM$8="判定対象外",TRUE,FALSE)</formula>
    </cfRule>
  </conditionalFormatting>
  <conditionalFormatting sqref="EL60">
    <cfRule type="expression" dxfId="2125" priority="2246" stopIfTrue="1">
      <formula>IF(EM$8="判定対象外",TRUE,FALSE)</formula>
    </cfRule>
  </conditionalFormatting>
  <conditionalFormatting sqref="EO60">
    <cfRule type="expression" dxfId="2124" priority="2244" stopIfTrue="1">
      <formula>IF(EO60="-",TRUE,FALSE)</formula>
    </cfRule>
    <cfRule type="expression" dxfId="2123" priority="2245" stopIfTrue="1">
      <formula>IF(OR(EO60="OK"),FALSE,TRUE)</formula>
    </cfRule>
  </conditionalFormatting>
  <conditionalFormatting sqref="EN60">
    <cfRule type="expression" dxfId="2122" priority="2243" stopIfTrue="1">
      <formula>IF(EM$8="判定対象外",TRUE,FALSE)</formula>
    </cfRule>
  </conditionalFormatting>
  <conditionalFormatting sqref="EM60">
    <cfRule type="expression" dxfId="2121" priority="2242" stopIfTrue="1">
      <formula>IF(EM$8="判定対象外",TRUE,FALSE)</formula>
    </cfRule>
  </conditionalFormatting>
  <conditionalFormatting sqref="EL61">
    <cfRule type="expression" dxfId="2120" priority="2235" stopIfTrue="1">
      <formula>IF(EM$8="判定対象外",TRUE,FALSE)</formula>
    </cfRule>
  </conditionalFormatting>
  <conditionalFormatting sqref="EO61">
    <cfRule type="expression" dxfId="2119" priority="2233" stopIfTrue="1">
      <formula>IF(EO61="-",TRUE,FALSE)</formula>
    </cfRule>
    <cfRule type="expression" dxfId="2118" priority="2234" stopIfTrue="1">
      <formula>IF(OR(EO61="OK"),FALSE,TRUE)</formula>
    </cfRule>
  </conditionalFormatting>
  <conditionalFormatting sqref="EN61">
    <cfRule type="expression" dxfId="2117" priority="2232" stopIfTrue="1">
      <formula>IF(EM$8="判定対象外",TRUE,FALSE)</formula>
    </cfRule>
  </conditionalFormatting>
  <conditionalFormatting sqref="EM61">
    <cfRule type="expression" dxfId="2116" priority="2231" stopIfTrue="1">
      <formula>IF(EM$8="判定対象外",TRUE,FALSE)</formula>
    </cfRule>
  </conditionalFormatting>
  <conditionalFormatting sqref="EL62">
    <cfRule type="expression" dxfId="2115" priority="2224" stopIfTrue="1">
      <formula>IF(EM$8="判定対象外",TRUE,FALSE)</formula>
    </cfRule>
  </conditionalFormatting>
  <conditionalFormatting sqref="EO62">
    <cfRule type="expression" dxfId="2114" priority="2222" stopIfTrue="1">
      <formula>IF(EO62="-",TRUE,FALSE)</formula>
    </cfRule>
    <cfRule type="expression" dxfId="2113" priority="2223" stopIfTrue="1">
      <formula>IF(OR(EO62="OK"),FALSE,TRUE)</formula>
    </cfRule>
  </conditionalFormatting>
  <conditionalFormatting sqref="EN62">
    <cfRule type="expression" dxfId="2112" priority="2221" stopIfTrue="1">
      <formula>IF(EM$8="判定対象外",TRUE,FALSE)</formula>
    </cfRule>
  </conditionalFormatting>
  <conditionalFormatting sqref="EM62">
    <cfRule type="expression" dxfId="2111" priority="2220" stopIfTrue="1">
      <formula>IF(EM$8="判定対象外",TRUE,FALSE)</formula>
    </cfRule>
  </conditionalFormatting>
  <conditionalFormatting sqref="EL63">
    <cfRule type="expression" dxfId="2110" priority="2213" stopIfTrue="1">
      <formula>IF(EM$8="判定対象外",TRUE,FALSE)</formula>
    </cfRule>
  </conditionalFormatting>
  <conditionalFormatting sqref="EO63">
    <cfRule type="expression" dxfId="2109" priority="2211" stopIfTrue="1">
      <formula>IF(EO63="-",TRUE,FALSE)</formula>
    </cfRule>
    <cfRule type="expression" dxfId="2108" priority="2212" stopIfTrue="1">
      <formula>IF(OR(EO63="OK"),FALSE,TRUE)</formula>
    </cfRule>
  </conditionalFormatting>
  <conditionalFormatting sqref="EN63">
    <cfRule type="expression" dxfId="2107" priority="2210" stopIfTrue="1">
      <formula>IF(EM$8="判定対象外",TRUE,FALSE)</formula>
    </cfRule>
  </conditionalFormatting>
  <conditionalFormatting sqref="EM63">
    <cfRule type="expression" dxfId="2106" priority="2209" stopIfTrue="1">
      <formula>IF(EM$8="判定対象外",TRUE,FALSE)</formula>
    </cfRule>
  </conditionalFormatting>
  <conditionalFormatting sqref="EL64">
    <cfRule type="expression" dxfId="2105" priority="2202" stopIfTrue="1">
      <formula>IF(EM$8="判定対象外",TRUE,FALSE)</formula>
    </cfRule>
  </conditionalFormatting>
  <conditionalFormatting sqref="EO64">
    <cfRule type="expression" dxfId="2104" priority="2200" stopIfTrue="1">
      <formula>IF(EO64="-",TRUE,FALSE)</formula>
    </cfRule>
    <cfRule type="expression" dxfId="2103" priority="2201" stopIfTrue="1">
      <formula>IF(OR(EO64="OK"),FALSE,TRUE)</formula>
    </cfRule>
  </conditionalFormatting>
  <conditionalFormatting sqref="EN64">
    <cfRule type="expression" dxfId="2102" priority="2199" stopIfTrue="1">
      <formula>IF(EM$8="判定対象外",TRUE,FALSE)</formula>
    </cfRule>
  </conditionalFormatting>
  <conditionalFormatting sqref="EM64">
    <cfRule type="expression" dxfId="2101" priority="2198" stopIfTrue="1">
      <formula>IF(EM$8="判定対象外",TRUE,FALSE)</formula>
    </cfRule>
  </conditionalFormatting>
  <conditionalFormatting sqref="EL65">
    <cfRule type="expression" dxfId="2100" priority="2180" stopIfTrue="1">
      <formula>IF(EM$8="判定対象外",TRUE,FALSE)</formula>
    </cfRule>
  </conditionalFormatting>
  <conditionalFormatting sqref="EO65">
    <cfRule type="expression" dxfId="2099" priority="2178" stopIfTrue="1">
      <formula>IF(EO65="-",TRUE,FALSE)</formula>
    </cfRule>
    <cfRule type="expression" dxfId="2098" priority="2179" stopIfTrue="1">
      <formula>IF(OR(EO65="OK"),FALSE,TRUE)</formula>
    </cfRule>
  </conditionalFormatting>
  <conditionalFormatting sqref="EN65">
    <cfRule type="expression" dxfId="2097" priority="2177" stopIfTrue="1">
      <formula>IF(EM$8="判定対象外",TRUE,FALSE)</formula>
    </cfRule>
  </conditionalFormatting>
  <conditionalFormatting sqref="EM65">
    <cfRule type="expression" dxfId="2096" priority="2176" stopIfTrue="1">
      <formula>IF(EM$8="判定対象外",TRUE,FALSE)</formula>
    </cfRule>
  </conditionalFormatting>
  <conditionalFormatting sqref="FB68">
    <cfRule type="expression" dxfId="2095" priority="1848" stopIfTrue="1">
      <formula>IF(FC$8="判定対象外",TRUE,FALSE)</formula>
    </cfRule>
  </conditionalFormatting>
  <conditionalFormatting sqref="EH67">
    <cfRule type="expression" dxfId="2094" priority="2174" stopIfTrue="1">
      <formula>IF(EI$8="判定対象外",TRUE,FALSE)</formula>
    </cfRule>
  </conditionalFormatting>
  <conditionalFormatting sqref="EK67">
    <cfRule type="expression" dxfId="2093" priority="2172" stopIfTrue="1">
      <formula>IF(EK67="-",TRUE,FALSE)</formula>
    </cfRule>
    <cfRule type="expression" dxfId="2092" priority="2173" stopIfTrue="1">
      <formula>IF(OR(EK67="OK"),FALSE,TRUE)</formula>
    </cfRule>
  </conditionalFormatting>
  <conditionalFormatting sqref="EJ67">
    <cfRule type="expression" dxfId="2091" priority="2171" stopIfTrue="1">
      <formula>IF(EI$8="判定対象外",TRUE,FALSE)</formula>
    </cfRule>
  </conditionalFormatting>
  <conditionalFormatting sqref="EI67">
    <cfRule type="expression" dxfId="2090" priority="2170" stopIfTrue="1">
      <formula>IF(EI$8="判定対象外",TRUE,FALSE)</formula>
    </cfRule>
  </conditionalFormatting>
  <conditionalFormatting sqref="EO67">
    <cfRule type="expression" dxfId="2089" priority="2168" stopIfTrue="1">
      <formula>IF(EO67="-",TRUE,FALSE)</formula>
    </cfRule>
    <cfRule type="expression" dxfId="2088" priority="2169" stopIfTrue="1">
      <formula>IF(OR(EO67="OK"),FALSE,TRUE)</formula>
    </cfRule>
  </conditionalFormatting>
  <conditionalFormatting sqref="EN67">
    <cfRule type="expression" dxfId="2087" priority="2167" stopIfTrue="1">
      <formula>IF(EM$8="判定対象外",TRUE,FALSE)</formula>
    </cfRule>
  </conditionalFormatting>
  <conditionalFormatting sqref="EM67">
    <cfRule type="expression" dxfId="2086" priority="2166" stopIfTrue="1">
      <formula>IF(EM$8="判定対象外",TRUE,FALSE)</formula>
    </cfRule>
  </conditionalFormatting>
  <conditionalFormatting sqref="EH66">
    <cfRule type="expression" dxfId="2085" priority="2163" stopIfTrue="1">
      <formula>IF(EI$8="判定対象外",TRUE,FALSE)</formula>
    </cfRule>
  </conditionalFormatting>
  <conditionalFormatting sqref="EK66">
    <cfRule type="expression" dxfId="2084" priority="2161" stopIfTrue="1">
      <formula>IF(EK66="-",TRUE,FALSE)</formula>
    </cfRule>
    <cfRule type="expression" dxfId="2083" priority="2162" stopIfTrue="1">
      <formula>IF(OR(EK66="OK"),FALSE,TRUE)</formula>
    </cfRule>
  </conditionalFormatting>
  <conditionalFormatting sqref="EJ66">
    <cfRule type="expression" dxfId="2082" priority="2160" stopIfTrue="1">
      <formula>IF(EI$8="判定対象外",TRUE,FALSE)</formula>
    </cfRule>
  </conditionalFormatting>
  <conditionalFormatting sqref="EI66">
    <cfRule type="expression" dxfId="2081" priority="2159" stopIfTrue="1">
      <formula>IF(EI$8="判定対象外",TRUE,FALSE)</formula>
    </cfRule>
  </conditionalFormatting>
  <conditionalFormatting sqref="EL66">
    <cfRule type="expression" dxfId="2080" priority="2158" stopIfTrue="1">
      <formula>IF(EM$8="判定対象外",TRUE,FALSE)</formula>
    </cfRule>
  </conditionalFormatting>
  <conditionalFormatting sqref="EO66">
    <cfRule type="expression" dxfId="2079" priority="2156" stopIfTrue="1">
      <formula>IF(EO66="-",TRUE,FALSE)</formula>
    </cfRule>
    <cfRule type="expression" dxfId="2078" priority="2157" stopIfTrue="1">
      <formula>IF(OR(EO66="OK"),FALSE,TRUE)</formula>
    </cfRule>
  </conditionalFormatting>
  <conditionalFormatting sqref="EN66">
    <cfRule type="expression" dxfId="2077" priority="2155" stopIfTrue="1">
      <formula>IF(EM$8="判定対象外",TRUE,FALSE)</formula>
    </cfRule>
  </conditionalFormatting>
  <conditionalFormatting sqref="EM66">
    <cfRule type="expression" dxfId="2076" priority="2154" stopIfTrue="1">
      <formula>IF(EM$8="判定対象外",TRUE,FALSE)</formula>
    </cfRule>
  </conditionalFormatting>
  <conditionalFormatting sqref="EP66">
    <cfRule type="expression" dxfId="2075" priority="2153" stopIfTrue="1">
      <formula>IF(EQ$8="判定対象外",TRUE,FALSE)</formula>
    </cfRule>
  </conditionalFormatting>
  <conditionalFormatting sqref="FB65">
    <cfRule type="expression" dxfId="2074" priority="1881" stopIfTrue="1">
      <formula>IF(FC$8="判定対象外",TRUE,FALSE)</formula>
    </cfRule>
  </conditionalFormatting>
  <conditionalFormatting sqref="ET65">
    <cfRule type="expression" dxfId="2073" priority="1891" stopIfTrue="1">
      <formula>IF(EU$8="判定対象外",TRUE,FALSE)</formula>
    </cfRule>
  </conditionalFormatting>
  <conditionalFormatting sqref="EW65">
    <cfRule type="expression" dxfId="2072" priority="1889" stopIfTrue="1">
      <formula>IF(EW65="-",TRUE,FALSE)</formula>
    </cfRule>
    <cfRule type="expression" dxfId="2071" priority="1890" stopIfTrue="1">
      <formula>IF(OR(EW65="OK"),FALSE,TRUE)</formula>
    </cfRule>
  </conditionalFormatting>
  <conditionalFormatting sqref="EV65">
    <cfRule type="expression" dxfId="2070" priority="1888" stopIfTrue="1">
      <formula>IF(EU$8="判定対象外",TRUE,FALSE)</formula>
    </cfRule>
  </conditionalFormatting>
  <conditionalFormatting sqref="EU65">
    <cfRule type="expression" dxfId="2069" priority="1887" stopIfTrue="1">
      <formula>IF(EU$8="判定対象外",TRUE,FALSE)</formula>
    </cfRule>
  </conditionalFormatting>
  <conditionalFormatting sqref="FB67">
    <cfRule type="expression" dxfId="2068" priority="1870" stopIfTrue="1">
      <formula>IF(FC$8="判定対象外",TRUE,FALSE)</formula>
    </cfRule>
  </conditionalFormatting>
  <conditionalFormatting sqref="FB64">
    <cfRule type="expression" dxfId="2067" priority="1892" stopIfTrue="1">
      <formula>IF(FC$8="判定対象外",TRUE,FALSE)</formula>
    </cfRule>
  </conditionalFormatting>
  <conditionalFormatting sqref="ET64">
    <cfRule type="expression" dxfId="2066" priority="1902" stopIfTrue="1">
      <formula>IF(EU$8="判定対象外",TRUE,FALSE)</formula>
    </cfRule>
  </conditionalFormatting>
  <conditionalFormatting sqref="EW64">
    <cfRule type="expression" dxfId="2065" priority="1900" stopIfTrue="1">
      <formula>IF(EW64="-",TRUE,FALSE)</formula>
    </cfRule>
    <cfRule type="expression" dxfId="2064" priority="1901" stopIfTrue="1">
      <formula>IF(OR(EW64="OK"),FALSE,TRUE)</formula>
    </cfRule>
  </conditionalFormatting>
  <conditionalFormatting sqref="EV64">
    <cfRule type="expression" dxfId="2063" priority="1899" stopIfTrue="1">
      <formula>IF(EU$8="判定対象外",TRUE,FALSE)</formula>
    </cfRule>
  </conditionalFormatting>
  <conditionalFormatting sqref="EU64">
    <cfRule type="expression" dxfId="2062" priority="1898" stopIfTrue="1">
      <formula>IF(EU$8="判定対象外",TRUE,FALSE)</formula>
    </cfRule>
  </conditionalFormatting>
  <conditionalFormatting sqref="FB63">
    <cfRule type="expression" dxfId="2061" priority="1903" stopIfTrue="1">
      <formula>IF(FC$8="判定対象外",TRUE,FALSE)</formula>
    </cfRule>
  </conditionalFormatting>
  <conditionalFormatting sqref="ET63">
    <cfRule type="expression" dxfId="2060" priority="1913" stopIfTrue="1">
      <formula>IF(EU$8="判定対象外",TRUE,FALSE)</formula>
    </cfRule>
  </conditionalFormatting>
  <conditionalFormatting sqref="EW63">
    <cfRule type="expression" dxfId="2059" priority="1911" stopIfTrue="1">
      <formula>IF(EW63="-",TRUE,FALSE)</formula>
    </cfRule>
    <cfRule type="expression" dxfId="2058" priority="1912" stopIfTrue="1">
      <formula>IF(OR(EW63="OK"),FALSE,TRUE)</formula>
    </cfRule>
  </conditionalFormatting>
  <conditionalFormatting sqref="EV63">
    <cfRule type="expression" dxfId="2057" priority="1910" stopIfTrue="1">
      <formula>IF(EU$8="判定対象外",TRUE,FALSE)</formula>
    </cfRule>
  </conditionalFormatting>
  <conditionalFormatting sqref="EU63">
    <cfRule type="expression" dxfId="2056" priority="1909" stopIfTrue="1">
      <formula>IF(EU$8="判定対象外",TRUE,FALSE)</formula>
    </cfRule>
  </conditionalFormatting>
  <conditionalFormatting sqref="FB62">
    <cfRule type="expression" dxfId="2055" priority="1914" stopIfTrue="1">
      <formula>IF(FC$8="判定対象外",TRUE,FALSE)</formula>
    </cfRule>
  </conditionalFormatting>
  <conditionalFormatting sqref="ET62">
    <cfRule type="expression" dxfId="2054" priority="1924" stopIfTrue="1">
      <formula>IF(EU$8="判定対象外",TRUE,FALSE)</formula>
    </cfRule>
  </conditionalFormatting>
  <conditionalFormatting sqref="EW62">
    <cfRule type="expression" dxfId="2053" priority="1922" stopIfTrue="1">
      <formula>IF(EW62="-",TRUE,FALSE)</formula>
    </cfRule>
    <cfRule type="expression" dxfId="2052" priority="1923" stopIfTrue="1">
      <formula>IF(OR(EW62="OK"),FALSE,TRUE)</formula>
    </cfRule>
  </conditionalFormatting>
  <conditionalFormatting sqref="EV62">
    <cfRule type="expression" dxfId="2051" priority="1921" stopIfTrue="1">
      <formula>IF(EU$8="判定対象外",TRUE,FALSE)</formula>
    </cfRule>
  </conditionalFormatting>
  <conditionalFormatting sqref="EU62">
    <cfRule type="expression" dxfId="2050" priority="1920" stopIfTrue="1">
      <formula>IF(EU$8="判定対象外",TRUE,FALSE)</formula>
    </cfRule>
  </conditionalFormatting>
  <conditionalFormatting sqref="FB61">
    <cfRule type="expression" dxfId="2049" priority="1925" stopIfTrue="1">
      <formula>IF(FC$8="判定対象外",TRUE,FALSE)</formula>
    </cfRule>
  </conditionalFormatting>
  <conditionalFormatting sqref="ET61">
    <cfRule type="expression" dxfId="2048" priority="1935" stopIfTrue="1">
      <formula>IF(EU$8="判定対象外",TRUE,FALSE)</formula>
    </cfRule>
  </conditionalFormatting>
  <conditionalFormatting sqref="EW61">
    <cfRule type="expression" dxfId="2047" priority="1933" stopIfTrue="1">
      <formula>IF(EW61="-",TRUE,FALSE)</formula>
    </cfRule>
    <cfRule type="expression" dxfId="2046" priority="1934" stopIfTrue="1">
      <formula>IF(OR(EW61="OK"),FALSE,TRUE)</formula>
    </cfRule>
  </conditionalFormatting>
  <conditionalFormatting sqref="EV61">
    <cfRule type="expression" dxfId="2045" priority="1932" stopIfTrue="1">
      <formula>IF(EU$8="判定対象外",TRUE,FALSE)</formula>
    </cfRule>
  </conditionalFormatting>
  <conditionalFormatting sqref="EU61">
    <cfRule type="expression" dxfId="2044" priority="1931" stopIfTrue="1">
      <formula>IF(EU$8="判定対象外",TRUE,FALSE)</formula>
    </cfRule>
  </conditionalFormatting>
  <conditionalFormatting sqref="FB60">
    <cfRule type="expression" dxfId="2043" priority="1936" stopIfTrue="1">
      <formula>IF(FC$8="判定対象外",TRUE,FALSE)</formula>
    </cfRule>
  </conditionalFormatting>
  <conditionalFormatting sqref="FB53 FB56 FB68 FB71">
    <cfRule type="expression" dxfId="2042" priority="1982" stopIfTrue="1">
      <formula>IF(FC$8="判定対象外",TRUE,FALSE)</formula>
    </cfRule>
  </conditionalFormatting>
  <conditionalFormatting sqref="ET60">
    <cfRule type="expression" dxfId="2041" priority="1946" stopIfTrue="1">
      <formula>IF(EU$8="判定対象外",TRUE,FALSE)</formula>
    </cfRule>
  </conditionalFormatting>
  <conditionalFormatting sqref="EW60">
    <cfRule type="expression" dxfId="2040" priority="1944" stopIfTrue="1">
      <formula>IF(EW60="-",TRUE,FALSE)</formula>
    </cfRule>
    <cfRule type="expression" dxfId="2039" priority="1945" stopIfTrue="1">
      <formula>IF(OR(EW60="OK"),FALSE,TRUE)</formula>
    </cfRule>
  </conditionalFormatting>
  <conditionalFormatting sqref="EV60">
    <cfRule type="expression" dxfId="2038" priority="1943" stopIfTrue="1">
      <formula>IF(EU$8="判定対象外",TRUE,FALSE)</formula>
    </cfRule>
  </conditionalFormatting>
  <conditionalFormatting sqref="EU60">
    <cfRule type="expression" dxfId="2037" priority="1942" stopIfTrue="1">
      <formula>IF(EU$8="判定対象外",TRUE,FALSE)</formula>
    </cfRule>
  </conditionalFormatting>
  <conditionalFormatting sqref="FB19">
    <cfRule type="expression" dxfId="2036" priority="1993" stopIfTrue="1">
      <formula>IF(FC$8="判定対象外",TRUE,FALSE)</formula>
    </cfRule>
  </conditionalFormatting>
  <conditionalFormatting sqref="FB59">
    <cfRule type="expression" dxfId="2035" priority="1947" stopIfTrue="1">
      <formula>IF(FC$8="判定対象外",TRUE,FALSE)</formula>
    </cfRule>
  </conditionalFormatting>
  <conditionalFormatting sqref="ET59">
    <cfRule type="expression" dxfId="2034" priority="1957" stopIfTrue="1">
      <formula>IF(EU$8="判定対象外",TRUE,FALSE)</formula>
    </cfRule>
  </conditionalFormatting>
  <conditionalFormatting sqref="EW59">
    <cfRule type="expression" dxfId="2033" priority="1955" stopIfTrue="1">
      <formula>IF(EW59="-",TRUE,FALSE)</formula>
    </cfRule>
    <cfRule type="expression" dxfId="2032" priority="1956" stopIfTrue="1">
      <formula>IF(OR(EW59="OK"),FALSE,TRUE)</formula>
    </cfRule>
  </conditionalFormatting>
  <conditionalFormatting sqref="EV59">
    <cfRule type="expression" dxfId="2031" priority="1954" stopIfTrue="1">
      <formula>IF(EU$8="判定対象外",TRUE,FALSE)</formula>
    </cfRule>
  </conditionalFormatting>
  <conditionalFormatting sqref="EU59">
    <cfRule type="expression" dxfId="2030" priority="1953" stopIfTrue="1">
      <formula>IF(EU$8="判定対象外",TRUE,FALSE)</formula>
    </cfRule>
  </conditionalFormatting>
  <conditionalFormatting sqref="FB16:FB18">
    <cfRule type="expression" dxfId="2029" priority="2003" stopIfTrue="1">
      <formula>IF(FC$8="判定対象外",TRUE,FALSE)</formula>
    </cfRule>
  </conditionalFormatting>
  <conditionalFormatting sqref="EW8:EW10">
    <cfRule type="expression" dxfId="2028" priority="2151" stopIfTrue="1">
      <formula>IF(EW8="-",TRUE,FALSE)</formula>
    </cfRule>
    <cfRule type="expression" dxfId="2027" priority="2152" stopIfTrue="1">
      <formula>IF(OR(EW8="OK"),FALSE,TRUE)</formula>
    </cfRule>
  </conditionalFormatting>
  <conditionalFormatting sqref="ET8:ET10">
    <cfRule type="expression" dxfId="2026" priority="2150" stopIfTrue="1">
      <formula>IF(EU$8="判定対象外",TRUE,FALSE)</formula>
    </cfRule>
  </conditionalFormatting>
  <conditionalFormatting sqref="EU8:EU10">
    <cfRule type="expression" dxfId="2025" priority="2149" stopIfTrue="1">
      <formula>IF(EU$8="判定対象外",TRUE,FALSE)</formula>
    </cfRule>
  </conditionalFormatting>
  <conditionalFormatting sqref="EV8:EV10">
    <cfRule type="expression" dxfId="2024" priority="2148" stopIfTrue="1">
      <formula>IF(EU$8="判定対象外",TRUE,FALSE)</formula>
    </cfRule>
  </conditionalFormatting>
  <conditionalFormatting sqref="EW11:EW34 EW71:EW81 EW36:EW56">
    <cfRule type="expression" dxfId="2023" priority="2145" stopIfTrue="1">
      <formula>IF(EW11="-",TRUE,FALSE)</formula>
    </cfRule>
    <cfRule type="expression" dxfId="2022" priority="2146" stopIfTrue="1">
      <formula>IF(OR(EW11="OK"),FALSE,TRUE)</formula>
    </cfRule>
  </conditionalFormatting>
  <conditionalFormatting sqref="EV11:EV34 EV71:EV81 EV36:EV56">
    <cfRule type="expression" dxfId="2021" priority="2144" stopIfTrue="1">
      <formula>IF(EU$8="判定対象外",TRUE,FALSE)</formula>
    </cfRule>
  </conditionalFormatting>
  <conditionalFormatting sqref="ET72:ET81 ET21:ET34 ET36:ET46">
    <cfRule type="expression" dxfId="2020" priority="2143" stopIfTrue="1">
      <formula>IF(EU$8="判定対象外",TRUE,FALSE)</formula>
    </cfRule>
  </conditionalFormatting>
  <conditionalFormatting sqref="ET29:ET32">
    <cfRule type="expression" dxfId="2019" priority="2142" stopIfTrue="1">
      <formula>IF(EU$8="判定対象外",TRUE,FALSE)</formula>
    </cfRule>
  </conditionalFormatting>
  <conditionalFormatting sqref="ET42:ET44">
    <cfRule type="expression" dxfId="2018" priority="2141" stopIfTrue="1">
      <formula>IF(EU$8="判定対象外",TRUE,FALSE)</formula>
    </cfRule>
  </conditionalFormatting>
  <conditionalFormatting sqref="ET46">
    <cfRule type="expression" dxfId="2017" priority="2140" stopIfTrue="1">
      <formula>IF(EU$8="判定対象外",TRUE,FALSE)</formula>
    </cfRule>
  </conditionalFormatting>
  <conditionalFormatting sqref="ET42:ET44">
    <cfRule type="expression" dxfId="2016" priority="2139" stopIfTrue="1">
      <formula>IF(EU$8="判定対象外",TRUE,FALSE)</formula>
    </cfRule>
  </conditionalFormatting>
  <conditionalFormatting sqref="ET42:ET44">
    <cfRule type="expression" dxfId="2015" priority="2138" stopIfTrue="1">
      <formula>IF(EU$8="判定対象外",TRUE,FALSE)</formula>
    </cfRule>
  </conditionalFormatting>
  <conditionalFormatting sqref="ET42:ET44">
    <cfRule type="expression" dxfId="2014" priority="2137" stopIfTrue="1">
      <formula>IF(EU$8="判定対象外",TRUE,FALSE)</formula>
    </cfRule>
  </conditionalFormatting>
  <conditionalFormatting sqref="ET42:ET44">
    <cfRule type="expression" dxfId="2013" priority="2136" stopIfTrue="1">
      <formula>IF(EU$8="判定対象外",TRUE,FALSE)</formula>
    </cfRule>
  </conditionalFormatting>
  <conditionalFormatting sqref="ET42:ET44">
    <cfRule type="expression" dxfId="2012" priority="2135" stopIfTrue="1">
      <formula>IF(EU$8="判定対象外",TRUE,FALSE)</formula>
    </cfRule>
  </conditionalFormatting>
  <conditionalFormatting sqref="ET42:ET44">
    <cfRule type="expression" dxfId="2011" priority="2134" stopIfTrue="1">
      <formula>IF(EU$8="判定対象外",TRUE,FALSE)</formula>
    </cfRule>
  </conditionalFormatting>
  <conditionalFormatting sqref="ET42:ET44">
    <cfRule type="expression" dxfId="2010" priority="2133" stopIfTrue="1">
      <formula>IF(EU$8="判定対象外",TRUE,FALSE)</formula>
    </cfRule>
  </conditionalFormatting>
  <conditionalFormatting sqref="ET38">
    <cfRule type="expression" dxfId="2009" priority="2147" stopIfTrue="1">
      <formula>IF(#REF!="判定対象外",TRUE,FALSE)</formula>
    </cfRule>
  </conditionalFormatting>
  <conditionalFormatting sqref="EU11:EU34 EU71:EU81 EU36:EU56">
    <cfRule type="expression" dxfId="2008" priority="2132" stopIfTrue="1">
      <formula>IF(EU$8="判定対象外",TRUE,FALSE)</formula>
    </cfRule>
  </conditionalFormatting>
  <conditionalFormatting sqref="ET48">
    <cfRule type="expression" dxfId="2007" priority="2131" stopIfTrue="1">
      <formula>IF(EU$8="判定対象外",TRUE,FALSE)</formula>
    </cfRule>
  </conditionalFormatting>
  <conditionalFormatting sqref="ET51">
    <cfRule type="expression" dxfId="2006" priority="2130" stopIfTrue="1">
      <formula>IF(EU$8="判定対象外",TRUE,FALSE)</formula>
    </cfRule>
  </conditionalFormatting>
  <conditionalFormatting sqref="ET52 ET55 ET70">
    <cfRule type="expression" dxfId="2005" priority="2129" stopIfTrue="1">
      <formula>IF(EU$8="判定対象外",TRUE,FALSE)</formula>
    </cfRule>
  </conditionalFormatting>
  <conditionalFormatting sqref="ET11:ET20">
    <cfRule type="expression" dxfId="2004" priority="2128" stopIfTrue="1">
      <formula>IF(EU$8="判定対象外",TRUE,FALSE)</formula>
    </cfRule>
  </conditionalFormatting>
  <conditionalFormatting sqref="ET16:ET18">
    <cfRule type="expression" dxfId="2003" priority="2127" stopIfTrue="1">
      <formula>IF(EU$8="判定対象外",TRUE,FALSE)</formula>
    </cfRule>
  </conditionalFormatting>
  <conditionalFormatting sqref="ET20">
    <cfRule type="expression" dxfId="2002" priority="2126" stopIfTrue="1">
      <formula>IF(EU$8="判定対象外",TRUE,FALSE)</formula>
    </cfRule>
  </conditionalFormatting>
  <conditionalFormatting sqref="ET16:ET20">
    <cfRule type="expression" dxfId="2001" priority="2125" stopIfTrue="1">
      <formula>IF(EU$8="判定対象外",TRUE,FALSE)</formula>
    </cfRule>
  </conditionalFormatting>
  <conditionalFormatting sqref="ET11:ET20">
    <cfRule type="expression" dxfId="2000" priority="2124" stopIfTrue="1">
      <formula>IF(EU$8="判定対象外",TRUE,FALSE)</formula>
    </cfRule>
  </conditionalFormatting>
  <conditionalFormatting sqref="ET16:ET18">
    <cfRule type="expression" dxfId="1999" priority="2123" stopIfTrue="1">
      <formula>IF(EU$8="判定対象外",TRUE,FALSE)</formula>
    </cfRule>
  </conditionalFormatting>
  <conditionalFormatting sqref="ET20">
    <cfRule type="expression" dxfId="1998" priority="2122" stopIfTrue="1">
      <formula>IF(EU$8="判定対象外",TRUE,FALSE)</formula>
    </cfRule>
  </conditionalFormatting>
  <conditionalFormatting sqref="ET16:ET20">
    <cfRule type="expression" dxfId="1997" priority="2121" stopIfTrue="1">
      <formula>IF(EU$8="判定対象外",TRUE,FALSE)</formula>
    </cfRule>
  </conditionalFormatting>
  <conditionalFormatting sqref="ET11:ET20">
    <cfRule type="expression" dxfId="1996" priority="2120" stopIfTrue="1">
      <formula>IF(EU$8="判定対象外",TRUE,FALSE)</formula>
    </cfRule>
  </conditionalFormatting>
  <conditionalFormatting sqref="ET16:ET18">
    <cfRule type="expression" dxfId="1995" priority="2119" stopIfTrue="1">
      <formula>IF(EU$8="判定対象外",TRUE,FALSE)</formula>
    </cfRule>
  </conditionalFormatting>
  <conditionalFormatting sqref="ET20">
    <cfRule type="expression" dxfId="1994" priority="2118" stopIfTrue="1">
      <formula>IF(EU$8="判定対象外",TRUE,FALSE)</formula>
    </cfRule>
  </conditionalFormatting>
  <conditionalFormatting sqref="ET16:ET20">
    <cfRule type="expression" dxfId="1993" priority="2117" stopIfTrue="1">
      <formula>IF(EU$8="判定対象外",TRUE,FALSE)</formula>
    </cfRule>
  </conditionalFormatting>
  <conditionalFormatting sqref="ET11:ET13">
    <cfRule type="expression" dxfId="1992" priority="2116" stopIfTrue="1">
      <formula>IF(EU$8="判定対象外",TRUE,FALSE)</formula>
    </cfRule>
  </conditionalFormatting>
  <conditionalFormatting sqref="ET15">
    <cfRule type="expression" dxfId="1991" priority="2115" stopIfTrue="1">
      <formula>IF(EU$8="判定対象外",TRUE,FALSE)</formula>
    </cfRule>
  </conditionalFormatting>
  <conditionalFormatting sqref="ET19">
    <cfRule type="expression" dxfId="1990" priority="2114" stopIfTrue="1">
      <formula>IF(EU$8="判定対象外",TRUE,FALSE)</formula>
    </cfRule>
  </conditionalFormatting>
  <conditionalFormatting sqref="ET19">
    <cfRule type="expression" dxfId="1989" priority="2113" stopIfTrue="1">
      <formula>IF(EU$8="判定対象外",TRUE,FALSE)</formula>
    </cfRule>
  </conditionalFormatting>
  <conditionalFormatting sqref="ET20">
    <cfRule type="expression" dxfId="1988" priority="2112" stopIfTrue="1">
      <formula>IF(EU$8="判定対象外",TRUE,FALSE)</formula>
    </cfRule>
  </conditionalFormatting>
  <conditionalFormatting sqref="ET20">
    <cfRule type="expression" dxfId="1987" priority="2111" stopIfTrue="1">
      <formula>IF(EU$8="判定対象外",TRUE,FALSE)</formula>
    </cfRule>
  </conditionalFormatting>
  <conditionalFormatting sqref="ET20">
    <cfRule type="expression" dxfId="1986" priority="2110" stopIfTrue="1">
      <formula>IF(EU$8="判定対象外",TRUE,FALSE)</formula>
    </cfRule>
  </conditionalFormatting>
  <conditionalFormatting sqref="ET13">
    <cfRule type="expression" dxfId="1985" priority="2109" stopIfTrue="1">
      <formula>IF(EU$8="判定対象外",TRUE,FALSE)</formula>
    </cfRule>
  </conditionalFormatting>
  <conditionalFormatting sqref="ET47">
    <cfRule type="expression" dxfId="1984" priority="2108" stopIfTrue="1">
      <formula>IF(EU$8="判定対象外",TRUE,FALSE)</formula>
    </cfRule>
  </conditionalFormatting>
  <conditionalFormatting sqref="ET47">
    <cfRule type="expression" dxfId="1983" priority="2107" stopIfTrue="1">
      <formula>IF(EU$8="判定対象外",TRUE,FALSE)</formula>
    </cfRule>
  </conditionalFormatting>
  <conditionalFormatting sqref="ET49">
    <cfRule type="expression" dxfId="1982" priority="2106" stopIfTrue="1">
      <formula>IF(EU$8="判定対象外",TRUE,FALSE)</formula>
    </cfRule>
  </conditionalFormatting>
  <conditionalFormatting sqref="ET49">
    <cfRule type="expression" dxfId="1981" priority="2105" stopIfTrue="1">
      <formula>IF(EU$8="判定対象外",TRUE,FALSE)</formula>
    </cfRule>
  </conditionalFormatting>
  <conditionalFormatting sqref="ET50">
    <cfRule type="expression" dxfId="1980" priority="2104" stopIfTrue="1">
      <formula>IF(EU$8="判定対象外",TRUE,FALSE)</formula>
    </cfRule>
  </conditionalFormatting>
  <conditionalFormatting sqref="ET50">
    <cfRule type="expression" dxfId="1979" priority="2103" stopIfTrue="1">
      <formula>IF(EU$8="判定対象外",TRUE,FALSE)</formula>
    </cfRule>
  </conditionalFormatting>
  <conditionalFormatting sqref="ET53 ET56 ET68 ET71">
    <cfRule type="expression" dxfId="1978" priority="2102" stopIfTrue="1">
      <formula>IF(EU$8="判定対象外",TRUE,FALSE)</formula>
    </cfRule>
  </conditionalFormatting>
  <conditionalFormatting sqref="ET54 ET57 ET69">
    <cfRule type="expression" dxfId="1977" priority="2101" stopIfTrue="1">
      <formula>IF(EU$8="判定対象外",TRUE,FALSE)</formula>
    </cfRule>
  </conditionalFormatting>
  <conditionalFormatting sqref="EW57">
    <cfRule type="expression" dxfId="1976" priority="2099" stopIfTrue="1">
      <formula>IF(EW57="-",TRUE,FALSE)</formula>
    </cfRule>
    <cfRule type="expression" dxfId="1975" priority="2100" stopIfTrue="1">
      <formula>IF(OR(EW57="OK"),FALSE,TRUE)</formula>
    </cfRule>
  </conditionalFormatting>
  <conditionalFormatting sqref="EV57">
    <cfRule type="expression" dxfId="1974" priority="2098" stopIfTrue="1">
      <formula>IF(EU$8="判定対象外",TRUE,FALSE)</formula>
    </cfRule>
  </conditionalFormatting>
  <conditionalFormatting sqref="EU57">
    <cfRule type="expression" dxfId="1973" priority="2097" stopIfTrue="1">
      <formula>IF(EU$8="判定対象外",TRUE,FALSE)</formula>
    </cfRule>
  </conditionalFormatting>
  <conditionalFormatting sqref="EW68:EW70">
    <cfRule type="expression" dxfId="1972" priority="2095" stopIfTrue="1">
      <formula>IF(EW68="-",TRUE,FALSE)</formula>
    </cfRule>
    <cfRule type="expression" dxfId="1971" priority="2096" stopIfTrue="1">
      <formula>IF(OR(EW68="OK"),FALSE,TRUE)</formula>
    </cfRule>
  </conditionalFormatting>
  <conditionalFormatting sqref="EV68:EV70">
    <cfRule type="expression" dxfId="1970" priority="2094" stopIfTrue="1">
      <formula>IF(EU$8="判定対象外",TRUE,FALSE)</formula>
    </cfRule>
  </conditionalFormatting>
  <conditionalFormatting sqref="EU68:EU70">
    <cfRule type="expression" dxfId="1969" priority="2093" stopIfTrue="1">
      <formula>IF(EU$8="判定対象外",TRUE,FALSE)</formula>
    </cfRule>
  </conditionalFormatting>
  <conditionalFormatting sqref="FA8:FA10">
    <cfRule type="expression" dxfId="1968" priority="2091" stopIfTrue="1">
      <formula>IF(FA8="-",TRUE,FALSE)</formula>
    </cfRule>
    <cfRule type="expression" dxfId="1967" priority="2092" stopIfTrue="1">
      <formula>IF(OR(FA8="OK"),FALSE,TRUE)</formula>
    </cfRule>
  </conditionalFormatting>
  <conditionalFormatting sqref="EX8:EX10">
    <cfRule type="expression" dxfId="1966" priority="2090" stopIfTrue="1">
      <formula>IF(EY$8="判定対象外",TRUE,FALSE)</formula>
    </cfRule>
  </conditionalFormatting>
  <conditionalFormatting sqref="EY8:EY10">
    <cfRule type="expression" dxfId="1965" priority="2089" stopIfTrue="1">
      <formula>IF(EY$8="判定対象外",TRUE,FALSE)</formula>
    </cfRule>
  </conditionalFormatting>
  <conditionalFormatting sqref="EZ8:EZ10">
    <cfRule type="expression" dxfId="1964" priority="2088" stopIfTrue="1">
      <formula>IF(EY$8="判定対象外",TRUE,FALSE)</formula>
    </cfRule>
  </conditionalFormatting>
  <conditionalFormatting sqref="FA11:FA34 FA71:FA81 FA36:FA56">
    <cfRule type="expression" dxfId="1963" priority="2085" stopIfTrue="1">
      <formula>IF(FA11="-",TRUE,FALSE)</formula>
    </cfRule>
    <cfRule type="expression" dxfId="1962" priority="2086" stopIfTrue="1">
      <formula>IF(OR(FA11="OK"),FALSE,TRUE)</formula>
    </cfRule>
  </conditionalFormatting>
  <conditionalFormatting sqref="EZ11:EZ34 EZ71:EZ81 EZ36:EZ56">
    <cfRule type="expression" dxfId="1961" priority="2084" stopIfTrue="1">
      <formula>IF(EY$8="判定対象外",TRUE,FALSE)</formula>
    </cfRule>
  </conditionalFormatting>
  <conditionalFormatting sqref="EX72:EX81 EX21:EX34 EX36:EX46">
    <cfRule type="expression" dxfId="1960" priority="2083" stopIfTrue="1">
      <formula>IF(EY$8="判定対象外",TRUE,FALSE)</formula>
    </cfRule>
  </conditionalFormatting>
  <conditionalFormatting sqref="EX29:EX32">
    <cfRule type="expression" dxfId="1959" priority="2082" stopIfTrue="1">
      <formula>IF(EY$8="判定対象外",TRUE,FALSE)</formula>
    </cfRule>
  </conditionalFormatting>
  <conditionalFormatting sqref="EX42:EX44">
    <cfRule type="expression" dxfId="1958" priority="2081" stopIfTrue="1">
      <formula>IF(EY$8="判定対象外",TRUE,FALSE)</formula>
    </cfRule>
  </conditionalFormatting>
  <conditionalFormatting sqref="EX46">
    <cfRule type="expression" dxfId="1957" priority="2080" stopIfTrue="1">
      <formula>IF(EY$8="判定対象外",TRUE,FALSE)</formula>
    </cfRule>
  </conditionalFormatting>
  <conditionalFormatting sqref="EX42:EX44">
    <cfRule type="expression" dxfId="1956" priority="2079" stopIfTrue="1">
      <formula>IF(EY$8="判定対象外",TRUE,FALSE)</formula>
    </cfRule>
  </conditionalFormatting>
  <conditionalFormatting sqref="EX42:EX44">
    <cfRule type="expression" dxfId="1955" priority="2078" stopIfTrue="1">
      <formula>IF(EY$8="判定対象外",TRUE,FALSE)</formula>
    </cfRule>
  </conditionalFormatting>
  <conditionalFormatting sqref="EX42:EX44">
    <cfRule type="expression" dxfId="1954" priority="2077" stopIfTrue="1">
      <formula>IF(EY$8="判定対象外",TRUE,FALSE)</formula>
    </cfRule>
  </conditionalFormatting>
  <conditionalFormatting sqref="EX42:EX44">
    <cfRule type="expression" dxfId="1953" priority="2076" stopIfTrue="1">
      <formula>IF(EY$8="判定対象外",TRUE,FALSE)</formula>
    </cfRule>
  </conditionalFormatting>
  <conditionalFormatting sqref="EX42:EX44">
    <cfRule type="expression" dxfId="1952" priority="2075" stopIfTrue="1">
      <formula>IF(EY$8="判定対象外",TRUE,FALSE)</formula>
    </cfRule>
  </conditionalFormatting>
  <conditionalFormatting sqref="EX42:EX44">
    <cfRule type="expression" dxfId="1951" priority="2074" stopIfTrue="1">
      <formula>IF(EY$8="判定対象外",TRUE,FALSE)</formula>
    </cfRule>
  </conditionalFormatting>
  <conditionalFormatting sqref="EX42:EX44">
    <cfRule type="expression" dxfId="1950" priority="2073" stopIfTrue="1">
      <formula>IF(EY$8="判定対象外",TRUE,FALSE)</formula>
    </cfRule>
  </conditionalFormatting>
  <conditionalFormatting sqref="EX38">
    <cfRule type="expression" dxfId="1949" priority="2087" stopIfTrue="1">
      <formula>IF(#REF!="判定対象外",TRUE,FALSE)</formula>
    </cfRule>
  </conditionalFormatting>
  <conditionalFormatting sqref="EY11:EY34 EY71:EY81 EY36:EY56">
    <cfRule type="expression" dxfId="1948" priority="2072" stopIfTrue="1">
      <formula>IF(EY$8="判定対象外",TRUE,FALSE)</formula>
    </cfRule>
  </conditionalFormatting>
  <conditionalFormatting sqref="EX48">
    <cfRule type="expression" dxfId="1947" priority="2071" stopIfTrue="1">
      <formula>IF(EY$8="判定対象外",TRUE,FALSE)</formula>
    </cfRule>
  </conditionalFormatting>
  <conditionalFormatting sqref="EX51">
    <cfRule type="expression" dxfId="1946" priority="2070" stopIfTrue="1">
      <formula>IF(EY$8="判定対象外",TRUE,FALSE)</formula>
    </cfRule>
  </conditionalFormatting>
  <conditionalFormatting sqref="EX52 EX55 EX70">
    <cfRule type="expression" dxfId="1945" priority="2069" stopIfTrue="1">
      <formula>IF(EY$8="判定対象外",TRUE,FALSE)</formula>
    </cfRule>
  </conditionalFormatting>
  <conditionalFormatting sqref="EX11:EX20">
    <cfRule type="expression" dxfId="1944" priority="2068" stopIfTrue="1">
      <formula>IF(EY$8="判定対象外",TRUE,FALSE)</formula>
    </cfRule>
  </conditionalFormatting>
  <conditionalFormatting sqref="EX16:EX18">
    <cfRule type="expression" dxfId="1943" priority="2067" stopIfTrue="1">
      <formula>IF(EY$8="判定対象外",TRUE,FALSE)</formula>
    </cfRule>
  </conditionalFormatting>
  <conditionalFormatting sqref="EX20">
    <cfRule type="expression" dxfId="1942" priority="2066" stopIfTrue="1">
      <formula>IF(EY$8="判定対象外",TRUE,FALSE)</formula>
    </cfRule>
  </conditionalFormatting>
  <conditionalFormatting sqref="EX16:EX20">
    <cfRule type="expression" dxfId="1941" priority="2065" stopIfTrue="1">
      <formula>IF(EY$8="判定対象外",TRUE,FALSE)</formula>
    </cfRule>
  </conditionalFormatting>
  <conditionalFormatting sqref="EX11:EX20">
    <cfRule type="expression" dxfId="1940" priority="2064" stopIfTrue="1">
      <formula>IF(EY$8="判定対象外",TRUE,FALSE)</formula>
    </cfRule>
  </conditionalFormatting>
  <conditionalFormatting sqref="EX16:EX18">
    <cfRule type="expression" dxfId="1939" priority="2063" stopIfTrue="1">
      <formula>IF(EY$8="判定対象外",TRUE,FALSE)</formula>
    </cfRule>
  </conditionalFormatting>
  <conditionalFormatting sqref="EX20">
    <cfRule type="expression" dxfId="1938" priority="2062" stopIfTrue="1">
      <formula>IF(EY$8="判定対象外",TRUE,FALSE)</formula>
    </cfRule>
  </conditionalFormatting>
  <conditionalFormatting sqref="EX16:EX20">
    <cfRule type="expression" dxfId="1937" priority="2061" stopIfTrue="1">
      <formula>IF(EY$8="判定対象外",TRUE,FALSE)</formula>
    </cfRule>
  </conditionalFormatting>
  <conditionalFormatting sqref="EX11:EX20">
    <cfRule type="expression" dxfId="1936" priority="2060" stopIfTrue="1">
      <formula>IF(EY$8="判定対象外",TRUE,FALSE)</formula>
    </cfRule>
  </conditionalFormatting>
  <conditionalFormatting sqref="EX16:EX18">
    <cfRule type="expression" dxfId="1935" priority="2059" stopIfTrue="1">
      <formula>IF(EY$8="判定対象外",TRUE,FALSE)</formula>
    </cfRule>
  </conditionalFormatting>
  <conditionalFormatting sqref="EX20">
    <cfRule type="expression" dxfId="1934" priority="2058" stopIfTrue="1">
      <formula>IF(EY$8="判定対象外",TRUE,FALSE)</formula>
    </cfRule>
  </conditionalFormatting>
  <conditionalFormatting sqref="EX16:EX20">
    <cfRule type="expression" dxfId="1933" priority="2057" stopIfTrue="1">
      <formula>IF(EY$8="判定対象外",TRUE,FALSE)</formula>
    </cfRule>
  </conditionalFormatting>
  <conditionalFormatting sqref="EX11:EX13">
    <cfRule type="expression" dxfId="1932" priority="2056" stopIfTrue="1">
      <formula>IF(EY$8="判定対象外",TRUE,FALSE)</formula>
    </cfRule>
  </conditionalFormatting>
  <conditionalFormatting sqref="EX15">
    <cfRule type="expression" dxfId="1931" priority="2055" stopIfTrue="1">
      <formula>IF(EY$8="判定対象外",TRUE,FALSE)</formula>
    </cfRule>
  </conditionalFormatting>
  <conditionalFormatting sqref="EX19">
    <cfRule type="expression" dxfId="1930" priority="2054" stopIfTrue="1">
      <formula>IF(EY$8="判定対象外",TRUE,FALSE)</formula>
    </cfRule>
  </conditionalFormatting>
  <conditionalFormatting sqref="EX19">
    <cfRule type="expression" dxfId="1929" priority="2053" stopIfTrue="1">
      <formula>IF(EY$8="判定対象外",TRUE,FALSE)</formula>
    </cfRule>
  </conditionalFormatting>
  <conditionalFormatting sqref="EX20">
    <cfRule type="expression" dxfId="1928" priority="2052" stopIfTrue="1">
      <formula>IF(EY$8="判定対象外",TRUE,FALSE)</formula>
    </cfRule>
  </conditionalFormatting>
  <conditionalFormatting sqref="EX20">
    <cfRule type="expression" dxfId="1927" priority="2051" stopIfTrue="1">
      <formula>IF(EY$8="判定対象外",TRUE,FALSE)</formula>
    </cfRule>
  </conditionalFormatting>
  <conditionalFormatting sqref="EX20">
    <cfRule type="expression" dxfId="1926" priority="2050" stopIfTrue="1">
      <formula>IF(EY$8="判定対象外",TRUE,FALSE)</formula>
    </cfRule>
  </conditionalFormatting>
  <conditionalFormatting sqref="EX13">
    <cfRule type="expression" dxfId="1925" priority="2049" stopIfTrue="1">
      <formula>IF(EY$8="判定対象外",TRUE,FALSE)</formula>
    </cfRule>
  </conditionalFormatting>
  <conditionalFormatting sqref="EX47">
    <cfRule type="expression" dxfId="1924" priority="2048" stopIfTrue="1">
      <formula>IF(EY$8="判定対象外",TRUE,FALSE)</formula>
    </cfRule>
  </conditionalFormatting>
  <conditionalFormatting sqref="EX47">
    <cfRule type="expression" dxfId="1923" priority="2047" stopIfTrue="1">
      <formula>IF(EY$8="判定対象外",TRUE,FALSE)</formula>
    </cfRule>
  </conditionalFormatting>
  <conditionalFormatting sqref="EX49">
    <cfRule type="expression" dxfId="1922" priority="2046" stopIfTrue="1">
      <formula>IF(EY$8="判定対象外",TRUE,FALSE)</formula>
    </cfRule>
  </conditionalFormatting>
  <conditionalFormatting sqref="EX49">
    <cfRule type="expression" dxfId="1921" priority="2045" stopIfTrue="1">
      <formula>IF(EY$8="判定対象外",TRUE,FALSE)</formula>
    </cfRule>
  </conditionalFormatting>
  <conditionalFormatting sqref="EX50">
    <cfRule type="expression" dxfId="1920" priority="2044" stopIfTrue="1">
      <formula>IF(EY$8="判定対象外",TRUE,FALSE)</formula>
    </cfRule>
  </conditionalFormatting>
  <conditionalFormatting sqref="EX50">
    <cfRule type="expression" dxfId="1919" priority="2043" stopIfTrue="1">
      <formula>IF(EY$8="判定対象外",TRUE,FALSE)</formula>
    </cfRule>
  </conditionalFormatting>
  <conditionalFormatting sqref="EX53 EX56 EX71">
    <cfRule type="expression" dxfId="1918" priority="2042" stopIfTrue="1">
      <formula>IF(EY$8="判定対象外",TRUE,FALSE)</formula>
    </cfRule>
  </conditionalFormatting>
  <conditionalFormatting sqref="EX54 EX57 EX69">
    <cfRule type="expression" dxfId="1917" priority="2041" stopIfTrue="1">
      <formula>IF(EY$8="判定対象外",TRUE,FALSE)</formula>
    </cfRule>
  </conditionalFormatting>
  <conditionalFormatting sqref="FA57">
    <cfRule type="expression" dxfId="1916" priority="2039" stopIfTrue="1">
      <formula>IF(FA57="-",TRUE,FALSE)</formula>
    </cfRule>
    <cfRule type="expression" dxfId="1915" priority="2040" stopIfTrue="1">
      <formula>IF(OR(FA57="OK"),FALSE,TRUE)</formula>
    </cfRule>
  </conditionalFormatting>
  <conditionalFormatting sqref="EZ57">
    <cfRule type="expression" dxfId="1914" priority="2038" stopIfTrue="1">
      <formula>IF(EY$8="判定対象外",TRUE,FALSE)</formula>
    </cfRule>
  </conditionalFormatting>
  <conditionalFormatting sqref="EY57">
    <cfRule type="expression" dxfId="1913" priority="2037" stopIfTrue="1">
      <formula>IF(EY$8="判定対象外",TRUE,FALSE)</formula>
    </cfRule>
  </conditionalFormatting>
  <conditionalFormatting sqref="FA68:FA70">
    <cfRule type="expression" dxfId="1912" priority="2035" stopIfTrue="1">
      <formula>IF(FA68="-",TRUE,FALSE)</formula>
    </cfRule>
    <cfRule type="expression" dxfId="1911" priority="2036" stopIfTrue="1">
      <formula>IF(OR(FA68="OK"),FALSE,TRUE)</formula>
    </cfRule>
  </conditionalFormatting>
  <conditionalFormatting sqref="EZ68:EZ70">
    <cfRule type="expression" dxfId="1910" priority="2034" stopIfTrue="1">
      <formula>IF(EY$8="判定対象外",TRUE,FALSE)</formula>
    </cfRule>
  </conditionalFormatting>
  <conditionalFormatting sqref="EY68:EY70">
    <cfRule type="expression" dxfId="1909" priority="2033" stopIfTrue="1">
      <formula>IF(EY$8="判定対象外",TRUE,FALSE)</formula>
    </cfRule>
  </conditionalFormatting>
  <conditionalFormatting sqref="FB29:FB32">
    <cfRule type="expression" dxfId="1908" priority="2022" stopIfTrue="1">
      <formula>IF(FC$8="判定対象外",TRUE,FALSE)</formula>
    </cfRule>
  </conditionalFormatting>
  <conditionalFormatting sqref="FE8:FE10">
    <cfRule type="expression" dxfId="1907" priority="2031" stopIfTrue="1">
      <formula>IF(FE8="-",TRUE,FALSE)</formula>
    </cfRule>
    <cfRule type="expression" dxfId="1906" priority="2032" stopIfTrue="1">
      <formula>IF(OR(FE8="OK"),FALSE,TRUE)</formula>
    </cfRule>
  </conditionalFormatting>
  <conditionalFormatting sqref="FB8:FB10">
    <cfRule type="expression" dxfId="1905" priority="2030" stopIfTrue="1">
      <formula>IF(FC$8="判定対象外",TRUE,FALSE)</formula>
    </cfRule>
  </conditionalFormatting>
  <conditionalFormatting sqref="FC8:FC10">
    <cfRule type="expression" dxfId="1904" priority="2029" stopIfTrue="1">
      <formula>IF(FC$8="判定対象外",TRUE,FALSE)</formula>
    </cfRule>
  </conditionalFormatting>
  <conditionalFormatting sqref="FD8:FD10">
    <cfRule type="expression" dxfId="1903" priority="2028" stopIfTrue="1">
      <formula>IF(FC$8="判定対象外",TRUE,FALSE)</formula>
    </cfRule>
  </conditionalFormatting>
  <conditionalFormatting sqref="FE11:FE34 FE71:FE81 FE36:FE56">
    <cfRule type="expression" dxfId="1902" priority="2025" stopIfTrue="1">
      <formula>IF(FE11="-",TRUE,FALSE)</formula>
    </cfRule>
    <cfRule type="expression" dxfId="1901" priority="2026" stopIfTrue="1">
      <formula>IF(OR(FE11="OK"),FALSE,TRUE)</formula>
    </cfRule>
  </conditionalFormatting>
  <conditionalFormatting sqref="FD11:FD34 FD71:FD81 FD36:FD56">
    <cfRule type="expression" dxfId="1900" priority="2024" stopIfTrue="1">
      <formula>IF(FC$8="判定対象外",TRUE,FALSE)</formula>
    </cfRule>
  </conditionalFormatting>
  <conditionalFormatting sqref="FB72:FB81 FB21:FB34 FB36:FB46">
    <cfRule type="expression" dxfId="1899" priority="2023" stopIfTrue="1">
      <formula>IF(FC$8="判定対象外",TRUE,FALSE)</formula>
    </cfRule>
  </conditionalFormatting>
  <conditionalFormatting sqref="FB42:FB44">
    <cfRule type="expression" dxfId="1898" priority="2021" stopIfTrue="1">
      <formula>IF(FC$8="判定対象外",TRUE,FALSE)</formula>
    </cfRule>
  </conditionalFormatting>
  <conditionalFormatting sqref="FB46">
    <cfRule type="expression" dxfId="1897" priority="2020" stopIfTrue="1">
      <formula>IF(FC$8="判定対象外",TRUE,FALSE)</formula>
    </cfRule>
  </conditionalFormatting>
  <conditionalFormatting sqref="FB42:FB44">
    <cfRule type="expression" dxfId="1896" priority="2019" stopIfTrue="1">
      <formula>IF(FC$8="判定対象外",TRUE,FALSE)</formula>
    </cfRule>
  </conditionalFormatting>
  <conditionalFormatting sqref="FB42:FB44">
    <cfRule type="expression" dxfId="1895" priority="2018" stopIfTrue="1">
      <formula>IF(FC$8="判定対象外",TRUE,FALSE)</formula>
    </cfRule>
  </conditionalFormatting>
  <conditionalFormatting sqref="FB42:FB44">
    <cfRule type="expression" dxfId="1894" priority="2017" stopIfTrue="1">
      <formula>IF(FC$8="判定対象外",TRUE,FALSE)</formula>
    </cfRule>
  </conditionalFormatting>
  <conditionalFormatting sqref="FB42:FB44">
    <cfRule type="expression" dxfId="1893" priority="2016" stopIfTrue="1">
      <formula>IF(FC$8="判定対象外",TRUE,FALSE)</formula>
    </cfRule>
  </conditionalFormatting>
  <conditionalFormatting sqref="FB42:FB44">
    <cfRule type="expression" dxfId="1892" priority="2015" stopIfTrue="1">
      <formula>IF(FC$8="判定対象外",TRUE,FALSE)</formula>
    </cfRule>
  </conditionalFormatting>
  <conditionalFormatting sqref="FB42:FB44">
    <cfRule type="expression" dxfId="1891" priority="2014" stopIfTrue="1">
      <formula>IF(FC$8="判定対象外",TRUE,FALSE)</formula>
    </cfRule>
  </conditionalFormatting>
  <conditionalFormatting sqref="FB42:FB44">
    <cfRule type="expression" dxfId="1890" priority="2013" stopIfTrue="1">
      <formula>IF(FC$8="判定対象外",TRUE,FALSE)</formula>
    </cfRule>
  </conditionalFormatting>
  <conditionalFormatting sqref="FB38">
    <cfRule type="expression" dxfId="1889" priority="2027" stopIfTrue="1">
      <formula>IF(#REF!="判定対象外",TRUE,FALSE)</formula>
    </cfRule>
  </conditionalFormatting>
  <conditionalFormatting sqref="FC11:FC34 FC71:FC81 FC36:FC56">
    <cfRule type="expression" dxfId="1888" priority="2012" stopIfTrue="1">
      <formula>IF(FC$8="判定対象外",TRUE,FALSE)</formula>
    </cfRule>
  </conditionalFormatting>
  <conditionalFormatting sqref="FB48">
    <cfRule type="expression" dxfId="1887" priority="2011" stopIfTrue="1">
      <formula>IF(FC$8="判定対象外",TRUE,FALSE)</formula>
    </cfRule>
  </conditionalFormatting>
  <conditionalFormatting sqref="FB51">
    <cfRule type="expression" dxfId="1886" priority="2010" stopIfTrue="1">
      <formula>IF(FC$8="判定対象外",TRUE,FALSE)</formula>
    </cfRule>
  </conditionalFormatting>
  <conditionalFormatting sqref="FB52 FB55 FB70">
    <cfRule type="expression" dxfId="1885" priority="2009" stopIfTrue="1">
      <formula>IF(FC$8="判定対象外",TRUE,FALSE)</formula>
    </cfRule>
  </conditionalFormatting>
  <conditionalFormatting sqref="FB11:FB20">
    <cfRule type="expression" dxfId="1884" priority="2008" stopIfTrue="1">
      <formula>IF(FC$8="判定対象外",TRUE,FALSE)</formula>
    </cfRule>
  </conditionalFormatting>
  <conditionalFormatting sqref="FB16:FB18">
    <cfRule type="expression" dxfId="1883" priority="2007" stopIfTrue="1">
      <formula>IF(FC$8="判定対象外",TRUE,FALSE)</formula>
    </cfRule>
  </conditionalFormatting>
  <conditionalFormatting sqref="FB20">
    <cfRule type="expression" dxfId="1882" priority="2006" stopIfTrue="1">
      <formula>IF(FC$8="判定対象外",TRUE,FALSE)</formula>
    </cfRule>
  </conditionalFormatting>
  <conditionalFormatting sqref="FB16:FB20">
    <cfRule type="expression" dxfId="1881" priority="2005" stopIfTrue="1">
      <formula>IF(FC$8="判定対象外",TRUE,FALSE)</formula>
    </cfRule>
  </conditionalFormatting>
  <conditionalFormatting sqref="FB11:FB20">
    <cfRule type="expression" dxfId="1880" priority="2004" stopIfTrue="1">
      <formula>IF(FC$8="判定対象外",TRUE,FALSE)</formula>
    </cfRule>
  </conditionalFormatting>
  <conditionalFormatting sqref="FB20">
    <cfRule type="expression" dxfId="1879" priority="2002" stopIfTrue="1">
      <formula>IF(FC$8="判定対象外",TRUE,FALSE)</formula>
    </cfRule>
  </conditionalFormatting>
  <conditionalFormatting sqref="FB16:FB20">
    <cfRule type="expression" dxfId="1878" priority="2001" stopIfTrue="1">
      <formula>IF(FC$8="判定対象外",TRUE,FALSE)</formula>
    </cfRule>
  </conditionalFormatting>
  <conditionalFormatting sqref="FB11:FB20">
    <cfRule type="expression" dxfId="1877" priority="2000" stopIfTrue="1">
      <formula>IF(FC$8="判定対象外",TRUE,FALSE)</formula>
    </cfRule>
  </conditionalFormatting>
  <conditionalFormatting sqref="FB16:FB18">
    <cfRule type="expression" dxfId="1876" priority="1999" stopIfTrue="1">
      <formula>IF(FC$8="判定対象外",TRUE,FALSE)</formula>
    </cfRule>
  </conditionalFormatting>
  <conditionalFormatting sqref="FB20">
    <cfRule type="expression" dxfId="1875" priority="1998" stopIfTrue="1">
      <formula>IF(FC$8="判定対象外",TRUE,FALSE)</formula>
    </cfRule>
  </conditionalFormatting>
  <conditionalFormatting sqref="FB16:FB20">
    <cfRule type="expression" dxfId="1874" priority="1997" stopIfTrue="1">
      <formula>IF(FC$8="判定対象外",TRUE,FALSE)</formula>
    </cfRule>
  </conditionalFormatting>
  <conditionalFormatting sqref="FB11:FB13">
    <cfRule type="expression" dxfId="1873" priority="1996" stopIfTrue="1">
      <formula>IF(FC$8="判定対象外",TRUE,FALSE)</formula>
    </cfRule>
  </conditionalFormatting>
  <conditionalFormatting sqref="FB15">
    <cfRule type="expression" dxfId="1872" priority="1995" stopIfTrue="1">
      <formula>IF(FC$8="判定対象外",TRUE,FALSE)</formula>
    </cfRule>
  </conditionalFormatting>
  <conditionalFormatting sqref="FB19">
    <cfRule type="expression" dxfId="1871" priority="1994" stopIfTrue="1">
      <formula>IF(FC$8="判定対象外",TRUE,FALSE)</formula>
    </cfRule>
  </conditionalFormatting>
  <conditionalFormatting sqref="FB20">
    <cfRule type="expression" dxfId="1870" priority="1992" stopIfTrue="1">
      <formula>IF(FC$8="判定対象外",TRUE,FALSE)</formula>
    </cfRule>
  </conditionalFormatting>
  <conditionalFormatting sqref="FB20">
    <cfRule type="expression" dxfId="1869" priority="1991" stopIfTrue="1">
      <formula>IF(FC$8="判定対象外",TRUE,FALSE)</formula>
    </cfRule>
  </conditionalFormatting>
  <conditionalFormatting sqref="FB20">
    <cfRule type="expression" dxfId="1868" priority="1990" stopIfTrue="1">
      <formula>IF(FC$8="判定対象外",TRUE,FALSE)</formula>
    </cfRule>
  </conditionalFormatting>
  <conditionalFormatting sqref="FB13">
    <cfRule type="expression" dxfId="1867" priority="1989" stopIfTrue="1">
      <formula>IF(FC$8="判定対象外",TRUE,FALSE)</formula>
    </cfRule>
  </conditionalFormatting>
  <conditionalFormatting sqref="FB47">
    <cfRule type="expression" dxfId="1866" priority="1988" stopIfTrue="1">
      <formula>IF(FC$8="判定対象外",TRUE,FALSE)</formula>
    </cfRule>
  </conditionalFormatting>
  <conditionalFormatting sqref="FB47">
    <cfRule type="expression" dxfId="1865" priority="1987" stopIfTrue="1">
      <formula>IF(FC$8="判定対象外",TRUE,FALSE)</formula>
    </cfRule>
  </conditionalFormatting>
  <conditionalFormatting sqref="FB49">
    <cfRule type="expression" dxfId="1864" priority="1986" stopIfTrue="1">
      <formula>IF(FC$8="判定対象外",TRUE,FALSE)</formula>
    </cfRule>
  </conditionalFormatting>
  <conditionalFormatting sqref="FB49">
    <cfRule type="expression" dxfId="1863" priority="1985" stopIfTrue="1">
      <formula>IF(FC$8="判定対象外",TRUE,FALSE)</formula>
    </cfRule>
  </conditionalFormatting>
  <conditionalFormatting sqref="FB50">
    <cfRule type="expression" dxfId="1862" priority="1984" stopIfTrue="1">
      <formula>IF(FC$8="判定対象外",TRUE,FALSE)</formula>
    </cfRule>
  </conditionalFormatting>
  <conditionalFormatting sqref="FB50">
    <cfRule type="expression" dxfId="1861" priority="1983" stopIfTrue="1">
      <formula>IF(FC$8="判定対象外",TRUE,FALSE)</formula>
    </cfRule>
  </conditionalFormatting>
  <conditionalFormatting sqref="FB54 FB57 FB69">
    <cfRule type="expression" dxfId="1860" priority="1981" stopIfTrue="1">
      <formula>IF(FC$8="判定対象外",TRUE,FALSE)</formula>
    </cfRule>
  </conditionalFormatting>
  <conditionalFormatting sqref="FE57">
    <cfRule type="expression" dxfId="1859" priority="1979" stopIfTrue="1">
      <formula>IF(FE57="-",TRUE,FALSE)</formula>
    </cfRule>
    <cfRule type="expression" dxfId="1858" priority="1980" stopIfTrue="1">
      <formula>IF(OR(FE57="OK"),FALSE,TRUE)</formula>
    </cfRule>
  </conditionalFormatting>
  <conditionalFormatting sqref="FD57">
    <cfRule type="expression" dxfId="1857" priority="1978" stopIfTrue="1">
      <formula>IF(FC$8="判定対象外",TRUE,FALSE)</formula>
    </cfRule>
  </conditionalFormatting>
  <conditionalFormatting sqref="FC57">
    <cfRule type="expression" dxfId="1856" priority="1977" stopIfTrue="1">
      <formula>IF(FC$8="判定対象外",TRUE,FALSE)</formula>
    </cfRule>
  </conditionalFormatting>
  <conditionalFormatting sqref="FE58:FE64">
    <cfRule type="expression" dxfId="1855" priority="1975" stopIfTrue="1">
      <formula>IF(FE58="-",TRUE,FALSE)</formula>
    </cfRule>
    <cfRule type="expression" dxfId="1854" priority="1976" stopIfTrue="1">
      <formula>IF(OR(FE58="OK"),FALSE,TRUE)</formula>
    </cfRule>
  </conditionalFormatting>
  <conditionalFormatting sqref="FD58:FD64">
    <cfRule type="expression" dxfId="1853" priority="1974" stopIfTrue="1">
      <formula>IF(FC$8="判定対象外",TRUE,FALSE)</formula>
    </cfRule>
  </conditionalFormatting>
  <conditionalFormatting sqref="FC58:FC64">
    <cfRule type="expression" dxfId="1852" priority="1973" stopIfTrue="1">
      <formula>IF(FC$8="判定対象外",TRUE,FALSE)</formula>
    </cfRule>
  </conditionalFormatting>
  <conditionalFormatting sqref="FE65:FE70">
    <cfRule type="expression" dxfId="1851" priority="1971" stopIfTrue="1">
      <formula>IF(FE65="-",TRUE,FALSE)</formula>
    </cfRule>
    <cfRule type="expression" dxfId="1850" priority="1972" stopIfTrue="1">
      <formula>IF(OR(FE65="OK"),FALSE,TRUE)</formula>
    </cfRule>
  </conditionalFormatting>
  <conditionalFormatting sqref="FD65:FD70">
    <cfRule type="expression" dxfId="1849" priority="1970" stopIfTrue="1">
      <formula>IF(FC$8="判定対象外",TRUE,FALSE)</formula>
    </cfRule>
  </conditionalFormatting>
  <conditionalFormatting sqref="FC65:FC70">
    <cfRule type="expression" dxfId="1848" priority="1969" stopIfTrue="1">
      <formula>IF(FC$8="判定対象外",TRUE,FALSE)</formula>
    </cfRule>
  </conditionalFormatting>
  <conditionalFormatting sqref="FB58">
    <cfRule type="expression" dxfId="1847" priority="1958" stopIfTrue="1">
      <formula>IF(FC$8="判定対象外",TRUE,FALSE)</formula>
    </cfRule>
  </conditionalFormatting>
  <conditionalFormatting sqref="ET58">
    <cfRule type="expression" dxfId="1846" priority="1968" stopIfTrue="1">
      <formula>IF(EU$8="判定対象外",TRUE,FALSE)</formula>
    </cfRule>
  </conditionalFormatting>
  <conditionalFormatting sqref="EW58">
    <cfRule type="expression" dxfId="1845" priority="1966" stopIfTrue="1">
      <formula>IF(EW58="-",TRUE,FALSE)</formula>
    </cfRule>
    <cfRule type="expression" dxfId="1844" priority="1967" stopIfTrue="1">
      <formula>IF(OR(EW58="OK"),FALSE,TRUE)</formula>
    </cfRule>
  </conditionalFormatting>
  <conditionalFormatting sqref="EV58">
    <cfRule type="expression" dxfId="1843" priority="1965" stopIfTrue="1">
      <formula>IF(EU$8="判定対象外",TRUE,FALSE)</formula>
    </cfRule>
  </conditionalFormatting>
  <conditionalFormatting sqref="EU58">
    <cfRule type="expression" dxfId="1842" priority="1964" stopIfTrue="1">
      <formula>IF(EU$8="判定対象外",TRUE,FALSE)</formula>
    </cfRule>
  </conditionalFormatting>
  <conditionalFormatting sqref="EX58">
    <cfRule type="expression" dxfId="1841" priority="1963" stopIfTrue="1">
      <formula>IF(EY$8="判定対象外",TRUE,FALSE)</formula>
    </cfRule>
  </conditionalFormatting>
  <conditionalFormatting sqref="FA58">
    <cfRule type="expression" dxfId="1840" priority="1961" stopIfTrue="1">
      <formula>IF(FA58="-",TRUE,FALSE)</formula>
    </cfRule>
    <cfRule type="expression" dxfId="1839" priority="1962" stopIfTrue="1">
      <formula>IF(OR(FA58="OK"),FALSE,TRUE)</formula>
    </cfRule>
  </conditionalFormatting>
  <conditionalFormatting sqref="EZ58">
    <cfRule type="expression" dxfId="1838" priority="1960" stopIfTrue="1">
      <formula>IF(EY$8="判定対象外",TRUE,FALSE)</formula>
    </cfRule>
  </conditionalFormatting>
  <conditionalFormatting sqref="EY58">
    <cfRule type="expression" dxfId="1837" priority="1959" stopIfTrue="1">
      <formula>IF(EY$8="判定対象外",TRUE,FALSE)</formula>
    </cfRule>
  </conditionalFormatting>
  <conditionalFormatting sqref="EX59">
    <cfRule type="expression" dxfId="1836" priority="1952" stopIfTrue="1">
      <formula>IF(EY$8="判定対象外",TRUE,FALSE)</formula>
    </cfRule>
  </conditionalFormatting>
  <conditionalFormatting sqref="FA59">
    <cfRule type="expression" dxfId="1835" priority="1950" stopIfTrue="1">
      <formula>IF(FA59="-",TRUE,FALSE)</formula>
    </cfRule>
    <cfRule type="expression" dxfId="1834" priority="1951" stopIfTrue="1">
      <formula>IF(OR(FA59="OK"),FALSE,TRUE)</formula>
    </cfRule>
  </conditionalFormatting>
  <conditionalFormatting sqref="EZ59">
    <cfRule type="expression" dxfId="1833" priority="1949" stopIfTrue="1">
      <formula>IF(EY$8="判定対象外",TRUE,FALSE)</formula>
    </cfRule>
  </conditionalFormatting>
  <conditionalFormatting sqref="EY59">
    <cfRule type="expression" dxfId="1832" priority="1948" stopIfTrue="1">
      <formula>IF(EY$8="判定対象外",TRUE,FALSE)</formula>
    </cfRule>
  </conditionalFormatting>
  <conditionalFormatting sqref="EX60">
    <cfRule type="expression" dxfId="1831" priority="1941" stopIfTrue="1">
      <formula>IF(EY$8="判定対象外",TRUE,FALSE)</formula>
    </cfRule>
  </conditionalFormatting>
  <conditionalFormatting sqref="FA60">
    <cfRule type="expression" dxfId="1830" priority="1939" stopIfTrue="1">
      <formula>IF(FA60="-",TRUE,FALSE)</formula>
    </cfRule>
    <cfRule type="expression" dxfId="1829" priority="1940" stopIfTrue="1">
      <formula>IF(OR(FA60="OK"),FALSE,TRUE)</formula>
    </cfRule>
  </conditionalFormatting>
  <conditionalFormatting sqref="EZ60">
    <cfRule type="expression" dxfId="1828" priority="1938" stopIfTrue="1">
      <formula>IF(EY$8="判定対象外",TRUE,FALSE)</formula>
    </cfRule>
  </conditionalFormatting>
  <conditionalFormatting sqref="EY60">
    <cfRule type="expression" dxfId="1827" priority="1937" stopIfTrue="1">
      <formula>IF(EY$8="判定対象外",TRUE,FALSE)</formula>
    </cfRule>
  </conditionalFormatting>
  <conditionalFormatting sqref="EX61">
    <cfRule type="expression" dxfId="1826" priority="1930" stopIfTrue="1">
      <formula>IF(EY$8="判定対象外",TRUE,FALSE)</formula>
    </cfRule>
  </conditionalFormatting>
  <conditionalFormatting sqref="FA61">
    <cfRule type="expression" dxfId="1825" priority="1928" stopIfTrue="1">
      <formula>IF(FA61="-",TRUE,FALSE)</formula>
    </cfRule>
    <cfRule type="expression" dxfId="1824" priority="1929" stopIfTrue="1">
      <formula>IF(OR(FA61="OK"),FALSE,TRUE)</formula>
    </cfRule>
  </conditionalFormatting>
  <conditionalFormatting sqref="EZ61">
    <cfRule type="expression" dxfId="1823" priority="1927" stopIfTrue="1">
      <formula>IF(EY$8="判定対象外",TRUE,FALSE)</formula>
    </cfRule>
  </conditionalFormatting>
  <conditionalFormatting sqref="EY61">
    <cfRule type="expression" dxfId="1822" priority="1926" stopIfTrue="1">
      <formula>IF(EY$8="判定対象外",TRUE,FALSE)</formula>
    </cfRule>
  </conditionalFormatting>
  <conditionalFormatting sqref="EX62">
    <cfRule type="expression" dxfId="1821" priority="1919" stopIfTrue="1">
      <formula>IF(EY$8="判定対象外",TRUE,FALSE)</formula>
    </cfRule>
  </conditionalFormatting>
  <conditionalFormatting sqref="FA62">
    <cfRule type="expression" dxfId="1820" priority="1917" stopIfTrue="1">
      <formula>IF(FA62="-",TRUE,FALSE)</formula>
    </cfRule>
    <cfRule type="expression" dxfId="1819" priority="1918" stopIfTrue="1">
      <formula>IF(OR(FA62="OK"),FALSE,TRUE)</formula>
    </cfRule>
  </conditionalFormatting>
  <conditionalFormatting sqref="EZ62">
    <cfRule type="expression" dxfId="1818" priority="1916" stopIfTrue="1">
      <formula>IF(EY$8="判定対象外",TRUE,FALSE)</formula>
    </cfRule>
  </conditionalFormatting>
  <conditionalFormatting sqref="EY62">
    <cfRule type="expression" dxfId="1817" priority="1915" stopIfTrue="1">
      <formula>IF(EY$8="判定対象外",TRUE,FALSE)</formula>
    </cfRule>
  </conditionalFormatting>
  <conditionalFormatting sqref="EX63">
    <cfRule type="expression" dxfId="1816" priority="1908" stopIfTrue="1">
      <formula>IF(EY$8="判定対象外",TRUE,FALSE)</formula>
    </cfRule>
  </conditionalFormatting>
  <conditionalFormatting sqref="FA63">
    <cfRule type="expression" dxfId="1815" priority="1906" stopIfTrue="1">
      <formula>IF(FA63="-",TRUE,FALSE)</formula>
    </cfRule>
    <cfRule type="expression" dxfId="1814" priority="1907" stopIfTrue="1">
      <formula>IF(OR(FA63="OK"),FALSE,TRUE)</formula>
    </cfRule>
  </conditionalFormatting>
  <conditionalFormatting sqref="EZ63">
    <cfRule type="expression" dxfId="1813" priority="1905" stopIfTrue="1">
      <formula>IF(EY$8="判定対象外",TRUE,FALSE)</formula>
    </cfRule>
  </conditionalFormatting>
  <conditionalFormatting sqref="EY63">
    <cfRule type="expression" dxfId="1812" priority="1904" stopIfTrue="1">
      <formula>IF(EY$8="判定対象外",TRUE,FALSE)</formula>
    </cfRule>
  </conditionalFormatting>
  <conditionalFormatting sqref="EX64">
    <cfRule type="expression" dxfId="1811" priority="1897" stopIfTrue="1">
      <formula>IF(EY$8="判定対象外",TRUE,FALSE)</formula>
    </cfRule>
  </conditionalFormatting>
  <conditionalFormatting sqref="FA64">
    <cfRule type="expression" dxfId="1810" priority="1895" stopIfTrue="1">
      <formula>IF(FA64="-",TRUE,FALSE)</formula>
    </cfRule>
    <cfRule type="expression" dxfId="1809" priority="1896" stopIfTrue="1">
      <formula>IF(OR(FA64="OK"),FALSE,TRUE)</formula>
    </cfRule>
  </conditionalFormatting>
  <conditionalFormatting sqref="EZ64">
    <cfRule type="expression" dxfId="1808" priority="1894" stopIfTrue="1">
      <formula>IF(EY$8="判定対象外",TRUE,FALSE)</formula>
    </cfRule>
  </conditionalFormatting>
  <conditionalFormatting sqref="EY64">
    <cfRule type="expression" dxfId="1807" priority="1893" stopIfTrue="1">
      <formula>IF(EY$8="判定対象外",TRUE,FALSE)</formula>
    </cfRule>
  </conditionalFormatting>
  <conditionalFormatting sqref="EX65">
    <cfRule type="expression" dxfId="1806" priority="1886" stopIfTrue="1">
      <formula>IF(EY$8="判定対象外",TRUE,FALSE)</formula>
    </cfRule>
  </conditionalFormatting>
  <conditionalFormatting sqref="FA65">
    <cfRule type="expression" dxfId="1805" priority="1884" stopIfTrue="1">
      <formula>IF(FA65="-",TRUE,FALSE)</formula>
    </cfRule>
    <cfRule type="expression" dxfId="1804" priority="1885" stopIfTrue="1">
      <formula>IF(OR(FA65="OK"),FALSE,TRUE)</formula>
    </cfRule>
  </conditionalFormatting>
  <conditionalFormatting sqref="EZ65">
    <cfRule type="expression" dxfId="1803" priority="1883" stopIfTrue="1">
      <formula>IF(EY$8="判定対象外",TRUE,FALSE)</formula>
    </cfRule>
  </conditionalFormatting>
  <conditionalFormatting sqref="EY65">
    <cfRule type="expression" dxfId="1802" priority="1882" stopIfTrue="1">
      <formula>IF(EY$8="判定対象外",TRUE,FALSE)</formula>
    </cfRule>
  </conditionalFormatting>
  <conditionalFormatting sqref="ET67">
    <cfRule type="expression" dxfId="1801" priority="1880" stopIfTrue="1">
      <formula>IF(EU$8="判定対象外",TRUE,FALSE)</formula>
    </cfRule>
  </conditionalFormatting>
  <conditionalFormatting sqref="EW67">
    <cfRule type="expression" dxfId="1800" priority="1878" stopIfTrue="1">
      <formula>IF(EW67="-",TRUE,FALSE)</formula>
    </cfRule>
    <cfRule type="expression" dxfId="1799" priority="1879" stopIfTrue="1">
      <formula>IF(OR(EW67="OK"),FALSE,TRUE)</formula>
    </cfRule>
  </conditionalFormatting>
  <conditionalFormatting sqref="EV67">
    <cfRule type="expression" dxfId="1798" priority="1877" stopIfTrue="1">
      <formula>IF(EU$8="判定対象外",TRUE,FALSE)</formula>
    </cfRule>
  </conditionalFormatting>
  <conditionalFormatting sqref="EU67">
    <cfRule type="expression" dxfId="1797" priority="1876" stopIfTrue="1">
      <formula>IF(EU$8="判定対象外",TRUE,FALSE)</formula>
    </cfRule>
  </conditionalFormatting>
  <conditionalFormatting sqref="FA67">
    <cfRule type="expression" dxfId="1796" priority="1874" stopIfTrue="1">
      <formula>IF(FA67="-",TRUE,FALSE)</formula>
    </cfRule>
    <cfRule type="expression" dxfId="1795" priority="1875" stopIfTrue="1">
      <formula>IF(OR(FA67="OK"),FALSE,TRUE)</formula>
    </cfRule>
  </conditionalFormatting>
  <conditionalFormatting sqref="EZ67">
    <cfRule type="expression" dxfId="1794" priority="1873" stopIfTrue="1">
      <formula>IF(EY$8="判定対象外",TRUE,FALSE)</formula>
    </cfRule>
  </conditionalFormatting>
  <conditionalFormatting sqref="EY67">
    <cfRule type="expression" dxfId="1793" priority="1872" stopIfTrue="1">
      <formula>IF(EY$8="判定対象外",TRUE,FALSE)</formula>
    </cfRule>
  </conditionalFormatting>
  <conditionalFormatting sqref="EX67">
    <cfRule type="expression" dxfId="1792" priority="1871" stopIfTrue="1">
      <formula>IF(EY$8="判定対象外",TRUE,FALSE)</formula>
    </cfRule>
  </conditionalFormatting>
  <conditionalFormatting sqref="EX66">
    <cfRule type="expression" dxfId="1791" priority="1864" stopIfTrue="1">
      <formula>IF(EY$8="判定対象外",TRUE,FALSE)</formula>
    </cfRule>
  </conditionalFormatting>
  <conditionalFormatting sqref="FA66">
    <cfRule type="expression" dxfId="1790" priority="1862" stopIfTrue="1">
      <formula>IF(FA66="-",TRUE,FALSE)</formula>
    </cfRule>
    <cfRule type="expression" dxfId="1789" priority="1863" stopIfTrue="1">
      <formula>IF(OR(FA66="OK"),FALSE,TRUE)</formula>
    </cfRule>
  </conditionalFormatting>
  <conditionalFormatting sqref="EZ66">
    <cfRule type="expression" dxfId="1788" priority="1861" stopIfTrue="1">
      <formula>IF(EY$8="判定対象外",TRUE,FALSE)</formula>
    </cfRule>
  </conditionalFormatting>
  <conditionalFormatting sqref="EY66">
    <cfRule type="expression" dxfId="1787" priority="1860" stopIfTrue="1">
      <formula>IF(EY$8="判定対象外",TRUE,FALSE)</formula>
    </cfRule>
  </conditionalFormatting>
  <conditionalFormatting sqref="FN69">
    <cfRule type="expression" dxfId="1786" priority="1496" stopIfTrue="1">
      <formula>IF(FO$8="判定対象外",TRUE,FALSE)</formula>
    </cfRule>
  </conditionalFormatting>
  <conditionalFormatting sqref="ET68">
    <cfRule type="expression" dxfId="1785" priority="1858" stopIfTrue="1">
      <formula>IF(EU$8="判定対象外",TRUE,FALSE)</formula>
    </cfRule>
  </conditionalFormatting>
  <conditionalFormatting sqref="EW68">
    <cfRule type="expression" dxfId="1784" priority="1856" stopIfTrue="1">
      <formula>IF(EW68="-",TRUE,FALSE)</formula>
    </cfRule>
    <cfRule type="expression" dxfId="1783" priority="1857" stopIfTrue="1">
      <formula>IF(OR(EW68="OK"),FALSE,TRUE)</formula>
    </cfRule>
  </conditionalFormatting>
  <conditionalFormatting sqref="EV68">
    <cfRule type="expression" dxfId="1782" priority="1855" stopIfTrue="1">
      <formula>IF(EU$8="判定対象外",TRUE,FALSE)</formula>
    </cfRule>
  </conditionalFormatting>
  <conditionalFormatting sqref="EU68">
    <cfRule type="expression" dxfId="1781" priority="1854" stopIfTrue="1">
      <formula>IF(EU$8="判定対象外",TRUE,FALSE)</formula>
    </cfRule>
  </conditionalFormatting>
  <conditionalFormatting sqref="FA68">
    <cfRule type="expression" dxfId="1780" priority="1852" stopIfTrue="1">
      <formula>IF(FA68="-",TRUE,FALSE)</formula>
    </cfRule>
    <cfRule type="expression" dxfId="1779" priority="1853" stopIfTrue="1">
      <formula>IF(OR(FA68="OK"),FALSE,TRUE)</formula>
    </cfRule>
  </conditionalFormatting>
  <conditionalFormatting sqref="EZ68">
    <cfRule type="expression" dxfId="1778" priority="1851" stopIfTrue="1">
      <formula>IF(EY$8="判定対象外",TRUE,FALSE)</formula>
    </cfRule>
  </conditionalFormatting>
  <conditionalFormatting sqref="EY68">
    <cfRule type="expression" dxfId="1777" priority="1850" stopIfTrue="1">
      <formula>IF(EY$8="判定対象外",TRUE,FALSE)</formula>
    </cfRule>
  </conditionalFormatting>
  <conditionalFormatting sqref="ET67">
    <cfRule type="expression" dxfId="1776" priority="1847" stopIfTrue="1">
      <formula>IF(EU$8="判定対象外",TRUE,FALSE)</formula>
    </cfRule>
  </conditionalFormatting>
  <conditionalFormatting sqref="EW67">
    <cfRule type="expression" dxfId="1775" priority="1845" stopIfTrue="1">
      <formula>IF(EW67="-",TRUE,FALSE)</formula>
    </cfRule>
    <cfRule type="expression" dxfId="1774" priority="1846" stopIfTrue="1">
      <formula>IF(OR(EW67="OK"),FALSE,TRUE)</formula>
    </cfRule>
  </conditionalFormatting>
  <conditionalFormatting sqref="EV67">
    <cfRule type="expression" dxfId="1773" priority="1844" stopIfTrue="1">
      <formula>IF(EU$8="判定対象外",TRUE,FALSE)</formula>
    </cfRule>
  </conditionalFormatting>
  <conditionalFormatting sqref="EU67">
    <cfRule type="expression" dxfId="1772" priority="1843" stopIfTrue="1">
      <formula>IF(EU$8="判定対象外",TRUE,FALSE)</formula>
    </cfRule>
  </conditionalFormatting>
  <conditionalFormatting sqref="EX67">
    <cfRule type="expression" dxfId="1771" priority="1842" stopIfTrue="1">
      <formula>IF(EY$8="判定対象外",TRUE,FALSE)</formula>
    </cfRule>
  </conditionalFormatting>
  <conditionalFormatting sqref="FA67">
    <cfRule type="expression" dxfId="1770" priority="1840" stopIfTrue="1">
      <formula>IF(FA67="-",TRUE,FALSE)</formula>
    </cfRule>
    <cfRule type="expression" dxfId="1769" priority="1841" stopIfTrue="1">
      <formula>IF(OR(FA67="OK"),FALSE,TRUE)</formula>
    </cfRule>
  </conditionalFormatting>
  <conditionalFormatting sqref="EZ67">
    <cfRule type="expression" dxfId="1768" priority="1839" stopIfTrue="1">
      <formula>IF(EY$8="判定対象外",TRUE,FALSE)</formula>
    </cfRule>
  </conditionalFormatting>
  <conditionalFormatting sqref="EY67">
    <cfRule type="expression" dxfId="1767" priority="1838" stopIfTrue="1">
      <formula>IF(EY$8="判定対象外",TRUE,FALSE)</formula>
    </cfRule>
  </conditionalFormatting>
  <conditionalFormatting sqref="FB67">
    <cfRule type="expression" dxfId="1766" priority="1837" stopIfTrue="1">
      <formula>IF(FC$8="判定対象外",TRUE,FALSE)</formula>
    </cfRule>
  </conditionalFormatting>
  <conditionalFormatting sqref="FN66">
    <cfRule type="expression" dxfId="1765" priority="1543" stopIfTrue="1">
      <formula>IF(FO$8="判定対象外",TRUE,FALSE)</formula>
    </cfRule>
  </conditionalFormatting>
  <conditionalFormatting sqref="FF66">
    <cfRule type="expression" dxfId="1764" priority="1553" stopIfTrue="1">
      <formula>IF(FG$8="判定対象外",TRUE,FALSE)</formula>
    </cfRule>
  </conditionalFormatting>
  <conditionalFormatting sqref="FI66">
    <cfRule type="expression" dxfId="1763" priority="1551" stopIfTrue="1">
      <formula>IF(FI66="-",TRUE,FALSE)</formula>
    </cfRule>
    <cfRule type="expression" dxfId="1762" priority="1552" stopIfTrue="1">
      <formula>IF(OR(FI66="OK"),FALSE,TRUE)</formula>
    </cfRule>
  </conditionalFormatting>
  <conditionalFormatting sqref="FH66">
    <cfRule type="expression" dxfId="1761" priority="1550" stopIfTrue="1">
      <formula>IF(FG$8="判定対象外",TRUE,FALSE)</formula>
    </cfRule>
  </conditionalFormatting>
  <conditionalFormatting sqref="FG66">
    <cfRule type="expression" dxfId="1760" priority="1549" stopIfTrue="1">
      <formula>IF(FG$8="判定対象外",TRUE,FALSE)</formula>
    </cfRule>
  </conditionalFormatting>
  <conditionalFormatting sqref="FN68">
    <cfRule type="expression" dxfId="1759" priority="1532" stopIfTrue="1">
      <formula>IF(FO$8="判定対象外",TRUE,FALSE)</formula>
    </cfRule>
  </conditionalFormatting>
  <conditionalFormatting sqref="FN65">
    <cfRule type="expression" dxfId="1758" priority="1565" stopIfTrue="1">
      <formula>IF(FO$8="判定対象外",TRUE,FALSE)</formula>
    </cfRule>
  </conditionalFormatting>
  <conditionalFormatting sqref="FF65">
    <cfRule type="expression" dxfId="1757" priority="1575" stopIfTrue="1">
      <formula>IF(FG$8="判定対象外",TRUE,FALSE)</formula>
    </cfRule>
  </conditionalFormatting>
  <conditionalFormatting sqref="FI65">
    <cfRule type="expression" dxfId="1756" priority="1573" stopIfTrue="1">
      <formula>IF(FI65="-",TRUE,FALSE)</formula>
    </cfRule>
    <cfRule type="expression" dxfId="1755" priority="1574" stopIfTrue="1">
      <formula>IF(OR(FI65="OK"),FALSE,TRUE)</formula>
    </cfRule>
  </conditionalFormatting>
  <conditionalFormatting sqref="FH65">
    <cfRule type="expression" dxfId="1754" priority="1572" stopIfTrue="1">
      <formula>IF(FG$8="判定対象外",TRUE,FALSE)</formula>
    </cfRule>
  </conditionalFormatting>
  <conditionalFormatting sqref="FG65">
    <cfRule type="expression" dxfId="1753" priority="1571" stopIfTrue="1">
      <formula>IF(FG$8="判定対象外",TRUE,FALSE)</formula>
    </cfRule>
  </conditionalFormatting>
  <conditionalFormatting sqref="FN67">
    <cfRule type="expression" dxfId="1752" priority="1554" stopIfTrue="1">
      <formula>IF(FO$8="判定対象外",TRUE,FALSE)</formula>
    </cfRule>
  </conditionalFormatting>
  <conditionalFormatting sqref="FN64">
    <cfRule type="expression" dxfId="1751" priority="1576" stopIfTrue="1">
      <formula>IF(FO$8="判定対象外",TRUE,FALSE)</formula>
    </cfRule>
  </conditionalFormatting>
  <conditionalFormatting sqref="FF64">
    <cfRule type="expression" dxfId="1750" priority="1586" stopIfTrue="1">
      <formula>IF(FG$8="判定対象外",TRUE,FALSE)</formula>
    </cfRule>
  </conditionalFormatting>
  <conditionalFormatting sqref="FI64">
    <cfRule type="expression" dxfId="1749" priority="1584" stopIfTrue="1">
      <formula>IF(FI64="-",TRUE,FALSE)</formula>
    </cfRule>
    <cfRule type="expression" dxfId="1748" priority="1585" stopIfTrue="1">
      <formula>IF(OR(FI64="OK"),FALSE,TRUE)</formula>
    </cfRule>
  </conditionalFormatting>
  <conditionalFormatting sqref="FH64">
    <cfRule type="expression" dxfId="1747" priority="1583" stopIfTrue="1">
      <formula>IF(FG$8="判定対象外",TRUE,FALSE)</formula>
    </cfRule>
  </conditionalFormatting>
  <conditionalFormatting sqref="FG64">
    <cfRule type="expression" dxfId="1746" priority="1582" stopIfTrue="1">
      <formula>IF(FG$8="判定対象外",TRUE,FALSE)</formula>
    </cfRule>
  </conditionalFormatting>
  <conditionalFormatting sqref="FN63">
    <cfRule type="expression" dxfId="1745" priority="1587" stopIfTrue="1">
      <formula>IF(FO$8="判定対象外",TRUE,FALSE)</formula>
    </cfRule>
  </conditionalFormatting>
  <conditionalFormatting sqref="FF63">
    <cfRule type="expression" dxfId="1744" priority="1597" stopIfTrue="1">
      <formula>IF(FG$8="判定対象外",TRUE,FALSE)</formula>
    </cfRule>
  </conditionalFormatting>
  <conditionalFormatting sqref="FI63">
    <cfRule type="expression" dxfId="1743" priority="1595" stopIfTrue="1">
      <formula>IF(FI63="-",TRUE,FALSE)</formula>
    </cfRule>
    <cfRule type="expression" dxfId="1742" priority="1596" stopIfTrue="1">
      <formula>IF(OR(FI63="OK"),FALSE,TRUE)</formula>
    </cfRule>
  </conditionalFormatting>
  <conditionalFormatting sqref="FH63">
    <cfRule type="expression" dxfId="1741" priority="1594" stopIfTrue="1">
      <formula>IF(FG$8="判定対象外",TRUE,FALSE)</formula>
    </cfRule>
  </conditionalFormatting>
  <conditionalFormatting sqref="FG63">
    <cfRule type="expression" dxfId="1740" priority="1593" stopIfTrue="1">
      <formula>IF(FG$8="判定対象外",TRUE,FALSE)</formula>
    </cfRule>
  </conditionalFormatting>
  <conditionalFormatting sqref="FN62">
    <cfRule type="expression" dxfId="1739" priority="1598" stopIfTrue="1">
      <formula>IF(FO$8="判定対象外",TRUE,FALSE)</formula>
    </cfRule>
  </conditionalFormatting>
  <conditionalFormatting sqref="FF62">
    <cfRule type="expression" dxfId="1738" priority="1608" stopIfTrue="1">
      <formula>IF(FG$8="判定対象外",TRUE,FALSE)</formula>
    </cfRule>
  </conditionalFormatting>
  <conditionalFormatting sqref="FI62">
    <cfRule type="expression" dxfId="1737" priority="1606" stopIfTrue="1">
      <formula>IF(FI62="-",TRUE,FALSE)</formula>
    </cfRule>
    <cfRule type="expression" dxfId="1736" priority="1607" stopIfTrue="1">
      <formula>IF(OR(FI62="OK"),FALSE,TRUE)</formula>
    </cfRule>
  </conditionalFormatting>
  <conditionalFormatting sqref="FH62">
    <cfRule type="expression" dxfId="1735" priority="1605" stopIfTrue="1">
      <formula>IF(FG$8="判定対象外",TRUE,FALSE)</formula>
    </cfRule>
  </conditionalFormatting>
  <conditionalFormatting sqref="FG62">
    <cfRule type="expression" dxfId="1734" priority="1604" stopIfTrue="1">
      <formula>IF(FG$8="判定対象外",TRUE,FALSE)</formula>
    </cfRule>
  </conditionalFormatting>
  <conditionalFormatting sqref="FN61">
    <cfRule type="expression" dxfId="1733" priority="1609" stopIfTrue="1">
      <formula>IF(FO$8="判定対象外",TRUE,FALSE)</formula>
    </cfRule>
  </conditionalFormatting>
  <conditionalFormatting sqref="FF61">
    <cfRule type="expression" dxfId="1732" priority="1619" stopIfTrue="1">
      <formula>IF(FG$8="判定対象外",TRUE,FALSE)</formula>
    </cfRule>
  </conditionalFormatting>
  <conditionalFormatting sqref="FI61">
    <cfRule type="expression" dxfId="1731" priority="1617" stopIfTrue="1">
      <formula>IF(FI61="-",TRUE,FALSE)</formula>
    </cfRule>
    <cfRule type="expression" dxfId="1730" priority="1618" stopIfTrue="1">
      <formula>IF(OR(FI61="OK"),FALSE,TRUE)</formula>
    </cfRule>
  </conditionalFormatting>
  <conditionalFormatting sqref="FH61">
    <cfRule type="expression" dxfId="1729" priority="1616" stopIfTrue="1">
      <formula>IF(FG$8="判定対象外",TRUE,FALSE)</formula>
    </cfRule>
  </conditionalFormatting>
  <conditionalFormatting sqref="FG61">
    <cfRule type="expression" dxfId="1728" priority="1615" stopIfTrue="1">
      <formula>IF(FG$8="判定対象外",TRUE,FALSE)</formula>
    </cfRule>
  </conditionalFormatting>
  <conditionalFormatting sqref="FN60">
    <cfRule type="expression" dxfId="1727" priority="1620" stopIfTrue="1">
      <formula>IF(FO$8="判定対象外",TRUE,FALSE)</formula>
    </cfRule>
  </conditionalFormatting>
  <conditionalFormatting sqref="FN53 FN56 FN68 FN71">
    <cfRule type="expression" dxfId="1726" priority="1666" stopIfTrue="1">
      <formula>IF(FO$8="判定対象外",TRUE,FALSE)</formula>
    </cfRule>
  </conditionalFormatting>
  <conditionalFormatting sqref="FF60">
    <cfRule type="expression" dxfId="1725" priority="1630" stopIfTrue="1">
      <formula>IF(FG$8="判定対象外",TRUE,FALSE)</formula>
    </cfRule>
  </conditionalFormatting>
  <conditionalFormatting sqref="FI60">
    <cfRule type="expression" dxfId="1724" priority="1628" stopIfTrue="1">
      <formula>IF(FI60="-",TRUE,FALSE)</formula>
    </cfRule>
    <cfRule type="expression" dxfId="1723" priority="1629" stopIfTrue="1">
      <formula>IF(OR(FI60="OK"),FALSE,TRUE)</formula>
    </cfRule>
  </conditionalFormatting>
  <conditionalFormatting sqref="FH60">
    <cfRule type="expression" dxfId="1722" priority="1627" stopIfTrue="1">
      <formula>IF(FG$8="判定対象外",TRUE,FALSE)</formula>
    </cfRule>
  </conditionalFormatting>
  <conditionalFormatting sqref="FG60">
    <cfRule type="expression" dxfId="1721" priority="1626" stopIfTrue="1">
      <formula>IF(FG$8="判定対象外",TRUE,FALSE)</formula>
    </cfRule>
  </conditionalFormatting>
  <conditionalFormatting sqref="FN19">
    <cfRule type="expression" dxfId="1720" priority="1677" stopIfTrue="1">
      <formula>IF(FO$8="判定対象外",TRUE,FALSE)</formula>
    </cfRule>
  </conditionalFormatting>
  <conditionalFormatting sqref="FN59">
    <cfRule type="expression" dxfId="1719" priority="1631" stopIfTrue="1">
      <formula>IF(FO$8="判定対象外",TRUE,FALSE)</formula>
    </cfRule>
  </conditionalFormatting>
  <conditionalFormatting sqref="FF59">
    <cfRule type="expression" dxfId="1718" priority="1641" stopIfTrue="1">
      <formula>IF(FG$8="判定対象外",TRUE,FALSE)</formula>
    </cfRule>
  </conditionalFormatting>
  <conditionalFormatting sqref="FI59">
    <cfRule type="expression" dxfId="1717" priority="1639" stopIfTrue="1">
      <formula>IF(FI59="-",TRUE,FALSE)</formula>
    </cfRule>
    <cfRule type="expression" dxfId="1716" priority="1640" stopIfTrue="1">
      <formula>IF(OR(FI59="OK"),FALSE,TRUE)</formula>
    </cfRule>
  </conditionalFormatting>
  <conditionalFormatting sqref="FH59">
    <cfRule type="expression" dxfId="1715" priority="1638" stopIfTrue="1">
      <formula>IF(FG$8="判定対象外",TRUE,FALSE)</formula>
    </cfRule>
  </conditionalFormatting>
  <conditionalFormatting sqref="FG59">
    <cfRule type="expression" dxfId="1714" priority="1637" stopIfTrue="1">
      <formula>IF(FG$8="判定対象外",TRUE,FALSE)</formula>
    </cfRule>
  </conditionalFormatting>
  <conditionalFormatting sqref="FN16:FN18">
    <cfRule type="expression" dxfId="1713" priority="1687" stopIfTrue="1">
      <formula>IF(FO$8="判定対象外",TRUE,FALSE)</formula>
    </cfRule>
  </conditionalFormatting>
  <conditionalFormatting sqref="FI8:FI10">
    <cfRule type="expression" dxfId="1712" priority="1835" stopIfTrue="1">
      <formula>IF(FI8="-",TRUE,FALSE)</formula>
    </cfRule>
    <cfRule type="expression" dxfId="1711" priority="1836" stopIfTrue="1">
      <formula>IF(OR(FI8="OK"),FALSE,TRUE)</formula>
    </cfRule>
  </conditionalFormatting>
  <conditionalFormatting sqref="FF8:FF10">
    <cfRule type="expression" dxfId="1710" priority="1834" stopIfTrue="1">
      <formula>IF(FG$8="判定対象外",TRUE,FALSE)</formula>
    </cfRule>
  </conditionalFormatting>
  <conditionalFormatting sqref="FG8:FG10">
    <cfRule type="expression" dxfId="1709" priority="1833" stopIfTrue="1">
      <formula>IF(FG$8="判定対象外",TRUE,FALSE)</formula>
    </cfRule>
  </conditionalFormatting>
  <conditionalFormatting sqref="FH8:FH10">
    <cfRule type="expression" dxfId="1708" priority="1832" stopIfTrue="1">
      <formula>IF(FG$8="判定対象外",TRUE,FALSE)</formula>
    </cfRule>
  </conditionalFormatting>
  <conditionalFormatting sqref="FI11:FI34 FI71:FI81 FI36:FI56">
    <cfRule type="expression" dxfId="1707" priority="1829" stopIfTrue="1">
      <formula>IF(FI11="-",TRUE,FALSE)</formula>
    </cfRule>
    <cfRule type="expression" dxfId="1706" priority="1830" stopIfTrue="1">
      <formula>IF(OR(FI11="OK"),FALSE,TRUE)</formula>
    </cfRule>
  </conditionalFormatting>
  <conditionalFormatting sqref="FH11:FH34 FH71:FH81 FH36:FH56">
    <cfRule type="expression" dxfId="1705" priority="1828" stopIfTrue="1">
      <formula>IF(FG$8="判定対象外",TRUE,FALSE)</formula>
    </cfRule>
  </conditionalFormatting>
  <conditionalFormatting sqref="FF72:FF81 FF21:FF34 FF36:FF46">
    <cfRule type="expression" dxfId="1704" priority="1827" stopIfTrue="1">
      <formula>IF(FG$8="判定対象外",TRUE,FALSE)</formula>
    </cfRule>
  </conditionalFormatting>
  <conditionalFormatting sqref="FF29:FF32">
    <cfRule type="expression" dxfId="1703" priority="1826" stopIfTrue="1">
      <formula>IF(FG$8="判定対象外",TRUE,FALSE)</formula>
    </cfRule>
  </conditionalFormatting>
  <conditionalFormatting sqref="FF42:FF44">
    <cfRule type="expression" dxfId="1702" priority="1825" stopIfTrue="1">
      <formula>IF(FG$8="判定対象外",TRUE,FALSE)</formula>
    </cfRule>
  </conditionalFormatting>
  <conditionalFormatting sqref="FF46">
    <cfRule type="expression" dxfId="1701" priority="1824" stopIfTrue="1">
      <formula>IF(FG$8="判定対象外",TRUE,FALSE)</formula>
    </cfRule>
  </conditionalFormatting>
  <conditionalFormatting sqref="FF42:FF44">
    <cfRule type="expression" dxfId="1700" priority="1823" stopIfTrue="1">
      <formula>IF(FG$8="判定対象外",TRUE,FALSE)</formula>
    </cfRule>
  </conditionalFormatting>
  <conditionalFormatting sqref="FF42:FF44">
    <cfRule type="expression" dxfId="1699" priority="1822" stopIfTrue="1">
      <formula>IF(FG$8="判定対象外",TRUE,FALSE)</formula>
    </cfRule>
  </conditionalFormatting>
  <conditionalFormatting sqref="FF42:FF44">
    <cfRule type="expression" dxfId="1698" priority="1821" stopIfTrue="1">
      <formula>IF(FG$8="判定対象外",TRUE,FALSE)</formula>
    </cfRule>
  </conditionalFormatting>
  <conditionalFormatting sqref="FF42:FF44">
    <cfRule type="expression" dxfId="1697" priority="1820" stopIfTrue="1">
      <formula>IF(FG$8="判定対象外",TRUE,FALSE)</formula>
    </cfRule>
  </conditionalFormatting>
  <conditionalFormatting sqref="FF42:FF44">
    <cfRule type="expression" dxfId="1696" priority="1819" stopIfTrue="1">
      <formula>IF(FG$8="判定対象外",TRUE,FALSE)</formula>
    </cfRule>
  </conditionalFormatting>
  <conditionalFormatting sqref="FF42:FF44">
    <cfRule type="expression" dxfId="1695" priority="1818" stopIfTrue="1">
      <formula>IF(FG$8="判定対象外",TRUE,FALSE)</formula>
    </cfRule>
  </conditionalFormatting>
  <conditionalFormatting sqref="FF42:FF44">
    <cfRule type="expression" dxfId="1694" priority="1817" stopIfTrue="1">
      <formula>IF(FG$8="判定対象外",TRUE,FALSE)</formula>
    </cfRule>
  </conditionalFormatting>
  <conditionalFormatting sqref="FF38">
    <cfRule type="expression" dxfId="1693" priority="1831" stopIfTrue="1">
      <formula>IF(#REF!="判定対象外",TRUE,FALSE)</formula>
    </cfRule>
  </conditionalFormatting>
  <conditionalFormatting sqref="FG11:FG34 FG71:FG81 FG36:FG56">
    <cfRule type="expression" dxfId="1692" priority="1816" stopIfTrue="1">
      <formula>IF(FG$8="判定対象外",TRUE,FALSE)</formula>
    </cfRule>
  </conditionalFormatting>
  <conditionalFormatting sqref="FF48">
    <cfRule type="expression" dxfId="1691" priority="1815" stopIfTrue="1">
      <formula>IF(FG$8="判定対象外",TRUE,FALSE)</formula>
    </cfRule>
  </conditionalFormatting>
  <conditionalFormatting sqref="FF51">
    <cfRule type="expression" dxfId="1690" priority="1814" stopIfTrue="1">
      <formula>IF(FG$8="判定対象外",TRUE,FALSE)</formula>
    </cfRule>
  </conditionalFormatting>
  <conditionalFormatting sqref="FF52 FF55 FF70">
    <cfRule type="expression" dxfId="1689" priority="1813" stopIfTrue="1">
      <formula>IF(FG$8="判定対象外",TRUE,FALSE)</formula>
    </cfRule>
  </conditionalFormatting>
  <conditionalFormatting sqref="FF11:FF20">
    <cfRule type="expression" dxfId="1688" priority="1812" stopIfTrue="1">
      <formula>IF(FG$8="判定対象外",TRUE,FALSE)</formula>
    </cfRule>
  </conditionalFormatting>
  <conditionalFormatting sqref="FF16:FF18">
    <cfRule type="expression" dxfId="1687" priority="1811" stopIfTrue="1">
      <formula>IF(FG$8="判定対象外",TRUE,FALSE)</formula>
    </cfRule>
  </conditionalFormatting>
  <conditionalFormatting sqref="FF20">
    <cfRule type="expression" dxfId="1686" priority="1810" stopIfTrue="1">
      <formula>IF(FG$8="判定対象外",TRUE,FALSE)</formula>
    </cfRule>
  </conditionalFormatting>
  <conditionalFormatting sqref="FF16:FF20">
    <cfRule type="expression" dxfId="1685" priority="1809" stopIfTrue="1">
      <formula>IF(FG$8="判定対象外",TRUE,FALSE)</formula>
    </cfRule>
  </conditionalFormatting>
  <conditionalFormatting sqref="FF11:FF20">
    <cfRule type="expression" dxfId="1684" priority="1808" stopIfTrue="1">
      <formula>IF(FG$8="判定対象外",TRUE,FALSE)</formula>
    </cfRule>
  </conditionalFormatting>
  <conditionalFormatting sqref="FF16:FF18">
    <cfRule type="expression" dxfId="1683" priority="1807" stopIfTrue="1">
      <formula>IF(FG$8="判定対象外",TRUE,FALSE)</formula>
    </cfRule>
  </conditionalFormatting>
  <conditionalFormatting sqref="FF20">
    <cfRule type="expression" dxfId="1682" priority="1806" stopIfTrue="1">
      <formula>IF(FG$8="判定対象外",TRUE,FALSE)</formula>
    </cfRule>
  </conditionalFormatting>
  <conditionalFormatting sqref="FF16:FF20">
    <cfRule type="expression" dxfId="1681" priority="1805" stopIfTrue="1">
      <formula>IF(FG$8="判定対象外",TRUE,FALSE)</formula>
    </cfRule>
  </conditionalFormatting>
  <conditionalFormatting sqref="FF11:FF20">
    <cfRule type="expression" dxfId="1680" priority="1804" stopIfTrue="1">
      <formula>IF(FG$8="判定対象外",TRUE,FALSE)</formula>
    </cfRule>
  </conditionalFormatting>
  <conditionalFormatting sqref="FF16:FF18">
    <cfRule type="expression" dxfId="1679" priority="1803" stopIfTrue="1">
      <formula>IF(FG$8="判定対象外",TRUE,FALSE)</formula>
    </cfRule>
  </conditionalFormatting>
  <conditionalFormatting sqref="FF20">
    <cfRule type="expression" dxfId="1678" priority="1802" stopIfTrue="1">
      <formula>IF(FG$8="判定対象外",TRUE,FALSE)</formula>
    </cfRule>
  </conditionalFormatting>
  <conditionalFormatting sqref="FF16:FF20">
    <cfRule type="expression" dxfId="1677" priority="1801" stopIfTrue="1">
      <formula>IF(FG$8="判定対象外",TRUE,FALSE)</formula>
    </cfRule>
  </conditionalFormatting>
  <conditionalFormatting sqref="FF11:FF13">
    <cfRule type="expression" dxfId="1676" priority="1800" stopIfTrue="1">
      <formula>IF(FG$8="判定対象外",TRUE,FALSE)</formula>
    </cfRule>
  </conditionalFormatting>
  <conditionalFormatting sqref="FF15">
    <cfRule type="expression" dxfId="1675" priority="1799" stopIfTrue="1">
      <formula>IF(FG$8="判定対象外",TRUE,FALSE)</formula>
    </cfRule>
  </conditionalFormatting>
  <conditionalFormatting sqref="FF19">
    <cfRule type="expression" dxfId="1674" priority="1798" stopIfTrue="1">
      <formula>IF(FG$8="判定対象外",TRUE,FALSE)</formula>
    </cfRule>
  </conditionalFormatting>
  <conditionalFormatting sqref="FF19">
    <cfRule type="expression" dxfId="1673" priority="1797" stopIfTrue="1">
      <formula>IF(FG$8="判定対象外",TRUE,FALSE)</formula>
    </cfRule>
  </conditionalFormatting>
  <conditionalFormatting sqref="FF20">
    <cfRule type="expression" dxfId="1672" priority="1796" stopIfTrue="1">
      <formula>IF(FG$8="判定対象外",TRUE,FALSE)</formula>
    </cfRule>
  </conditionalFormatting>
  <conditionalFormatting sqref="FF20">
    <cfRule type="expression" dxfId="1671" priority="1795" stopIfTrue="1">
      <formula>IF(FG$8="判定対象外",TRUE,FALSE)</formula>
    </cfRule>
  </conditionalFormatting>
  <conditionalFormatting sqref="FF20">
    <cfRule type="expression" dxfId="1670" priority="1794" stopIfTrue="1">
      <formula>IF(FG$8="判定対象外",TRUE,FALSE)</formula>
    </cfRule>
  </conditionalFormatting>
  <conditionalFormatting sqref="FF13">
    <cfRule type="expression" dxfId="1669" priority="1793" stopIfTrue="1">
      <formula>IF(FG$8="判定対象外",TRUE,FALSE)</formula>
    </cfRule>
  </conditionalFormatting>
  <conditionalFormatting sqref="FF47">
    <cfRule type="expression" dxfId="1668" priority="1792" stopIfTrue="1">
      <formula>IF(FG$8="判定対象外",TRUE,FALSE)</formula>
    </cfRule>
  </conditionalFormatting>
  <conditionalFormatting sqref="FF47">
    <cfRule type="expression" dxfId="1667" priority="1791" stopIfTrue="1">
      <formula>IF(FG$8="判定対象外",TRUE,FALSE)</formula>
    </cfRule>
  </conditionalFormatting>
  <conditionalFormatting sqref="FF49">
    <cfRule type="expression" dxfId="1666" priority="1790" stopIfTrue="1">
      <formula>IF(FG$8="判定対象外",TRUE,FALSE)</formula>
    </cfRule>
  </conditionalFormatting>
  <conditionalFormatting sqref="FF49">
    <cfRule type="expression" dxfId="1665" priority="1789" stopIfTrue="1">
      <formula>IF(FG$8="判定対象外",TRUE,FALSE)</formula>
    </cfRule>
  </conditionalFormatting>
  <conditionalFormatting sqref="FF50">
    <cfRule type="expression" dxfId="1664" priority="1788" stopIfTrue="1">
      <formula>IF(FG$8="判定対象外",TRUE,FALSE)</formula>
    </cfRule>
  </conditionalFormatting>
  <conditionalFormatting sqref="FF50">
    <cfRule type="expression" dxfId="1663" priority="1787" stopIfTrue="1">
      <formula>IF(FG$8="判定対象外",TRUE,FALSE)</formula>
    </cfRule>
  </conditionalFormatting>
  <conditionalFormatting sqref="FF53 FF56 FF68 FF71">
    <cfRule type="expression" dxfId="1662" priority="1786" stopIfTrue="1">
      <formula>IF(FG$8="判定対象外",TRUE,FALSE)</formula>
    </cfRule>
  </conditionalFormatting>
  <conditionalFormatting sqref="FF54 FF57 FF69">
    <cfRule type="expression" dxfId="1661" priority="1785" stopIfTrue="1">
      <formula>IF(FG$8="判定対象外",TRUE,FALSE)</formula>
    </cfRule>
  </conditionalFormatting>
  <conditionalFormatting sqref="FI57">
    <cfRule type="expression" dxfId="1660" priority="1783" stopIfTrue="1">
      <formula>IF(FI57="-",TRUE,FALSE)</formula>
    </cfRule>
    <cfRule type="expression" dxfId="1659" priority="1784" stopIfTrue="1">
      <formula>IF(OR(FI57="OK"),FALSE,TRUE)</formula>
    </cfRule>
  </conditionalFormatting>
  <conditionalFormatting sqref="FH57">
    <cfRule type="expression" dxfId="1658" priority="1782" stopIfTrue="1">
      <formula>IF(FG$8="判定対象外",TRUE,FALSE)</formula>
    </cfRule>
  </conditionalFormatting>
  <conditionalFormatting sqref="FG57">
    <cfRule type="expression" dxfId="1657" priority="1781" stopIfTrue="1">
      <formula>IF(FG$8="判定対象外",TRUE,FALSE)</formula>
    </cfRule>
  </conditionalFormatting>
  <conditionalFormatting sqref="FI68:FI70">
    <cfRule type="expression" dxfId="1656" priority="1779" stopIfTrue="1">
      <formula>IF(FI68="-",TRUE,FALSE)</formula>
    </cfRule>
    <cfRule type="expression" dxfId="1655" priority="1780" stopIfTrue="1">
      <formula>IF(OR(FI68="OK"),FALSE,TRUE)</formula>
    </cfRule>
  </conditionalFormatting>
  <conditionalFormatting sqref="FH68:FH70">
    <cfRule type="expression" dxfId="1654" priority="1778" stopIfTrue="1">
      <formula>IF(FG$8="判定対象外",TRUE,FALSE)</formula>
    </cfRule>
  </conditionalFormatting>
  <conditionalFormatting sqref="FG68:FG70">
    <cfRule type="expression" dxfId="1653" priority="1777" stopIfTrue="1">
      <formula>IF(FG$8="判定対象外",TRUE,FALSE)</formula>
    </cfRule>
  </conditionalFormatting>
  <conditionalFormatting sqref="FM8:FM10">
    <cfRule type="expression" dxfId="1652" priority="1775" stopIfTrue="1">
      <formula>IF(FM8="-",TRUE,FALSE)</formula>
    </cfRule>
    <cfRule type="expression" dxfId="1651" priority="1776" stopIfTrue="1">
      <formula>IF(OR(FM8="OK"),FALSE,TRUE)</formula>
    </cfRule>
  </conditionalFormatting>
  <conditionalFormatting sqref="FJ8:FJ10">
    <cfRule type="expression" dxfId="1650" priority="1774" stopIfTrue="1">
      <formula>IF(FK$8="判定対象外",TRUE,FALSE)</formula>
    </cfRule>
  </conditionalFormatting>
  <conditionalFormatting sqref="FK8:FK10">
    <cfRule type="expression" dxfId="1649" priority="1773" stopIfTrue="1">
      <formula>IF(FK$8="判定対象外",TRUE,FALSE)</formula>
    </cfRule>
  </conditionalFormatting>
  <conditionalFormatting sqref="FL8:FL10">
    <cfRule type="expression" dxfId="1648" priority="1772" stopIfTrue="1">
      <formula>IF(FK$8="判定対象外",TRUE,FALSE)</formula>
    </cfRule>
  </conditionalFormatting>
  <conditionalFormatting sqref="FM11:FM34 FM71:FM81 FM36:FM56">
    <cfRule type="expression" dxfId="1647" priority="1769" stopIfTrue="1">
      <formula>IF(FM11="-",TRUE,FALSE)</formula>
    </cfRule>
    <cfRule type="expression" dxfId="1646" priority="1770" stopIfTrue="1">
      <formula>IF(OR(FM11="OK"),FALSE,TRUE)</formula>
    </cfRule>
  </conditionalFormatting>
  <conditionalFormatting sqref="FL11:FL34 FL71:FL81 FL36:FL56">
    <cfRule type="expression" dxfId="1645" priority="1768" stopIfTrue="1">
      <formula>IF(FK$8="判定対象外",TRUE,FALSE)</formula>
    </cfRule>
  </conditionalFormatting>
  <conditionalFormatting sqref="FJ72:FJ81 FJ21:FJ34 FJ36:FJ46">
    <cfRule type="expression" dxfId="1644" priority="1767" stopIfTrue="1">
      <formula>IF(FK$8="判定対象外",TRUE,FALSE)</formula>
    </cfRule>
  </conditionalFormatting>
  <conditionalFormatting sqref="FJ29:FJ32">
    <cfRule type="expression" dxfId="1643" priority="1766" stopIfTrue="1">
      <formula>IF(FK$8="判定対象外",TRUE,FALSE)</formula>
    </cfRule>
  </conditionalFormatting>
  <conditionalFormatting sqref="FJ42:FJ44">
    <cfRule type="expression" dxfId="1642" priority="1765" stopIfTrue="1">
      <formula>IF(FK$8="判定対象外",TRUE,FALSE)</formula>
    </cfRule>
  </conditionalFormatting>
  <conditionalFormatting sqref="FJ46">
    <cfRule type="expression" dxfId="1641" priority="1764" stopIfTrue="1">
      <formula>IF(FK$8="判定対象外",TRUE,FALSE)</formula>
    </cfRule>
  </conditionalFormatting>
  <conditionalFormatting sqref="FJ42:FJ44">
    <cfRule type="expression" dxfId="1640" priority="1763" stopIfTrue="1">
      <formula>IF(FK$8="判定対象外",TRUE,FALSE)</formula>
    </cfRule>
  </conditionalFormatting>
  <conditionalFormatting sqref="FJ42:FJ44">
    <cfRule type="expression" dxfId="1639" priority="1762" stopIfTrue="1">
      <formula>IF(FK$8="判定対象外",TRUE,FALSE)</formula>
    </cfRule>
  </conditionalFormatting>
  <conditionalFormatting sqref="FJ42:FJ44">
    <cfRule type="expression" dxfId="1638" priority="1761" stopIfTrue="1">
      <formula>IF(FK$8="判定対象外",TRUE,FALSE)</formula>
    </cfRule>
  </conditionalFormatting>
  <conditionalFormatting sqref="FJ42:FJ44">
    <cfRule type="expression" dxfId="1637" priority="1760" stopIfTrue="1">
      <formula>IF(FK$8="判定対象外",TRUE,FALSE)</formula>
    </cfRule>
  </conditionalFormatting>
  <conditionalFormatting sqref="FJ42:FJ44">
    <cfRule type="expression" dxfId="1636" priority="1759" stopIfTrue="1">
      <formula>IF(FK$8="判定対象外",TRUE,FALSE)</formula>
    </cfRule>
  </conditionalFormatting>
  <conditionalFormatting sqref="FJ42:FJ44">
    <cfRule type="expression" dxfId="1635" priority="1758" stopIfTrue="1">
      <formula>IF(FK$8="判定対象外",TRUE,FALSE)</formula>
    </cfRule>
  </conditionalFormatting>
  <conditionalFormatting sqref="FJ42:FJ44">
    <cfRule type="expression" dxfId="1634" priority="1757" stopIfTrue="1">
      <formula>IF(FK$8="判定対象外",TRUE,FALSE)</formula>
    </cfRule>
  </conditionalFormatting>
  <conditionalFormatting sqref="FJ38">
    <cfRule type="expression" dxfId="1633" priority="1771" stopIfTrue="1">
      <formula>IF(#REF!="判定対象外",TRUE,FALSE)</formula>
    </cfRule>
  </conditionalFormatting>
  <conditionalFormatting sqref="FK11:FK34 FK71:FK81 FK36:FK56">
    <cfRule type="expression" dxfId="1632" priority="1756" stopIfTrue="1">
      <formula>IF(FK$8="判定対象外",TRUE,FALSE)</formula>
    </cfRule>
  </conditionalFormatting>
  <conditionalFormatting sqref="FJ48">
    <cfRule type="expression" dxfId="1631" priority="1755" stopIfTrue="1">
      <formula>IF(FK$8="判定対象外",TRUE,FALSE)</formula>
    </cfRule>
  </conditionalFormatting>
  <conditionalFormatting sqref="FJ51">
    <cfRule type="expression" dxfId="1630" priority="1754" stopIfTrue="1">
      <formula>IF(FK$8="判定対象外",TRUE,FALSE)</formula>
    </cfRule>
  </conditionalFormatting>
  <conditionalFormatting sqref="FJ52 FJ55 FJ70">
    <cfRule type="expression" dxfId="1629" priority="1753" stopIfTrue="1">
      <formula>IF(FK$8="判定対象外",TRUE,FALSE)</formula>
    </cfRule>
  </conditionalFormatting>
  <conditionalFormatting sqref="FJ11:FJ20">
    <cfRule type="expression" dxfId="1628" priority="1752" stopIfTrue="1">
      <formula>IF(FK$8="判定対象外",TRUE,FALSE)</formula>
    </cfRule>
  </conditionalFormatting>
  <conditionalFormatting sqref="FJ16:FJ18">
    <cfRule type="expression" dxfId="1627" priority="1751" stopIfTrue="1">
      <formula>IF(FK$8="判定対象外",TRUE,FALSE)</formula>
    </cfRule>
  </conditionalFormatting>
  <conditionalFormatting sqref="FJ20">
    <cfRule type="expression" dxfId="1626" priority="1750" stopIfTrue="1">
      <formula>IF(FK$8="判定対象外",TRUE,FALSE)</formula>
    </cfRule>
  </conditionalFormatting>
  <conditionalFormatting sqref="FJ16:FJ20">
    <cfRule type="expression" dxfId="1625" priority="1749" stopIfTrue="1">
      <formula>IF(FK$8="判定対象外",TRUE,FALSE)</formula>
    </cfRule>
  </conditionalFormatting>
  <conditionalFormatting sqref="FJ11:FJ20">
    <cfRule type="expression" dxfId="1624" priority="1748" stopIfTrue="1">
      <formula>IF(FK$8="判定対象外",TRUE,FALSE)</formula>
    </cfRule>
  </conditionalFormatting>
  <conditionalFormatting sqref="FJ16:FJ18">
    <cfRule type="expression" dxfId="1623" priority="1747" stopIfTrue="1">
      <formula>IF(FK$8="判定対象外",TRUE,FALSE)</formula>
    </cfRule>
  </conditionalFormatting>
  <conditionalFormatting sqref="FJ20">
    <cfRule type="expression" dxfId="1622" priority="1746" stopIfTrue="1">
      <formula>IF(FK$8="判定対象外",TRUE,FALSE)</formula>
    </cfRule>
  </conditionalFormatting>
  <conditionalFormatting sqref="FJ16:FJ20">
    <cfRule type="expression" dxfId="1621" priority="1745" stopIfTrue="1">
      <formula>IF(FK$8="判定対象外",TRUE,FALSE)</formula>
    </cfRule>
  </conditionalFormatting>
  <conditionalFormatting sqref="FJ11:FJ20">
    <cfRule type="expression" dxfId="1620" priority="1744" stopIfTrue="1">
      <formula>IF(FK$8="判定対象外",TRUE,FALSE)</formula>
    </cfRule>
  </conditionalFormatting>
  <conditionalFormatting sqref="FJ16:FJ18">
    <cfRule type="expression" dxfId="1619" priority="1743" stopIfTrue="1">
      <formula>IF(FK$8="判定対象外",TRUE,FALSE)</formula>
    </cfRule>
  </conditionalFormatting>
  <conditionalFormatting sqref="FJ20">
    <cfRule type="expression" dxfId="1618" priority="1742" stopIfTrue="1">
      <formula>IF(FK$8="判定対象外",TRUE,FALSE)</formula>
    </cfRule>
  </conditionalFormatting>
  <conditionalFormatting sqref="FJ16:FJ20">
    <cfRule type="expression" dxfId="1617" priority="1741" stopIfTrue="1">
      <formula>IF(FK$8="判定対象外",TRUE,FALSE)</formula>
    </cfRule>
  </conditionalFormatting>
  <conditionalFormatting sqref="FJ11:FJ13">
    <cfRule type="expression" dxfId="1616" priority="1740" stopIfTrue="1">
      <formula>IF(FK$8="判定対象外",TRUE,FALSE)</formula>
    </cfRule>
  </conditionalFormatting>
  <conditionalFormatting sqref="FJ15">
    <cfRule type="expression" dxfId="1615" priority="1739" stopIfTrue="1">
      <formula>IF(FK$8="判定対象外",TRUE,FALSE)</formula>
    </cfRule>
  </conditionalFormatting>
  <conditionalFormatting sqref="FJ19">
    <cfRule type="expression" dxfId="1614" priority="1738" stopIfTrue="1">
      <formula>IF(FK$8="判定対象外",TRUE,FALSE)</formula>
    </cfRule>
  </conditionalFormatting>
  <conditionalFormatting sqref="FJ19">
    <cfRule type="expression" dxfId="1613" priority="1737" stopIfTrue="1">
      <formula>IF(FK$8="判定対象外",TRUE,FALSE)</formula>
    </cfRule>
  </conditionalFormatting>
  <conditionalFormatting sqref="FJ20">
    <cfRule type="expression" dxfId="1612" priority="1736" stopIfTrue="1">
      <formula>IF(FK$8="判定対象外",TRUE,FALSE)</formula>
    </cfRule>
  </conditionalFormatting>
  <conditionalFormatting sqref="FJ20">
    <cfRule type="expression" dxfId="1611" priority="1735" stopIfTrue="1">
      <formula>IF(FK$8="判定対象外",TRUE,FALSE)</formula>
    </cfRule>
  </conditionalFormatting>
  <conditionalFormatting sqref="FJ20">
    <cfRule type="expression" dxfId="1610" priority="1734" stopIfTrue="1">
      <formula>IF(FK$8="判定対象外",TRUE,FALSE)</formula>
    </cfRule>
  </conditionalFormatting>
  <conditionalFormatting sqref="FJ13">
    <cfRule type="expression" dxfId="1609" priority="1733" stopIfTrue="1">
      <formula>IF(FK$8="判定対象外",TRUE,FALSE)</formula>
    </cfRule>
  </conditionalFormatting>
  <conditionalFormatting sqref="FJ47">
    <cfRule type="expression" dxfId="1608" priority="1732" stopIfTrue="1">
      <formula>IF(FK$8="判定対象外",TRUE,FALSE)</formula>
    </cfRule>
  </conditionalFormatting>
  <conditionalFormatting sqref="FJ47">
    <cfRule type="expression" dxfId="1607" priority="1731" stopIfTrue="1">
      <formula>IF(FK$8="判定対象外",TRUE,FALSE)</formula>
    </cfRule>
  </conditionalFormatting>
  <conditionalFormatting sqref="FJ49">
    <cfRule type="expression" dxfId="1606" priority="1730" stopIfTrue="1">
      <formula>IF(FK$8="判定対象外",TRUE,FALSE)</formula>
    </cfRule>
  </conditionalFormatting>
  <conditionalFormatting sqref="FJ49">
    <cfRule type="expression" dxfId="1605" priority="1729" stopIfTrue="1">
      <formula>IF(FK$8="判定対象外",TRUE,FALSE)</formula>
    </cfRule>
  </conditionalFormatting>
  <conditionalFormatting sqref="FJ50">
    <cfRule type="expression" dxfId="1604" priority="1728" stopIfTrue="1">
      <formula>IF(FK$8="判定対象外",TRUE,FALSE)</formula>
    </cfRule>
  </conditionalFormatting>
  <conditionalFormatting sqref="FJ50">
    <cfRule type="expression" dxfId="1603" priority="1727" stopIfTrue="1">
      <formula>IF(FK$8="判定対象外",TRUE,FALSE)</formula>
    </cfRule>
  </conditionalFormatting>
  <conditionalFormatting sqref="FJ53 FJ56 FJ68 FJ71">
    <cfRule type="expression" dxfId="1602" priority="1726" stopIfTrue="1">
      <formula>IF(FK$8="判定対象外",TRUE,FALSE)</formula>
    </cfRule>
  </conditionalFormatting>
  <conditionalFormatting sqref="FJ54 FJ57">
    <cfRule type="expression" dxfId="1601" priority="1725" stopIfTrue="1">
      <formula>IF(FK$8="判定対象外",TRUE,FALSE)</formula>
    </cfRule>
  </conditionalFormatting>
  <conditionalFormatting sqref="FM57">
    <cfRule type="expression" dxfId="1600" priority="1723" stopIfTrue="1">
      <formula>IF(FM57="-",TRUE,FALSE)</formula>
    </cfRule>
    <cfRule type="expression" dxfId="1599" priority="1724" stopIfTrue="1">
      <formula>IF(OR(FM57="OK"),FALSE,TRUE)</formula>
    </cfRule>
  </conditionalFormatting>
  <conditionalFormatting sqref="FL57">
    <cfRule type="expression" dxfId="1598" priority="1722" stopIfTrue="1">
      <formula>IF(FK$8="判定対象外",TRUE,FALSE)</formula>
    </cfRule>
  </conditionalFormatting>
  <conditionalFormatting sqref="FK57">
    <cfRule type="expression" dxfId="1597" priority="1721" stopIfTrue="1">
      <formula>IF(FK$8="判定対象外",TRUE,FALSE)</formula>
    </cfRule>
  </conditionalFormatting>
  <conditionalFormatting sqref="FM68:FM70">
    <cfRule type="expression" dxfId="1596" priority="1719" stopIfTrue="1">
      <formula>IF(FM68="-",TRUE,FALSE)</formula>
    </cfRule>
    <cfRule type="expression" dxfId="1595" priority="1720" stopIfTrue="1">
      <formula>IF(OR(FM68="OK"),FALSE,TRUE)</formula>
    </cfRule>
  </conditionalFormatting>
  <conditionalFormatting sqref="FL68:FL70">
    <cfRule type="expression" dxfId="1594" priority="1718" stopIfTrue="1">
      <formula>IF(FK$8="判定対象外",TRUE,FALSE)</formula>
    </cfRule>
  </conditionalFormatting>
  <conditionalFormatting sqref="FK68:FK70">
    <cfRule type="expression" dxfId="1593" priority="1717" stopIfTrue="1">
      <formula>IF(FK$8="判定対象外",TRUE,FALSE)</formula>
    </cfRule>
  </conditionalFormatting>
  <conditionalFormatting sqref="FN29:FN32">
    <cfRule type="expression" dxfId="1592" priority="1706" stopIfTrue="1">
      <formula>IF(FO$8="判定対象外",TRUE,FALSE)</formula>
    </cfRule>
  </conditionalFormatting>
  <conditionalFormatting sqref="FQ8:FQ10">
    <cfRule type="expression" dxfId="1591" priority="1715" stopIfTrue="1">
      <formula>IF(FQ8="-",TRUE,FALSE)</formula>
    </cfRule>
    <cfRule type="expression" dxfId="1590" priority="1716" stopIfTrue="1">
      <formula>IF(OR(FQ8="OK"),FALSE,TRUE)</formula>
    </cfRule>
  </conditionalFormatting>
  <conditionalFormatting sqref="FN8:FN10">
    <cfRule type="expression" dxfId="1589" priority="1714" stopIfTrue="1">
      <formula>IF(FO$8="判定対象外",TRUE,FALSE)</formula>
    </cfRule>
  </conditionalFormatting>
  <conditionalFormatting sqref="FO8:FO10">
    <cfRule type="expression" dxfId="1588" priority="1713" stopIfTrue="1">
      <formula>IF(FO$8="判定対象外",TRUE,FALSE)</formula>
    </cfRule>
  </conditionalFormatting>
  <conditionalFormatting sqref="FP8:FP10">
    <cfRule type="expression" dxfId="1587" priority="1712" stopIfTrue="1">
      <formula>IF(FO$8="判定対象外",TRUE,FALSE)</formula>
    </cfRule>
  </conditionalFormatting>
  <conditionalFormatting sqref="FQ11:FQ34 FQ71:FQ81 FQ36:FQ56">
    <cfRule type="expression" dxfId="1586" priority="1709" stopIfTrue="1">
      <formula>IF(FQ11="-",TRUE,FALSE)</formula>
    </cfRule>
    <cfRule type="expression" dxfId="1585" priority="1710" stopIfTrue="1">
      <formula>IF(OR(FQ11="OK"),FALSE,TRUE)</formula>
    </cfRule>
  </conditionalFormatting>
  <conditionalFormatting sqref="FP11:FP34 FP71:FP81 FP36:FP56">
    <cfRule type="expression" dxfId="1584" priority="1708" stopIfTrue="1">
      <formula>IF(FO$8="判定対象外",TRUE,FALSE)</formula>
    </cfRule>
  </conditionalFormatting>
  <conditionalFormatting sqref="FN72:FN81 FN21:FN34 FN36:FN46">
    <cfRule type="expression" dxfId="1583" priority="1707" stopIfTrue="1">
      <formula>IF(FO$8="判定対象外",TRUE,FALSE)</formula>
    </cfRule>
  </conditionalFormatting>
  <conditionalFormatting sqref="FN42:FN44">
    <cfRule type="expression" dxfId="1582" priority="1705" stopIfTrue="1">
      <formula>IF(FO$8="判定対象外",TRUE,FALSE)</formula>
    </cfRule>
  </conditionalFormatting>
  <conditionalFormatting sqref="FN46">
    <cfRule type="expression" dxfId="1581" priority="1704" stopIfTrue="1">
      <formula>IF(FO$8="判定対象外",TRUE,FALSE)</formula>
    </cfRule>
  </conditionalFormatting>
  <conditionalFormatting sqref="FN42:FN44">
    <cfRule type="expression" dxfId="1580" priority="1703" stopIfTrue="1">
      <formula>IF(FO$8="判定対象外",TRUE,FALSE)</formula>
    </cfRule>
  </conditionalFormatting>
  <conditionalFormatting sqref="FN42:FN44">
    <cfRule type="expression" dxfId="1579" priority="1702" stopIfTrue="1">
      <formula>IF(FO$8="判定対象外",TRUE,FALSE)</formula>
    </cfRule>
  </conditionalFormatting>
  <conditionalFormatting sqref="FN42:FN44">
    <cfRule type="expression" dxfId="1578" priority="1701" stopIfTrue="1">
      <formula>IF(FO$8="判定対象外",TRUE,FALSE)</formula>
    </cfRule>
  </conditionalFormatting>
  <conditionalFormatting sqref="FN42:FN44">
    <cfRule type="expression" dxfId="1577" priority="1700" stopIfTrue="1">
      <formula>IF(FO$8="判定対象外",TRUE,FALSE)</formula>
    </cfRule>
  </conditionalFormatting>
  <conditionalFormatting sqref="FN42:FN44">
    <cfRule type="expression" dxfId="1576" priority="1699" stopIfTrue="1">
      <formula>IF(FO$8="判定対象外",TRUE,FALSE)</formula>
    </cfRule>
  </conditionalFormatting>
  <conditionalFormatting sqref="FN42:FN44">
    <cfRule type="expression" dxfId="1575" priority="1698" stopIfTrue="1">
      <formula>IF(FO$8="判定対象外",TRUE,FALSE)</formula>
    </cfRule>
  </conditionalFormatting>
  <conditionalFormatting sqref="FN42:FN44">
    <cfRule type="expression" dxfId="1574" priority="1697" stopIfTrue="1">
      <formula>IF(FO$8="判定対象外",TRUE,FALSE)</formula>
    </cfRule>
  </conditionalFormatting>
  <conditionalFormatting sqref="FN38">
    <cfRule type="expression" dxfId="1573" priority="1711" stopIfTrue="1">
      <formula>IF(#REF!="判定対象外",TRUE,FALSE)</formula>
    </cfRule>
  </conditionalFormatting>
  <conditionalFormatting sqref="FO11:FO34 FO71:FO81 FO36:FO56">
    <cfRule type="expression" dxfId="1572" priority="1696" stopIfTrue="1">
      <formula>IF(FO$8="判定対象外",TRUE,FALSE)</formula>
    </cfRule>
  </conditionalFormatting>
  <conditionalFormatting sqref="FN48">
    <cfRule type="expression" dxfId="1571" priority="1695" stopIfTrue="1">
      <formula>IF(FO$8="判定対象外",TRUE,FALSE)</formula>
    </cfRule>
  </conditionalFormatting>
  <conditionalFormatting sqref="FN51">
    <cfRule type="expression" dxfId="1570" priority="1694" stopIfTrue="1">
      <formula>IF(FO$8="判定対象外",TRUE,FALSE)</formula>
    </cfRule>
  </conditionalFormatting>
  <conditionalFormatting sqref="FN52 FN55 FN70">
    <cfRule type="expression" dxfId="1569" priority="1693" stopIfTrue="1">
      <formula>IF(FO$8="判定対象外",TRUE,FALSE)</formula>
    </cfRule>
  </conditionalFormatting>
  <conditionalFormatting sqref="FN11:FN20">
    <cfRule type="expression" dxfId="1568" priority="1692" stopIfTrue="1">
      <formula>IF(FO$8="判定対象外",TRUE,FALSE)</formula>
    </cfRule>
  </conditionalFormatting>
  <conditionalFormatting sqref="FN16:FN18">
    <cfRule type="expression" dxfId="1567" priority="1691" stopIfTrue="1">
      <formula>IF(FO$8="判定対象外",TRUE,FALSE)</formula>
    </cfRule>
  </conditionalFormatting>
  <conditionalFormatting sqref="FN20">
    <cfRule type="expression" dxfId="1566" priority="1690" stopIfTrue="1">
      <formula>IF(FO$8="判定対象外",TRUE,FALSE)</formula>
    </cfRule>
  </conditionalFormatting>
  <conditionalFormatting sqref="FN16:FN20">
    <cfRule type="expression" dxfId="1565" priority="1689" stopIfTrue="1">
      <formula>IF(FO$8="判定対象外",TRUE,FALSE)</formula>
    </cfRule>
  </conditionalFormatting>
  <conditionalFormatting sqref="FN11:FN20">
    <cfRule type="expression" dxfId="1564" priority="1688" stopIfTrue="1">
      <formula>IF(FO$8="判定対象外",TRUE,FALSE)</formula>
    </cfRule>
  </conditionalFormatting>
  <conditionalFormatting sqref="FN20">
    <cfRule type="expression" dxfId="1563" priority="1686" stopIfTrue="1">
      <formula>IF(FO$8="判定対象外",TRUE,FALSE)</formula>
    </cfRule>
  </conditionalFormatting>
  <conditionalFormatting sqref="FN16:FN20">
    <cfRule type="expression" dxfId="1562" priority="1685" stopIfTrue="1">
      <formula>IF(FO$8="判定対象外",TRUE,FALSE)</formula>
    </cfRule>
  </conditionalFormatting>
  <conditionalFormatting sqref="FN11:FN20">
    <cfRule type="expression" dxfId="1561" priority="1684" stopIfTrue="1">
      <formula>IF(FO$8="判定対象外",TRUE,FALSE)</formula>
    </cfRule>
  </conditionalFormatting>
  <conditionalFormatting sqref="FN16:FN18">
    <cfRule type="expression" dxfId="1560" priority="1683" stopIfTrue="1">
      <formula>IF(FO$8="判定対象外",TRUE,FALSE)</formula>
    </cfRule>
  </conditionalFormatting>
  <conditionalFormatting sqref="FN20">
    <cfRule type="expression" dxfId="1559" priority="1682" stopIfTrue="1">
      <formula>IF(FO$8="判定対象外",TRUE,FALSE)</formula>
    </cfRule>
  </conditionalFormatting>
  <conditionalFormatting sqref="FN16:FN20">
    <cfRule type="expression" dxfId="1558" priority="1681" stopIfTrue="1">
      <formula>IF(FO$8="判定対象外",TRUE,FALSE)</formula>
    </cfRule>
  </conditionalFormatting>
  <conditionalFormatting sqref="FN11:FN13">
    <cfRule type="expression" dxfId="1557" priority="1680" stopIfTrue="1">
      <formula>IF(FO$8="判定対象外",TRUE,FALSE)</formula>
    </cfRule>
  </conditionalFormatting>
  <conditionalFormatting sqref="FN15">
    <cfRule type="expression" dxfId="1556" priority="1679" stopIfTrue="1">
      <formula>IF(FO$8="判定対象外",TRUE,FALSE)</formula>
    </cfRule>
  </conditionalFormatting>
  <conditionalFormatting sqref="FN19">
    <cfRule type="expression" dxfId="1555" priority="1678" stopIfTrue="1">
      <formula>IF(FO$8="判定対象外",TRUE,FALSE)</formula>
    </cfRule>
  </conditionalFormatting>
  <conditionalFormatting sqref="FN20">
    <cfRule type="expression" dxfId="1554" priority="1676" stopIfTrue="1">
      <formula>IF(FO$8="判定対象外",TRUE,FALSE)</formula>
    </cfRule>
  </conditionalFormatting>
  <conditionalFormatting sqref="FN20">
    <cfRule type="expression" dxfId="1553" priority="1675" stopIfTrue="1">
      <formula>IF(FO$8="判定対象外",TRUE,FALSE)</formula>
    </cfRule>
  </conditionalFormatting>
  <conditionalFormatting sqref="FN20">
    <cfRule type="expression" dxfId="1552" priority="1674" stopIfTrue="1">
      <formula>IF(FO$8="判定対象外",TRUE,FALSE)</formula>
    </cfRule>
  </conditionalFormatting>
  <conditionalFormatting sqref="FN13">
    <cfRule type="expression" dxfId="1551" priority="1673" stopIfTrue="1">
      <formula>IF(FO$8="判定対象外",TRUE,FALSE)</formula>
    </cfRule>
  </conditionalFormatting>
  <conditionalFormatting sqref="FN47">
    <cfRule type="expression" dxfId="1550" priority="1672" stopIfTrue="1">
      <formula>IF(FO$8="判定対象外",TRUE,FALSE)</formula>
    </cfRule>
  </conditionalFormatting>
  <conditionalFormatting sqref="FN47">
    <cfRule type="expression" dxfId="1549" priority="1671" stopIfTrue="1">
      <formula>IF(FO$8="判定対象外",TRUE,FALSE)</formula>
    </cfRule>
  </conditionalFormatting>
  <conditionalFormatting sqref="FN49">
    <cfRule type="expression" dxfId="1548" priority="1670" stopIfTrue="1">
      <formula>IF(FO$8="判定対象外",TRUE,FALSE)</formula>
    </cfRule>
  </conditionalFormatting>
  <conditionalFormatting sqref="FN49">
    <cfRule type="expression" dxfId="1547" priority="1669" stopIfTrue="1">
      <formula>IF(FO$8="判定対象外",TRUE,FALSE)</formula>
    </cfRule>
  </conditionalFormatting>
  <conditionalFormatting sqref="FN50">
    <cfRule type="expression" dxfId="1546" priority="1668" stopIfTrue="1">
      <formula>IF(FO$8="判定対象外",TRUE,FALSE)</formula>
    </cfRule>
  </conditionalFormatting>
  <conditionalFormatting sqref="FN50">
    <cfRule type="expression" dxfId="1545" priority="1667" stopIfTrue="1">
      <formula>IF(FO$8="判定対象外",TRUE,FALSE)</formula>
    </cfRule>
  </conditionalFormatting>
  <conditionalFormatting sqref="FN54 FN57 FN69">
    <cfRule type="expression" dxfId="1544" priority="1665" stopIfTrue="1">
      <formula>IF(FO$8="判定対象外",TRUE,FALSE)</formula>
    </cfRule>
  </conditionalFormatting>
  <conditionalFormatting sqref="FQ57">
    <cfRule type="expression" dxfId="1543" priority="1663" stopIfTrue="1">
      <formula>IF(FQ57="-",TRUE,FALSE)</formula>
    </cfRule>
    <cfRule type="expression" dxfId="1542" priority="1664" stopIfTrue="1">
      <formula>IF(OR(FQ57="OK"),FALSE,TRUE)</formula>
    </cfRule>
  </conditionalFormatting>
  <conditionalFormatting sqref="FP57">
    <cfRule type="expression" dxfId="1541" priority="1662" stopIfTrue="1">
      <formula>IF(FO$8="判定対象外",TRUE,FALSE)</formula>
    </cfRule>
  </conditionalFormatting>
  <conditionalFormatting sqref="FO57">
    <cfRule type="expression" dxfId="1540" priority="1661" stopIfTrue="1">
      <formula>IF(FO$8="判定対象外",TRUE,FALSE)</formula>
    </cfRule>
  </conditionalFormatting>
  <conditionalFormatting sqref="FQ58:FQ64">
    <cfRule type="expression" dxfId="1539" priority="1659" stopIfTrue="1">
      <formula>IF(FQ58="-",TRUE,FALSE)</formula>
    </cfRule>
    <cfRule type="expression" dxfId="1538" priority="1660" stopIfTrue="1">
      <formula>IF(OR(FQ58="OK"),FALSE,TRUE)</formula>
    </cfRule>
  </conditionalFormatting>
  <conditionalFormatting sqref="FP58:FP64">
    <cfRule type="expression" dxfId="1537" priority="1658" stopIfTrue="1">
      <formula>IF(FO$8="判定対象外",TRUE,FALSE)</formula>
    </cfRule>
  </conditionalFormatting>
  <conditionalFormatting sqref="FO58:FO64">
    <cfRule type="expression" dxfId="1536" priority="1657" stopIfTrue="1">
      <formula>IF(FO$8="判定対象外",TRUE,FALSE)</formula>
    </cfRule>
  </conditionalFormatting>
  <conditionalFormatting sqref="FQ65:FQ70">
    <cfRule type="expression" dxfId="1535" priority="1655" stopIfTrue="1">
      <formula>IF(FQ65="-",TRUE,FALSE)</formula>
    </cfRule>
    <cfRule type="expression" dxfId="1534" priority="1656" stopIfTrue="1">
      <formula>IF(OR(FQ65="OK"),FALSE,TRUE)</formula>
    </cfRule>
  </conditionalFormatting>
  <conditionalFormatting sqref="FP65:FP70">
    <cfRule type="expression" dxfId="1533" priority="1654" stopIfTrue="1">
      <formula>IF(FO$8="判定対象外",TRUE,FALSE)</formula>
    </cfRule>
  </conditionalFormatting>
  <conditionalFormatting sqref="FO65:FO70">
    <cfRule type="expression" dxfId="1532" priority="1653" stopIfTrue="1">
      <formula>IF(FO$8="判定対象外",TRUE,FALSE)</formula>
    </cfRule>
  </conditionalFormatting>
  <conditionalFormatting sqref="FN58">
    <cfRule type="expression" dxfId="1531" priority="1642" stopIfTrue="1">
      <formula>IF(FO$8="判定対象外",TRUE,FALSE)</formula>
    </cfRule>
  </conditionalFormatting>
  <conditionalFormatting sqref="FF58">
    <cfRule type="expression" dxfId="1530" priority="1652" stopIfTrue="1">
      <formula>IF(FG$8="判定対象外",TRUE,FALSE)</formula>
    </cfRule>
  </conditionalFormatting>
  <conditionalFormatting sqref="FI58">
    <cfRule type="expression" dxfId="1529" priority="1650" stopIfTrue="1">
      <formula>IF(FI58="-",TRUE,FALSE)</formula>
    </cfRule>
    <cfRule type="expression" dxfId="1528" priority="1651" stopIfTrue="1">
      <formula>IF(OR(FI58="OK"),FALSE,TRUE)</formula>
    </cfRule>
  </conditionalFormatting>
  <conditionalFormatting sqref="FH58">
    <cfRule type="expression" dxfId="1527" priority="1649" stopIfTrue="1">
      <formula>IF(FG$8="判定対象外",TRUE,FALSE)</formula>
    </cfRule>
  </conditionalFormatting>
  <conditionalFormatting sqref="FG58">
    <cfRule type="expression" dxfId="1526" priority="1648" stopIfTrue="1">
      <formula>IF(FG$8="判定対象外",TRUE,FALSE)</formula>
    </cfRule>
  </conditionalFormatting>
  <conditionalFormatting sqref="FJ58">
    <cfRule type="expression" dxfId="1525" priority="1647" stopIfTrue="1">
      <formula>IF(FK$8="判定対象外",TRUE,FALSE)</formula>
    </cfRule>
  </conditionalFormatting>
  <conditionalFormatting sqref="FM58">
    <cfRule type="expression" dxfId="1524" priority="1645" stopIfTrue="1">
      <formula>IF(FM58="-",TRUE,FALSE)</formula>
    </cfRule>
    <cfRule type="expression" dxfId="1523" priority="1646" stopIfTrue="1">
      <formula>IF(OR(FM58="OK"),FALSE,TRUE)</formula>
    </cfRule>
  </conditionalFormatting>
  <conditionalFormatting sqref="FL58">
    <cfRule type="expression" dxfId="1522" priority="1644" stopIfTrue="1">
      <formula>IF(FK$8="判定対象外",TRUE,FALSE)</formula>
    </cfRule>
  </conditionalFormatting>
  <conditionalFormatting sqref="FK58">
    <cfRule type="expression" dxfId="1521" priority="1643" stopIfTrue="1">
      <formula>IF(FK$8="判定対象外",TRUE,FALSE)</formula>
    </cfRule>
  </conditionalFormatting>
  <conditionalFormatting sqref="FJ59">
    <cfRule type="expression" dxfId="1520" priority="1636" stopIfTrue="1">
      <formula>IF(FK$8="判定対象外",TRUE,FALSE)</formula>
    </cfRule>
  </conditionalFormatting>
  <conditionalFormatting sqref="FM59">
    <cfRule type="expression" dxfId="1519" priority="1634" stopIfTrue="1">
      <formula>IF(FM59="-",TRUE,FALSE)</formula>
    </cfRule>
    <cfRule type="expression" dxfId="1518" priority="1635" stopIfTrue="1">
      <formula>IF(OR(FM59="OK"),FALSE,TRUE)</formula>
    </cfRule>
  </conditionalFormatting>
  <conditionalFormatting sqref="FL59">
    <cfRule type="expression" dxfId="1517" priority="1633" stopIfTrue="1">
      <formula>IF(FK$8="判定対象外",TRUE,FALSE)</formula>
    </cfRule>
  </conditionalFormatting>
  <conditionalFormatting sqref="FK59">
    <cfRule type="expression" dxfId="1516" priority="1632" stopIfTrue="1">
      <formula>IF(FK$8="判定対象外",TRUE,FALSE)</formula>
    </cfRule>
  </conditionalFormatting>
  <conditionalFormatting sqref="FJ60">
    <cfRule type="expression" dxfId="1515" priority="1625" stopIfTrue="1">
      <formula>IF(FK$8="判定対象外",TRUE,FALSE)</formula>
    </cfRule>
  </conditionalFormatting>
  <conditionalFormatting sqref="FM60">
    <cfRule type="expression" dxfId="1514" priority="1623" stopIfTrue="1">
      <formula>IF(FM60="-",TRUE,FALSE)</formula>
    </cfRule>
    <cfRule type="expression" dxfId="1513" priority="1624" stopIfTrue="1">
      <formula>IF(OR(FM60="OK"),FALSE,TRUE)</formula>
    </cfRule>
  </conditionalFormatting>
  <conditionalFormatting sqref="FL60">
    <cfRule type="expression" dxfId="1512" priority="1622" stopIfTrue="1">
      <formula>IF(FK$8="判定対象外",TRUE,FALSE)</formula>
    </cfRule>
  </conditionalFormatting>
  <conditionalFormatting sqref="FK60">
    <cfRule type="expression" dxfId="1511" priority="1621" stopIfTrue="1">
      <formula>IF(FK$8="判定対象外",TRUE,FALSE)</formula>
    </cfRule>
  </conditionalFormatting>
  <conditionalFormatting sqref="FJ61">
    <cfRule type="expression" dxfId="1510" priority="1614" stopIfTrue="1">
      <formula>IF(FK$8="判定対象外",TRUE,FALSE)</formula>
    </cfRule>
  </conditionalFormatting>
  <conditionalFormatting sqref="FM61">
    <cfRule type="expression" dxfId="1509" priority="1612" stopIfTrue="1">
      <formula>IF(FM61="-",TRUE,FALSE)</formula>
    </cfRule>
    <cfRule type="expression" dxfId="1508" priority="1613" stopIfTrue="1">
      <formula>IF(OR(FM61="OK"),FALSE,TRUE)</formula>
    </cfRule>
  </conditionalFormatting>
  <conditionalFormatting sqref="FL61">
    <cfRule type="expression" dxfId="1507" priority="1611" stopIfTrue="1">
      <formula>IF(FK$8="判定対象外",TRUE,FALSE)</formula>
    </cfRule>
  </conditionalFormatting>
  <conditionalFormatting sqref="FK61">
    <cfRule type="expression" dxfId="1506" priority="1610" stopIfTrue="1">
      <formula>IF(FK$8="判定対象外",TRUE,FALSE)</formula>
    </cfRule>
  </conditionalFormatting>
  <conditionalFormatting sqref="FJ62">
    <cfRule type="expression" dxfId="1505" priority="1603" stopIfTrue="1">
      <formula>IF(FK$8="判定対象外",TRUE,FALSE)</formula>
    </cfRule>
  </conditionalFormatting>
  <conditionalFormatting sqref="FM62">
    <cfRule type="expression" dxfId="1504" priority="1601" stopIfTrue="1">
      <formula>IF(FM62="-",TRUE,FALSE)</formula>
    </cfRule>
    <cfRule type="expression" dxfId="1503" priority="1602" stopIfTrue="1">
      <formula>IF(OR(FM62="OK"),FALSE,TRUE)</formula>
    </cfRule>
  </conditionalFormatting>
  <conditionalFormatting sqref="FL62">
    <cfRule type="expression" dxfId="1502" priority="1600" stopIfTrue="1">
      <formula>IF(FK$8="判定対象外",TRUE,FALSE)</formula>
    </cfRule>
  </conditionalFormatting>
  <conditionalFormatting sqref="FK62">
    <cfRule type="expression" dxfId="1501" priority="1599" stopIfTrue="1">
      <formula>IF(FK$8="判定対象外",TRUE,FALSE)</formula>
    </cfRule>
  </conditionalFormatting>
  <conditionalFormatting sqref="FJ63">
    <cfRule type="expression" dxfId="1500" priority="1592" stopIfTrue="1">
      <formula>IF(FK$8="判定対象外",TRUE,FALSE)</formula>
    </cfRule>
  </conditionalFormatting>
  <conditionalFormatting sqref="FM63">
    <cfRule type="expression" dxfId="1499" priority="1590" stopIfTrue="1">
      <formula>IF(FM63="-",TRUE,FALSE)</formula>
    </cfRule>
    <cfRule type="expression" dxfId="1498" priority="1591" stopIfTrue="1">
      <formula>IF(OR(FM63="OK"),FALSE,TRUE)</formula>
    </cfRule>
  </conditionalFormatting>
  <conditionalFormatting sqref="FL63">
    <cfRule type="expression" dxfId="1497" priority="1589" stopIfTrue="1">
      <formula>IF(FK$8="判定対象外",TRUE,FALSE)</formula>
    </cfRule>
  </conditionalFormatting>
  <conditionalFormatting sqref="FK63">
    <cfRule type="expression" dxfId="1496" priority="1588" stopIfTrue="1">
      <formula>IF(FK$8="判定対象外",TRUE,FALSE)</formula>
    </cfRule>
  </conditionalFormatting>
  <conditionalFormatting sqref="FJ64">
    <cfRule type="expression" dxfId="1495" priority="1581" stopIfTrue="1">
      <formula>IF(FK$8="判定対象外",TRUE,FALSE)</formula>
    </cfRule>
  </conditionalFormatting>
  <conditionalFormatting sqref="FM64">
    <cfRule type="expression" dxfId="1494" priority="1579" stopIfTrue="1">
      <formula>IF(FM64="-",TRUE,FALSE)</formula>
    </cfRule>
    <cfRule type="expression" dxfId="1493" priority="1580" stopIfTrue="1">
      <formula>IF(OR(FM64="OK"),FALSE,TRUE)</formula>
    </cfRule>
  </conditionalFormatting>
  <conditionalFormatting sqref="FL64">
    <cfRule type="expression" dxfId="1492" priority="1578" stopIfTrue="1">
      <formula>IF(FK$8="判定対象外",TRUE,FALSE)</formula>
    </cfRule>
  </conditionalFormatting>
  <conditionalFormatting sqref="FK64">
    <cfRule type="expression" dxfId="1491" priority="1577" stopIfTrue="1">
      <formula>IF(FK$8="判定対象外",TRUE,FALSE)</formula>
    </cfRule>
  </conditionalFormatting>
  <conditionalFormatting sqref="FJ65">
    <cfRule type="expression" dxfId="1490" priority="1570" stopIfTrue="1">
      <formula>IF(FK$8="判定対象外",TRUE,FALSE)</formula>
    </cfRule>
  </conditionalFormatting>
  <conditionalFormatting sqref="FM65">
    <cfRule type="expression" dxfId="1489" priority="1568" stopIfTrue="1">
      <formula>IF(FM65="-",TRUE,FALSE)</formula>
    </cfRule>
    <cfRule type="expression" dxfId="1488" priority="1569" stopIfTrue="1">
      <formula>IF(OR(FM65="OK"),FALSE,TRUE)</formula>
    </cfRule>
  </conditionalFormatting>
  <conditionalFormatting sqref="FL65">
    <cfRule type="expression" dxfId="1487" priority="1567" stopIfTrue="1">
      <formula>IF(FK$8="判定対象外",TRUE,FALSE)</formula>
    </cfRule>
  </conditionalFormatting>
  <conditionalFormatting sqref="FK65">
    <cfRule type="expression" dxfId="1486" priority="1566" stopIfTrue="1">
      <formula>IF(FK$8="判定対象外",TRUE,FALSE)</formula>
    </cfRule>
  </conditionalFormatting>
  <conditionalFormatting sqref="FI67">
    <cfRule type="expression" dxfId="1485" priority="1562" stopIfTrue="1">
      <formula>IF(FI67="-",TRUE,FALSE)</formula>
    </cfRule>
    <cfRule type="expression" dxfId="1484" priority="1563" stopIfTrue="1">
      <formula>IF(OR(FI67="OK"),FALSE,TRUE)</formula>
    </cfRule>
  </conditionalFormatting>
  <conditionalFormatting sqref="FH67">
    <cfRule type="expression" dxfId="1483" priority="1561" stopIfTrue="1">
      <formula>IF(FG$8="判定対象外",TRUE,FALSE)</formula>
    </cfRule>
  </conditionalFormatting>
  <conditionalFormatting sqref="FG67">
    <cfRule type="expression" dxfId="1482" priority="1560" stopIfTrue="1">
      <formula>IF(FG$8="判定対象外",TRUE,FALSE)</formula>
    </cfRule>
  </conditionalFormatting>
  <conditionalFormatting sqref="FM67">
    <cfRule type="expression" dxfId="1481" priority="1558" stopIfTrue="1">
      <formula>IF(FM67="-",TRUE,FALSE)</formula>
    </cfRule>
    <cfRule type="expression" dxfId="1480" priority="1559" stopIfTrue="1">
      <formula>IF(OR(FM67="OK"),FALSE,TRUE)</formula>
    </cfRule>
  </conditionalFormatting>
  <conditionalFormatting sqref="FL67">
    <cfRule type="expression" dxfId="1479" priority="1557" stopIfTrue="1">
      <formula>IF(FK$8="判定対象外",TRUE,FALSE)</formula>
    </cfRule>
  </conditionalFormatting>
  <conditionalFormatting sqref="FK67">
    <cfRule type="expression" dxfId="1478" priority="1556" stopIfTrue="1">
      <formula>IF(FK$8="判定対象外",TRUE,FALSE)</formula>
    </cfRule>
  </conditionalFormatting>
  <conditionalFormatting sqref="FJ67">
    <cfRule type="expression" dxfId="1477" priority="1555" stopIfTrue="1">
      <formula>IF(FK$8="判定対象外",TRUE,FALSE)</formula>
    </cfRule>
  </conditionalFormatting>
  <conditionalFormatting sqref="FJ66">
    <cfRule type="expression" dxfId="1476" priority="1548" stopIfTrue="1">
      <formula>IF(FK$8="判定対象外",TRUE,FALSE)</formula>
    </cfRule>
  </conditionalFormatting>
  <conditionalFormatting sqref="FM66">
    <cfRule type="expression" dxfId="1475" priority="1546" stopIfTrue="1">
      <formula>IF(FM66="-",TRUE,FALSE)</formula>
    </cfRule>
    <cfRule type="expression" dxfId="1474" priority="1547" stopIfTrue="1">
      <formula>IF(OR(FM66="OK"),FALSE,TRUE)</formula>
    </cfRule>
  </conditionalFormatting>
  <conditionalFormatting sqref="FL66">
    <cfRule type="expression" dxfId="1473" priority="1545" stopIfTrue="1">
      <formula>IF(FK$8="判定対象外",TRUE,FALSE)</formula>
    </cfRule>
  </conditionalFormatting>
  <conditionalFormatting sqref="FK66">
    <cfRule type="expression" dxfId="1472" priority="1544" stopIfTrue="1">
      <formula>IF(FK$8="判定対象外",TRUE,FALSE)</formula>
    </cfRule>
  </conditionalFormatting>
  <conditionalFormatting sqref="FF68">
    <cfRule type="expression" dxfId="1471" priority="1542" stopIfTrue="1">
      <formula>IF(FG$8="判定対象外",TRUE,FALSE)</formula>
    </cfRule>
  </conditionalFormatting>
  <conditionalFormatting sqref="FI68">
    <cfRule type="expression" dxfId="1470" priority="1540" stopIfTrue="1">
      <formula>IF(FI68="-",TRUE,FALSE)</formula>
    </cfRule>
    <cfRule type="expression" dxfId="1469" priority="1541" stopIfTrue="1">
      <formula>IF(OR(FI68="OK"),FALSE,TRUE)</formula>
    </cfRule>
  </conditionalFormatting>
  <conditionalFormatting sqref="FH68">
    <cfRule type="expression" dxfId="1468" priority="1539" stopIfTrue="1">
      <formula>IF(FG$8="判定対象外",TRUE,FALSE)</formula>
    </cfRule>
  </conditionalFormatting>
  <conditionalFormatting sqref="FG68">
    <cfRule type="expression" dxfId="1467" priority="1538" stopIfTrue="1">
      <formula>IF(FG$8="判定対象外",TRUE,FALSE)</formula>
    </cfRule>
  </conditionalFormatting>
  <conditionalFormatting sqref="FM68">
    <cfRule type="expression" dxfId="1466" priority="1536" stopIfTrue="1">
      <formula>IF(FM68="-",TRUE,FALSE)</formula>
    </cfRule>
    <cfRule type="expression" dxfId="1465" priority="1537" stopIfTrue="1">
      <formula>IF(OR(FM68="OK"),FALSE,TRUE)</formula>
    </cfRule>
  </conditionalFormatting>
  <conditionalFormatting sqref="FL68">
    <cfRule type="expression" dxfId="1464" priority="1535" stopIfTrue="1">
      <formula>IF(FK$8="判定対象外",TRUE,FALSE)</formula>
    </cfRule>
  </conditionalFormatting>
  <conditionalFormatting sqref="FK68">
    <cfRule type="expression" dxfId="1463" priority="1534" stopIfTrue="1">
      <formula>IF(FK$8="判定対象外",TRUE,FALSE)</formula>
    </cfRule>
  </conditionalFormatting>
  <conditionalFormatting sqref="FJ68">
    <cfRule type="expression" dxfId="1462" priority="1533" stopIfTrue="1">
      <formula>IF(FK$8="判定対象外",TRUE,FALSE)</formula>
    </cfRule>
  </conditionalFormatting>
  <conditionalFormatting sqref="FF67">
    <cfRule type="expression" dxfId="1461" priority="1531" stopIfTrue="1">
      <formula>IF(FG$8="判定対象外",TRUE,FALSE)</formula>
    </cfRule>
  </conditionalFormatting>
  <conditionalFormatting sqref="FI67">
    <cfRule type="expression" dxfId="1460" priority="1529" stopIfTrue="1">
      <formula>IF(FI67="-",TRUE,FALSE)</formula>
    </cfRule>
    <cfRule type="expression" dxfId="1459" priority="1530" stopIfTrue="1">
      <formula>IF(OR(FI67="OK"),FALSE,TRUE)</formula>
    </cfRule>
  </conditionalFormatting>
  <conditionalFormatting sqref="FH67">
    <cfRule type="expression" dxfId="1458" priority="1528" stopIfTrue="1">
      <formula>IF(FG$8="判定対象外",TRUE,FALSE)</formula>
    </cfRule>
  </conditionalFormatting>
  <conditionalFormatting sqref="FG67">
    <cfRule type="expression" dxfId="1457" priority="1527" stopIfTrue="1">
      <formula>IF(FG$8="判定対象外",TRUE,FALSE)</formula>
    </cfRule>
  </conditionalFormatting>
  <conditionalFormatting sqref="FJ67">
    <cfRule type="expression" dxfId="1456" priority="1526" stopIfTrue="1">
      <formula>IF(FK$8="判定対象外",TRUE,FALSE)</formula>
    </cfRule>
  </conditionalFormatting>
  <conditionalFormatting sqref="FM67">
    <cfRule type="expression" dxfId="1455" priority="1524" stopIfTrue="1">
      <formula>IF(FM67="-",TRUE,FALSE)</formula>
    </cfRule>
    <cfRule type="expression" dxfId="1454" priority="1525" stopIfTrue="1">
      <formula>IF(OR(FM67="OK"),FALSE,TRUE)</formula>
    </cfRule>
  </conditionalFormatting>
  <conditionalFormatting sqref="FL67">
    <cfRule type="expression" dxfId="1453" priority="1523" stopIfTrue="1">
      <formula>IF(FK$8="判定対象外",TRUE,FALSE)</formula>
    </cfRule>
  </conditionalFormatting>
  <conditionalFormatting sqref="FK67">
    <cfRule type="expression" dxfId="1452" priority="1522" stopIfTrue="1">
      <formula>IF(FK$8="判定対象外",TRUE,FALSE)</formula>
    </cfRule>
  </conditionalFormatting>
  <conditionalFormatting sqref="FN67">
    <cfRule type="expression" dxfId="1451" priority="1521" stopIfTrue="1">
      <formula>IF(FO$8="判定対象外",TRUE,FALSE)</formula>
    </cfRule>
  </conditionalFormatting>
  <conditionalFormatting sqref="FZ70">
    <cfRule type="expression" dxfId="1450" priority="1091" stopIfTrue="1">
      <formula>IF(GA$8="判定対象外",TRUE,FALSE)</formula>
    </cfRule>
  </conditionalFormatting>
  <conditionalFormatting sqref="FN69">
    <cfRule type="expression" dxfId="1449" priority="1518" stopIfTrue="1">
      <formula>IF(FO$8="判定対象外",TRUE,FALSE)</formula>
    </cfRule>
  </conditionalFormatting>
  <conditionalFormatting sqref="FF69">
    <cfRule type="expression" dxfId="1448" priority="1520" stopIfTrue="1">
      <formula>IF(FG$8="判定対象外",TRUE,FALSE)</formula>
    </cfRule>
  </conditionalFormatting>
  <conditionalFormatting sqref="FF69">
    <cfRule type="expression" dxfId="1447" priority="1506" stopIfTrue="1">
      <formula>IF(FG$8="判定対象外",TRUE,FALSE)</formula>
    </cfRule>
  </conditionalFormatting>
  <conditionalFormatting sqref="FI69">
    <cfRule type="expression" dxfId="1446" priority="1504" stopIfTrue="1">
      <formula>IF(FI69="-",TRUE,FALSE)</formula>
    </cfRule>
    <cfRule type="expression" dxfId="1445" priority="1505" stopIfTrue="1">
      <formula>IF(OR(FI69="OK"),FALSE,TRUE)</formula>
    </cfRule>
  </conditionalFormatting>
  <conditionalFormatting sqref="FH69">
    <cfRule type="expression" dxfId="1444" priority="1503" stopIfTrue="1">
      <formula>IF(FG$8="判定対象外",TRUE,FALSE)</formula>
    </cfRule>
  </conditionalFormatting>
  <conditionalFormatting sqref="FG69">
    <cfRule type="expression" dxfId="1443" priority="1502" stopIfTrue="1">
      <formula>IF(FG$8="判定対象外",TRUE,FALSE)</formula>
    </cfRule>
  </conditionalFormatting>
  <conditionalFormatting sqref="FM69">
    <cfRule type="expression" dxfId="1442" priority="1500" stopIfTrue="1">
      <formula>IF(FM69="-",TRUE,FALSE)</formula>
    </cfRule>
    <cfRule type="expression" dxfId="1441" priority="1501" stopIfTrue="1">
      <formula>IF(OR(FM69="OK"),FALSE,TRUE)</formula>
    </cfRule>
  </conditionalFormatting>
  <conditionalFormatting sqref="FL69">
    <cfRule type="expression" dxfId="1440" priority="1499" stopIfTrue="1">
      <formula>IF(FK$8="判定対象外",TRUE,FALSE)</formula>
    </cfRule>
  </conditionalFormatting>
  <conditionalFormatting sqref="FK69">
    <cfRule type="expression" dxfId="1439" priority="1498" stopIfTrue="1">
      <formula>IF(FK$8="判定対象外",TRUE,FALSE)</formula>
    </cfRule>
  </conditionalFormatting>
  <conditionalFormatting sqref="FF68">
    <cfRule type="expression" dxfId="1438" priority="1495" stopIfTrue="1">
      <formula>IF(FG$8="判定対象外",TRUE,FALSE)</formula>
    </cfRule>
  </conditionalFormatting>
  <conditionalFormatting sqref="FI68">
    <cfRule type="expression" dxfId="1437" priority="1493" stopIfTrue="1">
      <formula>IF(FI68="-",TRUE,FALSE)</formula>
    </cfRule>
    <cfRule type="expression" dxfId="1436" priority="1494" stopIfTrue="1">
      <formula>IF(OR(FI68="OK"),FALSE,TRUE)</formula>
    </cfRule>
  </conditionalFormatting>
  <conditionalFormatting sqref="FH68">
    <cfRule type="expression" dxfId="1435" priority="1492" stopIfTrue="1">
      <formula>IF(FG$8="判定対象外",TRUE,FALSE)</formula>
    </cfRule>
  </conditionalFormatting>
  <conditionalFormatting sqref="FG68">
    <cfRule type="expression" dxfId="1434" priority="1491" stopIfTrue="1">
      <formula>IF(FG$8="判定対象外",TRUE,FALSE)</formula>
    </cfRule>
  </conditionalFormatting>
  <conditionalFormatting sqref="FJ68">
    <cfRule type="expression" dxfId="1433" priority="1490" stopIfTrue="1">
      <formula>IF(FK$8="判定対象外",TRUE,FALSE)</formula>
    </cfRule>
  </conditionalFormatting>
  <conditionalFormatting sqref="FM68">
    <cfRule type="expression" dxfId="1432" priority="1488" stopIfTrue="1">
      <formula>IF(FM68="-",TRUE,FALSE)</formula>
    </cfRule>
    <cfRule type="expression" dxfId="1431" priority="1489" stopIfTrue="1">
      <formula>IF(OR(FM68="OK"),FALSE,TRUE)</formula>
    </cfRule>
  </conditionalFormatting>
  <conditionalFormatting sqref="FL68">
    <cfRule type="expression" dxfId="1430" priority="1487" stopIfTrue="1">
      <formula>IF(FK$8="判定対象外",TRUE,FALSE)</formula>
    </cfRule>
  </conditionalFormatting>
  <conditionalFormatting sqref="FK68">
    <cfRule type="expression" dxfId="1429" priority="1486" stopIfTrue="1">
      <formula>IF(FK$8="判定対象外",TRUE,FALSE)</formula>
    </cfRule>
  </conditionalFormatting>
  <conditionalFormatting sqref="FN68">
    <cfRule type="expression" dxfId="1428" priority="1485" stopIfTrue="1">
      <formula>IF(FO$8="判定対象外",TRUE,FALSE)</formula>
    </cfRule>
  </conditionalFormatting>
  <conditionalFormatting sqref="FY68">
    <cfRule type="expression" dxfId="1427" priority="1159" stopIfTrue="1">
      <formula>IF(FY68="-",TRUE,FALSE)</formula>
    </cfRule>
    <cfRule type="expression" dxfId="1426" priority="1160" stopIfTrue="1">
      <formula>IF(OR(FY68="OK"),FALSE,TRUE)</formula>
    </cfRule>
  </conditionalFormatting>
  <conditionalFormatting sqref="FX68">
    <cfRule type="expression" dxfId="1425" priority="1158" stopIfTrue="1">
      <formula>IF(FW$8="判定対象外",TRUE,FALSE)</formula>
    </cfRule>
  </conditionalFormatting>
  <conditionalFormatting sqref="FW68">
    <cfRule type="expression" dxfId="1424" priority="1157" stopIfTrue="1">
      <formula>IF(FW$8="判定対象外",TRUE,FALSE)</formula>
    </cfRule>
  </conditionalFormatting>
  <conditionalFormatting sqref="FV68">
    <cfRule type="expression" dxfId="1423" priority="1156" stopIfTrue="1">
      <formula>IF(FW$8="判定対象外",TRUE,FALSE)</formula>
    </cfRule>
  </conditionalFormatting>
  <conditionalFormatting sqref="FR67">
    <cfRule type="expression" dxfId="1422" priority="1212" stopIfTrue="1">
      <formula>IF(FS$8="判定対象外",TRUE,FALSE)</formula>
    </cfRule>
  </conditionalFormatting>
  <conditionalFormatting sqref="FZ68">
    <cfRule type="expression" dxfId="1421" priority="1155" stopIfTrue="1">
      <formula>IF(GA$8="判定対象外",TRUE,FALSE)</formula>
    </cfRule>
  </conditionalFormatting>
  <conditionalFormatting sqref="FR68">
    <cfRule type="expression" dxfId="1420" priority="1165" stopIfTrue="1">
      <formula>IF(FS$8="判定対象外",TRUE,FALSE)</formula>
    </cfRule>
  </conditionalFormatting>
  <conditionalFormatting sqref="FU68">
    <cfRule type="expression" dxfId="1419" priority="1163" stopIfTrue="1">
      <formula>IF(FU68="-",TRUE,FALSE)</formula>
    </cfRule>
    <cfRule type="expression" dxfId="1418" priority="1164" stopIfTrue="1">
      <formula>IF(OR(FU68="OK"),FALSE,TRUE)</formula>
    </cfRule>
  </conditionalFormatting>
  <conditionalFormatting sqref="FT68">
    <cfRule type="expression" dxfId="1417" priority="1162" stopIfTrue="1">
      <formula>IF(FS$8="判定対象外",TRUE,FALSE)</formula>
    </cfRule>
  </conditionalFormatting>
  <conditionalFormatting sqref="FS68">
    <cfRule type="expression" dxfId="1416" priority="1161" stopIfTrue="1">
      <formula>IF(FS$8="判定対象外",TRUE,FALSE)</formula>
    </cfRule>
  </conditionalFormatting>
  <conditionalFormatting sqref="FZ69">
    <cfRule type="expression" dxfId="1415" priority="1144" stopIfTrue="1">
      <formula>IF(GA$8="判定対象外",TRUE,FALSE)</formula>
    </cfRule>
  </conditionalFormatting>
  <conditionalFormatting sqref="FZ66">
    <cfRule type="expression" dxfId="1414" priority="1191" stopIfTrue="1">
      <formula>IF(GA$8="判定対象外",TRUE,FALSE)</formula>
    </cfRule>
  </conditionalFormatting>
  <conditionalFormatting sqref="FR66">
    <cfRule type="expression" dxfId="1413" priority="1201" stopIfTrue="1">
      <formula>IF(FS$8="判定対象外",TRUE,FALSE)</formula>
    </cfRule>
  </conditionalFormatting>
  <conditionalFormatting sqref="FU66">
    <cfRule type="expression" dxfId="1412" priority="1199" stopIfTrue="1">
      <formula>IF(FU66="-",TRUE,FALSE)</formula>
    </cfRule>
    <cfRule type="expression" dxfId="1411" priority="1200" stopIfTrue="1">
      <formula>IF(OR(FU66="OK"),FALSE,TRUE)</formula>
    </cfRule>
  </conditionalFormatting>
  <conditionalFormatting sqref="FT66">
    <cfRule type="expression" dxfId="1410" priority="1198" stopIfTrue="1">
      <formula>IF(FS$8="判定対象外",TRUE,FALSE)</formula>
    </cfRule>
  </conditionalFormatting>
  <conditionalFormatting sqref="FS66">
    <cfRule type="expression" dxfId="1409" priority="1197" stopIfTrue="1">
      <formula>IF(FS$8="判定対象外",TRUE,FALSE)</formula>
    </cfRule>
  </conditionalFormatting>
  <conditionalFormatting sqref="FZ68">
    <cfRule type="expression" dxfId="1408" priority="1180" stopIfTrue="1">
      <formula>IF(GA$8="判定対象外",TRUE,FALSE)</formula>
    </cfRule>
  </conditionalFormatting>
  <conditionalFormatting sqref="FZ65">
    <cfRule type="expression" dxfId="1407" priority="1213" stopIfTrue="1">
      <formula>IF(GA$8="判定対象外",TRUE,FALSE)</formula>
    </cfRule>
  </conditionalFormatting>
  <conditionalFormatting sqref="FR65">
    <cfRule type="expression" dxfId="1406" priority="1223" stopIfTrue="1">
      <formula>IF(FS$8="判定対象外",TRUE,FALSE)</formula>
    </cfRule>
  </conditionalFormatting>
  <conditionalFormatting sqref="FU65">
    <cfRule type="expression" dxfId="1405" priority="1221" stopIfTrue="1">
      <formula>IF(FU65="-",TRUE,FALSE)</formula>
    </cfRule>
    <cfRule type="expression" dxfId="1404" priority="1222" stopIfTrue="1">
      <formula>IF(OR(FU65="OK"),FALSE,TRUE)</formula>
    </cfRule>
  </conditionalFormatting>
  <conditionalFormatting sqref="FT65">
    <cfRule type="expression" dxfId="1403" priority="1220" stopIfTrue="1">
      <formula>IF(FS$8="判定対象外",TRUE,FALSE)</formula>
    </cfRule>
  </conditionalFormatting>
  <conditionalFormatting sqref="FS65">
    <cfRule type="expression" dxfId="1402" priority="1219" stopIfTrue="1">
      <formula>IF(FS$8="判定対象外",TRUE,FALSE)</formula>
    </cfRule>
  </conditionalFormatting>
  <conditionalFormatting sqref="FZ67">
    <cfRule type="expression" dxfId="1401" priority="1202" stopIfTrue="1">
      <formula>IF(GA$8="判定対象外",TRUE,FALSE)</formula>
    </cfRule>
  </conditionalFormatting>
  <conditionalFormatting sqref="FZ64">
    <cfRule type="expression" dxfId="1400" priority="1224" stopIfTrue="1">
      <formula>IF(GA$8="判定対象外",TRUE,FALSE)</formula>
    </cfRule>
  </conditionalFormatting>
  <conditionalFormatting sqref="FR64">
    <cfRule type="expression" dxfId="1399" priority="1234" stopIfTrue="1">
      <formula>IF(FS$8="判定対象外",TRUE,FALSE)</formula>
    </cfRule>
  </conditionalFormatting>
  <conditionalFormatting sqref="FU64">
    <cfRule type="expression" dxfId="1398" priority="1232" stopIfTrue="1">
      <formula>IF(FU64="-",TRUE,FALSE)</formula>
    </cfRule>
    <cfRule type="expression" dxfId="1397" priority="1233" stopIfTrue="1">
      <formula>IF(OR(FU64="OK"),FALSE,TRUE)</formula>
    </cfRule>
  </conditionalFormatting>
  <conditionalFormatting sqref="FT64">
    <cfRule type="expression" dxfId="1396" priority="1231" stopIfTrue="1">
      <formula>IF(FS$8="判定対象外",TRUE,FALSE)</formula>
    </cfRule>
  </conditionalFormatting>
  <conditionalFormatting sqref="FS64">
    <cfRule type="expression" dxfId="1395" priority="1230" stopIfTrue="1">
      <formula>IF(FS$8="判定対象外",TRUE,FALSE)</formula>
    </cfRule>
  </conditionalFormatting>
  <conditionalFormatting sqref="FZ63">
    <cfRule type="expression" dxfId="1394" priority="1235" stopIfTrue="1">
      <formula>IF(GA$8="判定対象外",TRUE,FALSE)</formula>
    </cfRule>
  </conditionalFormatting>
  <conditionalFormatting sqref="FR63">
    <cfRule type="expression" dxfId="1393" priority="1245" stopIfTrue="1">
      <formula>IF(FS$8="判定対象外",TRUE,FALSE)</formula>
    </cfRule>
  </conditionalFormatting>
  <conditionalFormatting sqref="FU63">
    <cfRule type="expression" dxfId="1392" priority="1243" stopIfTrue="1">
      <formula>IF(FU63="-",TRUE,FALSE)</formula>
    </cfRule>
    <cfRule type="expression" dxfId="1391" priority="1244" stopIfTrue="1">
      <formula>IF(OR(FU63="OK"),FALSE,TRUE)</formula>
    </cfRule>
  </conditionalFormatting>
  <conditionalFormatting sqref="FT63">
    <cfRule type="expression" dxfId="1390" priority="1242" stopIfTrue="1">
      <formula>IF(FS$8="判定対象外",TRUE,FALSE)</formula>
    </cfRule>
  </conditionalFormatting>
  <conditionalFormatting sqref="FS63">
    <cfRule type="expression" dxfId="1389" priority="1241" stopIfTrue="1">
      <formula>IF(FS$8="判定対象外",TRUE,FALSE)</formula>
    </cfRule>
  </conditionalFormatting>
  <conditionalFormatting sqref="FZ62">
    <cfRule type="expression" dxfId="1388" priority="1246" stopIfTrue="1">
      <formula>IF(GA$8="判定対象外",TRUE,FALSE)</formula>
    </cfRule>
  </conditionalFormatting>
  <conditionalFormatting sqref="FR62">
    <cfRule type="expression" dxfId="1387" priority="1256" stopIfTrue="1">
      <formula>IF(FS$8="判定対象外",TRUE,FALSE)</formula>
    </cfRule>
  </conditionalFormatting>
  <conditionalFormatting sqref="FU62">
    <cfRule type="expression" dxfId="1386" priority="1254" stopIfTrue="1">
      <formula>IF(FU62="-",TRUE,FALSE)</formula>
    </cfRule>
    <cfRule type="expression" dxfId="1385" priority="1255" stopIfTrue="1">
      <formula>IF(OR(FU62="OK"),FALSE,TRUE)</formula>
    </cfRule>
  </conditionalFormatting>
  <conditionalFormatting sqref="FT62">
    <cfRule type="expression" dxfId="1384" priority="1253" stopIfTrue="1">
      <formula>IF(FS$8="判定対象外",TRUE,FALSE)</formula>
    </cfRule>
  </conditionalFormatting>
  <conditionalFormatting sqref="FS62">
    <cfRule type="expression" dxfId="1383" priority="1252" stopIfTrue="1">
      <formula>IF(FS$8="判定対象外",TRUE,FALSE)</formula>
    </cfRule>
  </conditionalFormatting>
  <conditionalFormatting sqref="FZ61">
    <cfRule type="expression" dxfId="1382" priority="1257" stopIfTrue="1">
      <formula>IF(GA$8="判定対象外",TRUE,FALSE)</formula>
    </cfRule>
  </conditionalFormatting>
  <conditionalFormatting sqref="FR61">
    <cfRule type="expression" dxfId="1381" priority="1267" stopIfTrue="1">
      <formula>IF(FS$8="判定対象外",TRUE,FALSE)</formula>
    </cfRule>
  </conditionalFormatting>
  <conditionalFormatting sqref="FU61">
    <cfRule type="expression" dxfId="1380" priority="1265" stopIfTrue="1">
      <formula>IF(FU61="-",TRUE,FALSE)</formula>
    </cfRule>
    <cfRule type="expression" dxfId="1379" priority="1266" stopIfTrue="1">
      <formula>IF(OR(FU61="OK"),FALSE,TRUE)</formula>
    </cfRule>
  </conditionalFormatting>
  <conditionalFormatting sqref="FT61">
    <cfRule type="expression" dxfId="1378" priority="1264" stopIfTrue="1">
      <formula>IF(FS$8="判定対象外",TRUE,FALSE)</formula>
    </cfRule>
  </conditionalFormatting>
  <conditionalFormatting sqref="FS61">
    <cfRule type="expression" dxfId="1377" priority="1263" stopIfTrue="1">
      <formula>IF(FS$8="判定対象外",TRUE,FALSE)</formula>
    </cfRule>
  </conditionalFormatting>
  <conditionalFormatting sqref="FZ60">
    <cfRule type="expression" dxfId="1376" priority="1268" stopIfTrue="1">
      <formula>IF(GA$8="判定対象外",TRUE,FALSE)</formula>
    </cfRule>
  </conditionalFormatting>
  <conditionalFormatting sqref="FZ53 FZ56 FZ68 FZ71">
    <cfRule type="expression" dxfId="1375" priority="1314" stopIfTrue="1">
      <formula>IF(GA$8="判定対象外",TRUE,FALSE)</formula>
    </cfRule>
  </conditionalFormatting>
  <conditionalFormatting sqref="FR60">
    <cfRule type="expression" dxfId="1374" priority="1278" stopIfTrue="1">
      <formula>IF(FS$8="判定対象外",TRUE,FALSE)</formula>
    </cfRule>
  </conditionalFormatting>
  <conditionalFormatting sqref="FU60">
    <cfRule type="expression" dxfId="1373" priority="1276" stopIfTrue="1">
      <formula>IF(FU60="-",TRUE,FALSE)</formula>
    </cfRule>
    <cfRule type="expression" dxfId="1372" priority="1277" stopIfTrue="1">
      <formula>IF(OR(FU60="OK"),FALSE,TRUE)</formula>
    </cfRule>
  </conditionalFormatting>
  <conditionalFormatting sqref="FT60">
    <cfRule type="expression" dxfId="1371" priority="1275" stopIfTrue="1">
      <formula>IF(FS$8="判定対象外",TRUE,FALSE)</formula>
    </cfRule>
  </conditionalFormatting>
  <conditionalFormatting sqref="FS60">
    <cfRule type="expression" dxfId="1370" priority="1274" stopIfTrue="1">
      <formula>IF(FS$8="判定対象外",TRUE,FALSE)</formula>
    </cfRule>
  </conditionalFormatting>
  <conditionalFormatting sqref="FZ19">
    <cfRule type="expression" dxfId="1369" priority="1325" stopIfTrue="1">
      <formula>IF(GA$8="判定対象外",TRUE,FALSE)</formula>
    </cfRule>
  </conditionalFormatting>
  <conditionalFormatting sqref="FZ59">
    <cfRule type="expression" dxfId="1368" priority="1279" stopIfTrue="1">
      <formula>IF(GA$8="判定対象外",TRUE,FALSE)</formula>
    </cfRule>
  </conditionalFormatting>
  <conditionalFormatting sqref="FR59">
    <cfRule type="expression" dxfId="1367" priority="1289" stopIfTrue="1">
      <formula>IF(FS$8="判定対象外",TRUE,FALSE)</formula>
    </cfRule>
  </conditionalFormatting>
  <conditionalFormatting sqref="FU59">
    <cfRule type="expression" dxfId="1366" priority="1287" stopIfTrue="1">
      <formula>IF(FU59="-",TRUE,FALSE)</formula>
    </cfRule>
    <cfRule type="expression" dxfId="1365" priority="1288" stopIfTrue="1">
      <formula>IF(OR(FU59="OK"),FALSE,TRUE)</formula>
    </cfRule>
  </conditionalFormatting>
  <conditionalFormatting sqref="FT59">
    <cfRule type="expression" dxfId="1364" priority="1286" stopIfTrue="1">
      <formula>IF(FS$8="判定対象外",TRUE,FALSE)</formula>
    </cfRule>
  </conditionalFormatting>
  <conditionalFormatting sqref="FS59">
    <cfRule type="expression" dxfId="1363" priority="1285" stopIfTrue="1">
      <formula>IF(FS$8="判定対象外",TRUE,FALSE)</formula>
    </cfRule>
  </conditionalFormatting>
  <conditionalFormatting sqref="FZ16:FZ18">
    <cfRule type="expression" dxfId="1362" priority="1335" stopIfTrue="1">
      <formula>IF(GA$8="判定対象外",TRUE,FALSE)</formula>
    </cfRule>
  </conditionalFormatting>
  <conditionalFormatting sqref="FU8:FU10">
    <cfRule type="expression" dxfId="1361" priority="1483" stopIfTrue="1">
      <formula>IF(FU8="-",TRUE,FALSE)</formula>
    </cfRule>
    <cfRule type="expression" dxfId="1360" priority="1484" stopIfTrue="1">
      <formula>IF(OR(FU8="OK"),FALSE,TRUE)</formula>
    </cfRule>
  </conditionalFormatting>
  <conditionalFormatting sqref="FR8:FR10">
    <cfRule type="expression" dxfId="1359" priority="1482" stopIfTrue="1">
      <formula>IF(FS$8="判定対象外",TRUE,FALSE)</formula>
    </cfRule>
  </conditionalFormatting>
  <conditionalFormatting sqref="FS8:FS10">
    <cfRule type="expression" dxfId="1358" priority="1481" stopIfTrue="1">
      <formula>IF(FS$8="判定対象外",TRUE,FALSE)</formula>
    </cfRule>
  </conditionalFormatting>
  <conditionalFormatting sqref="FT8:FT10">
    <cfRule type="expression" dxfId="1357" priority="1480" stopIfTrue="1">
      <formula>IF(FS$8="判定対象外",TRUE,FALSE)</formula>
    </cfRule>
  </conditionalFormatting>
  <conditionalFormatting sqref="FU11:FU34 FU71:FU81 FU36:FU56">
    <cfRule type="expression" dxfId="1356" priority="1477" stopIfTrue="1">
      <formula>IF(FU11="-",TRUE,FALSE)</formula>
    </cfRule>
    <cfRule type="expression" dxfId="1355" priority="1478" stopIfTrue="1">
      <formula>IF(OR(FU11="OK"),FALSE,TRUE)</formula>
    </cfRule>
  </conditionalFormatting>
  <conditionalFormatting sqref="FT11:FT34 FT71:FT81 FT36:FT56">
    <cfRule type="expression" dxfId="1354" priority="1476" stopIfTrue="1">
      <formula>IF(FS$8="判定対象外",TRUE,FALSE)</formula>
    </cfRule>
  </conditionalFormatting>
  <conditionalFormatting sqref="FR72:FR81 FR21:FR34 FR36:FR46">
    <cfRule type="expression" dxfId="1353" priority="1475" stopIfTrue="1">
      <formula>IF(FS$8="判定対象外",TRUE,FALSE)</formula>
    </cfRule>
  </conditionalFormatting>
  <conditionalFormatting sqref="FR29:FR32">
    <cfRule type="expression" dxfId="1352" priority="1474" stopIfTrue="1">
      <formula>IF(FS$8="判定対象外",TRUE,FALSE)</formula>
    </cfRule>
  </conditionalFormatting>
  <conditionalFormatting sqref="FR42:FR44">
    <cfRule type="expression" dxfId="1351" priority="1473" stopIfTrue="1">
      <formula>IF(FS$8="判定対象外",TRUE,FALSE)</formula>
    </cfRule>
  </conditionalFormatting>
  <conditionalFormatting sqref="FR46">
    <cfRule type="expression" dxfId="1350" priority="1472" stopIfTrue="1">
      <formula>IF(FS$8="判定対象外",TRUE,FALSE)</formula>
    </cfRule>
  </conditionalFormatting>
  <conditionalFormatting sqref="FR42:FR44">
    <cfRule type="expression" dxfId="1349" priority="1471" stopIfTrue="1">
      <formula>IF(FS$8="判定対象外",TRUE,FALSE)</formula>
    </cfRule>
  </conditionalFormatting>
  <conditionalFormatting sqref="FR42:FR44">
    <cfRule type="expression" dxfId="1348" priority="1470" stopIfTrue="1">
      <formula>IF(FS$8="判定対象外",TRUE,FALSE)</formula>
    </cfRule>
  </conditionalFormatting>
  <conditionalFormatting sqref="FR42:FR44">
    <cfRule type="expression" dxfId="1347" priority="1469" stopIfTrue="1">
      <formula>IF(FS$8="判定対象外",TRUE,FALSE)</formula>
    </cfRule>
  </conditionalFormatting>
  <conditionalFormatting sqref="FR42:FR44">
    <cfRule type="expression" dxfId="1346" priority="1468" stopIfTrue="1">
      <formula>IF(FS$8="判定対象外",TRUE,FALSE)</formula>
    </cfRule>
  </conditionalFormatting>
  <conditionalFormatting sqref="FR42:FR44">
    <cfRule type="expression" dxfId="1345" priority="1467" stopIfTrue="1">
      <formula>IF(FS$8="判定対象外",TRUE,FALSE)</formula>
    </cfRule>
  </conditionalFormatting>
  <conditionalFormatting sqref="FR42:FR44">
    <cfRule type="expression" dxfId="1344" priority="1466" stopIfTrue="1">
      <formula>IF(FS$8="判定対象外",TRUE,FALSE)</formula>
    </cfRule>
  </conditionalFormatting>
  <conditionalFormatting sqref="FR42:FR44">
    <cfRule type="expression" dxfId="1343" priority="1465" stopIfTrue="1">
      <formula>IF(FS$8="判定対象外",TRUE,FALSE)</formula>
    </cfRule>
  </conditionalFormatting>
  <conditionalFormatting sqref="FR38">
    <cfRule type="expression" dxfId="1342" priority="1479" stopIfTrue="1">
      <formula>IF(#REF!="判定対象外",TRUE,FALSE)</formula>
    </cfRule>
  </conditionalFormatting>
  <conditionalFormatting sqref="FS11:FS34 FS71:FS81 FS36:FS56">
    <cfRule type="expression" dxfId="1341" priority="1464" stopIfTrue="1">
      <formula>IF(FS$8="判定対象外",TRUE,FALSE)</formula>
    </cfRule>
  </conditionalFormatting>
  <conditionalFormatting sqref="FR48">
    <cfRule type="expression" dxfId="1340" priority="1463" stopIfTrue="1">
      <formula>IF(FS$8="判定対象外",TRUE,FALSE)</formula>
    </cfRule>
  </conditionalFormatting>
  <conditionalFormatting sqref="FR51">
    <cfRule type="expression" dxfId="1339" priority="1462" stopIfTrue="1">
      <formula>IF(FS$8="判定対象外",TRUE,FALSE)</formula>
    </cfRule>
  </conditionalFormatting>
  <conditionalFormatting sqref="FR52 FR55 FR70">
    <cfRule type="expression" dxfId="1338" priority="1461" stopIfTrue="1">
      <formula>IF(FS$8="判定対象外",TRUE,FALSE)</formula>
    </cfRule>
  </conditionalFormatting>
  <conditionalFormatting sqref="FR11:FR20">
    <cfRule type="expression" dxfId="1337" priority="1460" stopIfTrue="1">
      <formula>IF(FS$8="判定対象外",TRUE,FALSE)</formula>
    </cfRule>
  </conditionalFormatting>
  <conditionalFormatting sqref="FR16:FR18">
    <cfRule type="expression" dxfId="1336" priority="1459" stopIfTrue="1">
      <formula>IF(FS$8="判定対象外",TRUE,FALSE)</formula>
    </cfRule>
  </conditionalFormatting>
  <conditionalFormatting sqref="FR20">
    <cfRule type="expression" dxfId="1335" priority="1458" stopIfTrue="1">
      <formula>IF(FS$8="判定対象外",TRUE,FALSE)</formula>
    </cfRule>
  </conditionalFormatting>
  <conditionalFormatting sqref="FR16:FR20">
    <cfRule type="expression" dxfId="1334" priority="1457" stopIfTrue="1">
      <formula>IF(FS$8="判定対象外",TRUE,FALSE)</formula>
    </cfRule>
  </conditionalFormatting>
  <conditionalFormatting sqref="FR11:FR20">
    <cfRule type="expression" dxfId="1333" priority="1456" stopIfTrue="1">
      <formula>IF(FS$8="判定対象外",TRUE,FALSE)</formula>
    </cfRule>
  </conditionalFormatting>
  <conditionalFormatting sqref="FR16:FR18">
    <cfRule type="expression" dxfId="1332" priority="1455" stopIfTrue="1">
      <formula>IF(FS$8="判定対象外",TRUE,FALSE)</formula>
    </cfRule>
  </conditionalFormatting>
  <conditionalFormatting sqref="FR20">
    <cfRule type="expression" dxfId="1331" priority="1454" stopIfTrue="1">
      <formula>IF(FS$8="判定対象外",TRUE,FALSE)</formula>
    </cfRule>
  </conditionalFormatting>
  <conditionalFormatting sqref="FR16:FR20">
    <cfRule type="expression" dxfId="1330" priority="1453" stopIfTrue="1">
      <formula>IF(FS$8="判定対象外",TRUE,FALSE)</formula>
    </cfRule>
  </conditionalFormatting>
  <conditionalFormatting sqref="FR11:FR20">
    <cfRule type="expression" dxfId="1329" priority="1452" stopIfTrue="1">
      <formula>IF(FS$8="判定対象外",TRUE,FALSE)</formula>
    </cfRule>
  </conditionalFormatting>
  <conditionalFormatting sqref="FR16:FR18">
    <cfRule type="expression" dxfId="1328" priority="1451" stopIfTrue="1">
      <formula>IF(FS$8="判定対象外",TRUE,FALSE)</formula>
    </cfRule>
  </conditionalFormatting>
  <conditionalFormatting sqref="FR20">
    <cfRule type="expression" dxfId="1327" priority="1450" stopIfTrue="1">
      <formula>IF(FS$8="判定対象外",TRUE,FALSE)</formula>
    </cfRule>
  </conditionalFormatting>
  <conditionalFormatting sqref="FR16:FR20">
    <cfRule type="expression" dxfId="1326" priority="1449" stopIfTrue="1">
      <formula>IF(FS$8="判定対象外",TRUE,FALSE)</formula>
    </cfRule>
  </conditionalFormatting>
  <conditionalFormatting sqref="FR11:FR13">
    <cfRule type="expression" dxfId="1325" priority="1448" stopIfTrue="1">
      <formula>IF(FS$8="判定対象外",TRUE,FALSE)</formula>
    </cfRule>
  </conditionalFormatting>
  <conditionalFormatting sqref="FR15">
    <cfRule type="expression" dxfId="1324" priority="1447" stopIfTrue="1">
      <formula>IF(FS$8="判定対象外",TRUE,FALSE)</formula>
    </cfRule>
  </conditionalFormatting>
  <conditionalFormatting sqref="FR19">
    <cfRule type="expression" dxfId="1323" priority="1446" stopIfTrue="1">
      <formula>IF(FS$8="判定対象外",TRUE,FALSE)</formula>
    </cfRule>
  </conditionalFormatting>
  <conditionalFormatting sqref="FR19">
    <cfRule type="expression" dxfId="1322" priority="1445" stopIfTrue="1">
      <formula>IF(FS$8="判定対象外",TRUE,FALSE)</formula>
    </cfRule>
  </conditionalFormatting>
  <conditionalFormatting sqref="FR20">
    <cfRule type="expression" dxfId="1321" priority="1444" stopIfTrue="1">
      <formula>IF(FS$8="判定対象外",TRUE,FALSE)</formula>
    </cfRule>
  </conditionalFormatting>
  <conditionalFormatting sqref="FR20">
    <cfRule type="expression" dxfId="1320" priority="1443" stopIfTrue="1">
      <formula>IF(FS$8="判定対象外",TRUE,FALSE)</formula>
    </cfRule>
  </conditionalFormatting>
  <conditionalFormatting sqref="FR20">
    <cfRule type="expression" dxfId="1319" priority="1442" stopIfTrue="1">
      <formula>IF(FS$8="判定対象外",TRUE,FALSE)</formula>
    </cfRule>
  </conditionalFormatting>
  <conditionalFormatting sqref="FR13">
    <cfRule type="expression" dxfId="1318" priority="1441" stopIfTrue="1">
      <formula>IF(FS$8="判定対象外",TRUE,FALSE)</formula>
    </cfRule>
  </conditionalFormatting>
  <conditionalFormatting sqref="FR47">
    <cfRule type="expression" dxfId="1317" priority="1440" stopIfTrue="1">
      <formula>IF(FS$8="判定対象外",TRUE,FALSE)</formula>
    </cfRule>
  </conditionalFormatting>
  <conditionalFormatting sqref="FR47">
    <cfRule type="expression" dxfId="1316" priority="1439" stopIfTrue="1">
      <formula>IF(FS$8="判定対象外",TRUE,FALSE)</formula>
    </cfRule>
  </conditionalFormatting>
  <conditionalFormatting sqref="FR49">
    <cfRule type="expression" dxfId="1315" priority="1438" stopIfTrue="1">
      <formula>IF(FS$8="判定対象外",TRUE,FALSE)</formula>
    </cfRule>
  </conditionalFormatting>
  <conditionalFormatting sqref="FR49">
    <cfRule type="expression" dxfId="1314" priority="1437" stopIfTrue="1">
      <formula>IF(FS$8="判定対象外",TRUE,FALSE)</formula>
    </cfRule>
  </conditionalFormatting>
  <conditionalFormatting sqref="FR50">
    <cfRule type="expression" dxfId="1313" priority="1436" stopIfTrue="1">
      <formula>IF(FS$8="判定対象外",TRUE,FALSE)</formula>
    </cfRule>
  </conditionalFormatting>
  <conditionalFormatting sqref="FR50">
    <cfRule type="expression" dxfId="1312" priority="1435" stopIfTrue="1">
      <formula>IF(FS$8="判定対象外",TRUE,FALSE)</formula>
    </cfRule>
  </conditionalFormatting>
  <conditionalFormatting sqref="FR53 FR56 FR68 FR71">
    <cfRule type="expression" dxfId="1311" priority="1434" stopIfTrue="1">
      <formula>IF(FS$8="判定対象外",TRUE,FALSE)</formula>
    </cfRule>
  </conditionalFormatting>
  <conditionalFormatting sqref="FR54 FR57 FR69">
    <cfRule type="expression" dxfId="1310" priority="1433" stopIfTrue="1">
      <formula>IF(FS$8="判定対象外",TRUE,FALSE)</formula>
    </cfRule>
  </conditionalFormatting>
  <conditionalFormatting sqref="FU57">
    <cfRule type="expression" dxfId="1309" priority="1431" stopIfTrue="1">
      <formula>IF(FU57="-",TRUE,FALSE)</formula>
    </cfRule>
    <cfRule type="expression" dxfId="1308" priority="1432" stopIfTrue="1">
      <formula>IF(OR(FU57="OK"),FALSE,TRUE)</formula>
    </cfRule>
  </conditionalFormatting>
  <conditionalFormatting sqref="FT57">
    <cfRule type="expression" dxfId="1307" priority="1430" stopIfTrue="1">
      <formula>IF(FS$8="判定対象外",TRUE,FALSE)</formula>
    </cfRule>
  </conditionalFormatting>
  <conditionalFormatting sqref="FS57">
    <cfRule type="expression" dxfId="1306" priority="1429" stopIfTrue="1">
      <formula>IF(FS$8="判定対象外",TRUE,FALSE)</formula>
    </cfRule>
  </conditionalFormatting>
  <conditionalFormatting sqref="FU68:FU70">
    <cfRule type="expression" dxfId="1305" priority="1427" stopIfTrue="1">
      <formula>IF(FU68="-",TRUE,FALSE)</formula>
    </cfRule>
    <cfRule type="expression" dxfId="1304" priority="1428" stopIfTrue="1">
      <formula>IF(OR(FU68="OK"),FALSE,TRUE)</formula>
    </cfRule>
  </conditionalFormatting>
  <conditionalFormatting sqref="FT68:FT70">
    <cfRule type="expression" dxfId="1303" priority="1426" stopIfTrue="1">
      <formula>IF(FS$8="判定対象外",TRUE,FALSE)</formula>
    </cfRule>
  </conditionalFormatting>
  <conditionalFormatting sqref="FS68:FS70">
    <cfRule type="expression" dxfId="1302" priority="1425" stopIfTrue="1">
      <formula>IF(FS$8="判定対象外",TRUE,FALSE)</formula>
    </cfRule>
  </conditionalFormatting>
  <conditionalFormatting sqref="FY8:FY10">
    <cfRule type="expression" dxfId="1301" priority="1423" stopIfTrue="1">
      <formula>IF(FY8="-",TRUE,FALSE)</formula>
    </cfRule>
    <cfRule type="expression" dxfId="1300" priority="1424" stopIfTrue="1">
      <formula>IF(OR(FY8="OK"),FALSE,TRUE)</formula>
    </cfRule>
  </conditionalFormatting>
  <conditionalFormatting sqref="FV8:FV10">
    <cfRule type="expression" dxfId="1299" priority="1422" stopIfTrue="1">
      <formula>IF(FW$8="判定対象外",TRUE,FALSE)</formula>
    </cfRule>
  </conditionalFormatting>
  <conditionalFormatting sqref="FW8:FW10">
    <cfRule type="expression" dxfId="1298" priority="1421" stopIfTrue="1">
      <formula>IF(FW$8="判定対象外",TRUE,FALSE)</formula>
    </cfRule>
  </conditionalFormatting>
  <conditionalFormatting sqref="FX8:FX10">
    <cfRule type="expression" dxfId="1297" priority="1420" stopIfTrue="1">
      <formula>IF(FW$8="判定対象外",TRUE,FALSE)</formula>
    </cfRule>
  </conditionalFormatting>
  <conditionalFormatting sqref="FY11:FY56 FY71:FY81">
    <cfRule type="expression" dxfId="1296" priority="1417" stopIfTrue="1">
      <formula>IF(FY11="-",TRUE,FALSE)</formula>
    </cfRule>
    <cfRule type="expression" dxfId="1295" priority="1418" stopIfTrue="1">
      <formula>IF(OR(FY11="OK"),FALSE,TRUE)</formula>
    </cfRule>
  </conditionalFormatting>
  <conditionalFormatting sqref="FX11:FX56 FX71:FX81">
    <cfRule type="expression" dxfId="1294" priority="1416" stopIfTrue="1">
      <formula>IF(FW$8="判定対象外",TRUE,FALSE)</formula>
    </cfRule>
  </conditionalFormatting>
  <conditionalFormatting sqref="FV72:FV81 FV21:FV34 FV36:FV46">
    <cfRule type="expression" dxfId="1293" priority="1415" stopIfTrue="1">
      <formula>IF(FW$8="判定対象外",TRUE,FALSE)</formula>
    </cfRule>
  </conditionalFormatting>
  <conditionalFormatting sqref="FV29:FV32">
    <cfRule type="expression" dxfId="1292" priority="1414" stopIfTrue="1">
      <formula>IF(FW$8="判定対象外",TRUE,FALSE)</formula>
    </cfRule>
  </conditionalFormatting>
  <conditionalFormatting sqref="FV42:FV44">
    <cfRule type="expression" dxfId="1291" priority="1413" stopIfTrue="1">
      <formula>IF(FW$8="判定対象外",TRUE,FALSE)</formula>
    </cfRule>
  </conditionalFormatting>
  <conditionalFormatting sqref="FV46">
    <cfRule type="expression" dxfId="1290" priority="1412" stopIfTrue="1">
      <formula>IF(FW$8="判定対象外",TRUE,FALSE)</formula>
    </cfRule>
  </conditionalFormatting>
  <conditionalFormatting sqref="FV42:FV44">
    <cfRule type="expression" dxfId="1289" priority="1411" stopIfTrue="1">
      <formula>IF(FW$8="判定対象外",TRUE,FALSE)</formula>
    </cfRule>
  </conditionalFormatting>
  <conditionalFormatting sqref="FV42:FV44">
    <cfRule type="expression" dxfId="1288" priority="1410" stopIfTrue="1">
      <formula>IF(FW$8="判定対象外",TRUE,FALSE)</formula>
    </cfRule>
  </conditionalFormatting>
  <conditionalFormatting sqref="FV42:FV44">
    <cfRule type="expression" dxfId="1287" priority="1409" stopIfTrue="1">
      <formula>IF(FW$8="判定対象外",TRUE,FALSE)</formula>
    </cfRule>
  </conditionalFormatting>
  <conditionalFormatting sqref="FV42:FV44">
    <cfRule type="expression" dxfId="1286" priority="1408" stopIfTrue="1">
      <formula>IF(FW$8="判定対象外",TRUE,FALSE)</formula>
    </cfRule>
  </conditionalFormatting>
  <conditionalFormatting sqref="FV42:FV44">
    <cfRule type="expression" dxfId="1285" priority="1407" stopIfTrue="1">
      <formula>IF(FW$8="判定対象外",TRUE,FALSE)</formula>
    </cfRule>
  </conditionalFormatting>
  <conditionalFormatting sqref="FV42:FV44">
    <cfRule type="expression" dxfId="1284" priority="1406" stopIfTrue="1">
      <formula>IF(FW$8="判定対象外",TRUE,FALSE)</formula>
    </cfRule>
  </conditionalFormatting>
  <conditionalFormatting sqref="FV42:FV44">
    <cfRule type="expression" dxfId="1283" priority="1405" stopIfTrue="1">
      <formula>IF(FW$8="判定対象外",TRUE,FALSE)</formula>
    </cfRule>
  </conditionalFormatting>
  <conditionalFormatting sqref="FV38">
    <cfRule type="expression" dxfId="1282" priority="1419" stopIfTrue="1">
      <formula>IF(#REF!="判定対象外",TRUE,FALSE)</formula>
    </cfRule>
  </conditionalFormatting>
  <conditionalFormatting sqref="FW11:FW56 FW71:FW81">
    <cfRule type="expression" dxfId="1281" priority="1404" stopIfTrue="1">
      <formula>IF(FW$8="判定対象外",TRUE,FALSE)</formula>
    </cfRule>
  </conditionalFormatting>
  <conditionalFormatting sqref="FV48">
    <cfRule type="expression" dxfId="1280" priority="1403" stopIfTrue="1">
      <formula>IF(FW$8="判定対象外",TRUE,FALSE)</formula>
    </cfRule>
  </conditionalFormatting>
  <conditionalFormatting sqref="FV51">
    <cfRule type="expression" dxfId="1279" priority="1402" stopIfTrue="1">
      <formula>IF(FW$8="判定対象外",TRUE,FALSE)</formula>
    </cfRule>
  </conditionalFormatting>
  <conditionalFormatting sqref="FV52 FV55">
    <cfRule type="expression" dxfId="1278" priority="1401" stopIfTrue="1">
      <formula>IF(FW$8="判定対象外",TRUE,FALSE)</formula>
    </cfRule>
  </conditionalFormatting>
  <conditionalFormatting sqref="FV11:FV20">
    <cfRule type="expression" dxfId="1277" priority="1400" stopIfTrue="1">
      <formula>IF(FW$8="判定対象外",TRUE,FALSE)</formula>
    </cfRule>
  </conditionalFormatting>
  <conditionalFormatting sqref="FV16:FV18">
    <cfRule type="expression" dxfId="1276" priority="1399" stopIfTrue="1">
      <formula>IF(FW$8="判定対象外",TRUE,FALSE)</formula>
    </cfRule>
  </conditionalFormatting>
  <conditionalFormatting sqref="FV20">
    <cfRule type="expression" dxfId="1275" priority="1398" stopIfTrue="1">
      <formula>IF(FW$8="判定対象外",TRUE,FALSE)</formula>
    </cfRule>
  </conditionalFormatting>
  <conditionalFormatting sqref="FV16:FV20">
    <cfRule type="expression" dxfId="1274" priority="1397" stopIfTrue="1">
      <formula>IF(FW$8="判定対象外",TRUE,FALSE)</formula>
    </cfRule>
  </conditionalFormatting>
  <conditionalFormatting sqref="FV11:FV20">
    <cfRule type="expression" dxfId="1273" priority="1396" stopIfTrue="1">
      <formula>IF(FW$8="判定対象外",TRUE,FALSE)</formula>
    </cfRule>
  </conditionalFormatting>
  <conditionalFormatting sqref="FV16:FV18">
    <cfRule type="expression" dxfId="1272" priority="1395" stopIfTrue="1">
      <formula>IF(FW$8="判定対象外",TRUE,FALSE)</formula>
    </cfRule>
  </conditionalFormatting>
  <conditionalFormatting sqref="FV20">
    <cfRule type="expression" dxfId="1271" priority="1394" stopIfTrue="1">
      <formula>IF(FW$8="判定対象外",TRUE,FALSE)</formula>
    </cfRule>
  </conditionalFormatting>
  <conditionalFormatting sqref="FV16:FV20">
    <cfRule type="expression" dxfId="1270" priority="1393" stopIfTrue="1">
      <formula>IF(FW$8="判定対象外",TRUE,FALSE)</formula>
    </cfRule>
  </conditionalFormatting>
  <conditionalFormatting sqref="FV11:FV20">
    <cfRule type="expression" dxfId="1269" priority="1392" stopIfTrue="1">
      <formula>IF(FW$8="判定対象外",TRUE,FALSE)</formula>
    </cfRule>
  </conditionalFormatting>
  <conditionalFormatting sqref="FV16:FV18">
    <cfRule type="expression" dxfId="1268" priority="1391" stopIfTrue="1">
      <formula>IF(FW$8="判定対象外",TRUE,FALSE)</formula>
    </cfRule>
  </conditionalFormatting>
  <conditionalFormatting sqref="FV20">
    <cfRule type="expression" dxfId="1267" priority="1390" stopIfTrue="1">
      <formula>IF(FW$8="判定対象外",TRUE,FALSE)</formula>
    </cfRule>
  </conditionalFormatting>
  <conditionalFormatting sqref="FV16:FV20">
    <cfRule type="expression" dxfId="1266" priority="1389" stopIfTrue="1">
      <formula>IF(FW$8="判定対象外",TRUE,FALSE)</formula>
    </cfRule>
  </conditionalFormatting>
  <conditionalFormatting sqref="FV11:FV13">
    <cfRule type="expression" dxfId="1265" priority="1388" stopIfTrue="1">
      <formula>IF(FW$8="判定対象外",TRUE,FALSE)</formula>
    </cfRule>
  </conditionalFormatting>
  <conditionalFormatting sqref="FV15">
    <cfRule type="expression" dxfId="1264" priority="1387" stopIfTrue="1">
      <formula>IF(FW$8="判定対象外",TRUE,FALSE)</formula>
    </cfRule>
  </conditionalFormatting>
  <conditionalFormatting sqref="FV19">
    <cfRule type="expression" dxfId="1263" priority="1386" stopIfTrue="1">
      <formula>IF(FW$8="判定対象外",TRUE,FALSE)</formula>
    </cfRule>
  </conditionalFormatting>
  <conditionalFormatting sqref="FV19">
    <cfRule type="expression" dxfId="1262" priority="1385" stopIfTrue="1">
      <formula>IF(FW$8="判定対象外",TRUE,FALSE)</formula>
    </cfRule>
  </conditionalFormatting>
  <conditionalFormatting sqref="FV20">
    <cfRule type="expression" dxfId="1261" priority="1384" stopIfTrue="1">
      <formula>IF(FW$8="判定対象外",TRUE,FALSE)</formula>
    </cfRule>
  </conditionalFormatting>
  <conditionalFormatting sqref="FV20">
    <cfRule type="expression" dxfId="1260" priority="1383" stopIfTrue="1">
      <formula>IF(FW$8="判定対象外",TRUE,FALSE)</formula>
    </cfRule>
  </conditionalFormatting>
  <conditionalFormatting sqref="FV20">
    <cfRule type="expression" dxfId="1259" priority="1382" stopIfTrue="1">
      <formula>IF(FW$8="判定対象外",TRUE,FALSE)</formula>
    </cfRule>
  </conditionalFormatting>
  <conditionalFormatting sqref="FV13">
    <cfRule type="expression" dxfId="1258" priority="1381" stopIfTrue="1">
      <formula>IF(FW$8="判定対象外",TRUE,FALSE)</formula>
    </cfRule>
  </conditionalFormatting>
  <conditionalFormatting sqref="FV47">
    <cfRule type="expression" dxfId="1257" priority="1380" stopIfTrue="1">
      <formula>IF(FW$8="判定対象外",TRUE,FALSE)</formula>
    </cfRule>
  </conditionalFormatting>
  <conditionalFormatting sqref="FV47">
    <cfRule type="expression" dxfId="1256" priority="1379" stopIfTrue="1">
      <formula>IF(FW$8="判定対象外",TRUE,FALSE)</formula>
    </cfRule>
  </conditionalFormatting>
  <conditionalFormatting sqref="FV49">
    <cfRule type="expression" dxfId="1255" priority="1378" stopIfTrue="1">
      <formula>IF(FW$8="判定対象外",TRUE,FALSE)</formula>
    </cfRule>
  </conditionalFormatting>
  <conditionalFormatting sqref="FV49">
    <cfRule type="expression" dxfId="1254" priority="1377" stopIfTrue="1">
      <formula>IF(FW$8="判定対象外",TRUE,FALSE)</formula>
    </cfRule>
  </conditionalFormatting>
  <conditionalFormatting sqref="FV50">
    <cfRule type="expression" dxfId="1253" priority="1376" stopIfTrue="1">
      <formula>IF(FW$8="判定対象外",TRUE,FALSE)</formula>
    </cfRule>
  </conditionalFormatting>
  <conditionalFormatting sqref="FV50">
    <cfRule type="expression" dxfId="1252" priority="1375" stopIfTrue="1">
      <formula>IF(FW$8="判定対象外",TRUE,FALSE)</formula>
    </cfRule>
  </conditionalFormatting>
  <conditionalFormatting sqref="FV53 FV56 FV68 FV71">
    <cfRule type="expression" dxfId="1251" priority="1374" stopIfTrue="1">
      <formula>IF(FW$8="判定対象外",TRUE,FALSE)</formula>
    </cfRule>
  </conditionalFormatting>
  <conditionalFormatting sqref="FV54 FV57 FV69">
    <cfRule type="expression" dxfId="1250" priority="1373" stopIfTrue="1">
      <formula>IF(FW$8="判定対象外",TRUE,FALSE)</formula>
    </cfRule>
  </conditionalFormatting>
  <conditionalFormatting sqref="FY57">
    <cfRule type="expression" dxfId="1249" priority="1371" stopIfTrue="1">
      <formula>IF(FY57="-",TRUE,FALSE)</formula>
    </cfRule>
    <cfRule type="expression" dxfId="1248" priority="1372" stopIfTrue="1">
      <formula>IF(OR(FY57="OK"),FALSE,TRUE)</formula>
    </cfRule>
  </conditionalFormatting>
  <conditionalFormatting sqref="FX57">
    <cfRule type="expression" dxfId="1247" priority="1370" stopIfTrue="1">
      <formula>IF(FW$8="判定対象外",TRUE,FALSE)</formula>
    </cfRule>
  </conditionalFormatting>
  <conditionalFormatting sqref="FW57">
    <cfRule type="expression" dxfId="1246" priority="1369" stopIfTrue="1">
      <formula>IF(FW$8="判定対象外",TRUE,FALSE)</formula>
    </cfRule>
  </conditionalFormatting>
  <conditionalFormatting sqref="FY68:FY70">
    <cfRule type="expression" dxfId="1245" priority="1367" stopIfTrue="1">
      <formula>IF(FY68="-",TRUE,FALSE)</formula>
    </cfRule>
    <cfRule type="expression" dxfId="1244" priority="1368" stopIfTrue="1">
      <formula>IF(OR(FY68="OK"),FALSE,TRUE)</formula>
    </cfRule>
  </conditionalFormatting>
  <conditionalFormatting sqref="FX68:FX70">
    <cfRule type="expression" dxfId="1243" priority="1366" stopIfTrue="1">
      <formula>IF(FW$8="判定対象外",TRUE,FALSE)</formula>
    </cfRule>
  </conditionalFormatting>
  <conditionalFormatting sqref="FW68:FW70">
    <cfRule type="expression" dxfId="1242" priority="1365" stopIfTrue="1">
      <formula>IF(FW$8="判定対象外",TRUE,FALSE)</formula>
    </cfRule>
  </conditionalFormatting>
  <conditionalFormatting sqref="FZ29:FZ32">
    <cfRule type="expression" dxfId="1241" priority="1354" stopIfTrue="1">
      <formula>IF(GA$8="判定対象外",TRUE,FALSE)</formula>
    </cfRule>
  </conditionalFormatting>
  <conditionalFormatting sqref="GC8:GC10">
    <cfRule type="expression" dxfId="1240" priority="1363" stopIfTrue="1">
      <formula>IF(GC8="-",TRUE,FALSE)</formula>
    </cfRule>
    <cfRule type="expression" dxfId="1239" priority="1364" stopIfTrue="1">
      <formula>IF(OR(GC8="OK"),FALSE,TRUE)</formula>
    </cfRule>
  </conditionalFormatting>
  <conditionalFormatting sqref="FZ8:FZ10">
    <cfRule type="expression" dxfId="1238" priority="1362" stopIfTrue="1">
      <formula>IF(GA$8="判定対象外",TRUE,FALSE)</formula>
    </cfRule>
  </conditionalFormatting>
  <conditionalFormatting sqref="GA8:GA10">
    <cfRule type="expression" dxfId="1237" priority="1361" stopIfTrue="1">
      <formula>IF(GA$8="判定対象外",TRUE,FALSE)</formula>
    </cfRule>
  </conditionalFormatting>
  <conditionalFormatting sqref="GB8:GB10">
    <cfRule type="expression" dxfId="1236" priority="1360" stopIfTrue="1">
      <formula>IF(GA$8="判定対象外",TRUE,FALSE)</formula>
    </cfRule>
  </conditionalFormatting>
  <conditionalFormatting sqref="GC11:GC56 GC71:GC81">
    <cfRule type="expression" dxfId="1235" priority="1357" stopIfTrue="1">
      <formula>IF(GC11="-",TRUE,FALSE)</formula>
    </cfRule>
    <cfRule type="expression" dxfId="1234" priority="1358" stopIfTrue="1">
      <formula>IF(OR(GC11="OK"),FALSE,TRUE)</formula>
    </cfRule>
  </conditionalFormatting>
  <conditionalFormatting sqref="GB11:GB56 GB71:GB81">
    <cfRule type="expression" dxfId="1233" priority="1356" stopIfTrue="1">
      <formula>IF(GA$8="判定対象外",TRUE,FALSE)</formula>
    </cfRule>
  </conditionalFormatting>
  <conditionalFormatting sqref="FZ72:FZ81 FZ21:FZ46">
    <cfRule type="expression" dxfId="1232" priority="1355" stopIfTrue="1">
      <formula>IF(GA$8="判定対象外",TRUE,FALSE)</formula>
    </cfRule>
  </conditionalFormatting>
  <conditionalFormatting sqref="FZ42:FZ44">
    <cfRule type="expression" dxfId="1231" priority="1353" stopIfTrue="1">
      <formula>IF(GA$8="判定対象外",TRUE,FALSE)</formula>
    </cfRule>
  </conditionalFormatting>
  <conditionalFormatting sqref="FZ46">
    <cfRule type="expression" dxfId="1230" priority="1352" stopIfTrue="1">
      <formula>IF(GA$8="判定対象外",TRUE,FALSE)</formula>
    </cfRule>
  </conditionalFormatting>
  <conditionalFormatting sqref="FZ42:FZ44">
    <cfRule type="expression" dxfId="1229" priority="1351" stopIfTrue="1">
      <formula>IF(GA$8="判定対象外",TRUE,FALSE)</formula>
    </cfRule>
  </conditionalFormatting>
  <conditionalFormatting sqref="FZ42:FZ44">
    <cfRule type="expression" dxfId="1228" priority="1350" stopIfTrue="1">
      <formula>IF(GA$8="判定対象外",TRUE,FALSE)</formula>
    </cfRule>
  </conditionalFormatting>
  <conditionalFormatting sqref="FZ42:FZ44">
    <cfRule type="expression" dxfId="1227" priority="1349" stopIfTrue="1">
      <formula>IF(GA$8="判定対象外",TRUE,FALSE)</formula>
    </cfRule>
  </conditionalFormatting>
  <conditionalFormatting sqref="FZ42:FZ44">
    <cfRule type="expression" dxfId="1226" priority="1348" stopIfTrue="1">
      <formula>IF(GA$8="判定対象外",TRUE,FALSE)</formula>
    </cfRule>
  </conditionalFormatting>
  <conditionalFormatting sqref="FZ42:FZ44">
    <cfRule type="expression" dxfId="1225" priority="1347" stopIfTrue="1">
      <formula>IF(GA$8="判定対象外",TRUE,FALSE)</formula>
    </cfRule>
  </conditionalFormatting>
  <conditionalFormatting sqref="FZ42:FZ44">
    <cfRule type="expression" dxfId="1224" priority="1346" stopIfTrue="1">
      <formula>IF(GA$8="判定対象外",TRUE,FALSE)</formula>
    </cfRule>
  </conditionalFormatting>
  <conditionalFormatting sqref="FZ42:FZ44">
    <cfRule type="expression" dxfId="1223" priority="1345" stopIfTrue="1">
      <formula>IF(GA$8="判定対象外",TRUE,FALSE)</formula>
    </cfRule>
  </conditionalFormatting>
  <conditionalFormatting sqref="FZ38">
    <cfRule type="expression" dxfId="1222" priority="1359" stopIfTrue="1">
      <formula>IF(#REF!="判定対象外",TRUE,FALSE)</formula>
    </cfRule>
  </conditionalFormatting>
  <conditionalFormatting sqref="GA11:GA56 GA71:GA81">
    <cfRule type="expression" dxfId="1221" priority="1344" stopIfTrue="1">
      <formula>IF(GA$8="判定対象外",TRUE,FALSE)</formula>
    </cfRule>
  </conditionalFormatting>
  <conditionalFormatting sqref="FZ48">
    <cfRule type="expression" dxfId="1220" priority="1343" stopIfTrue="1">
      <formula>IF(GA$8="判定対象外",TRUE,FALSE)</formula>
    </cfRule>
  </conditionalFormatting>
  <conditionalFormatting sqref="FZ51">
    <cfRule type="expression" dxfId="1219" priority="1342" stopIfTrue="1">
      <formula>IF(GA$8="判定対象外",TRUE,FALSE)</formula>
    </cfRule>
  </conditionalFormatting>
  <conditionalFormatting sqref="FZ52 FZ55 FZ70">
    <cfRule type="expression" dxfId="1218" priority="1341" stopIfTrue="1">
      <formula>IF(GA$8="判定対象外",TRUE,FALSE)</formula>
    </cfRule>
  </conditionalFormatting>
  <conditionalFormatting sqref="FZ11:FZ20">
    <cfRule type="expression" dxfId="1217" priority="1340" stopIfTrue="1">
      <formula>IF(GA$8="判定対象外",TRUE,FALSE)</formula>
    </cfRule>
  </conditionalFormatting>
  <conditionalFormatting sqref="FZ16:FZ18">
    <cfRule type="expression" dxfId="1216" priority="1339" stopIfTrue="1">
      <formula>IF(GA$8="判定対象外",TRUE,FALSE)</formula>
    </cfRule>
  </conditionalFormatting>
  <conditionalFormatting sqref="FZ20">
    <cfRule type="expression" dxfId="1215" priority="1338" stopIfTrue="1">
      <formula>IF(GA$8="判定対象外",TRUE,FALSE)</formula>
    </cfRule>
  </conditionalFormatting>
  <conditionalFormatting sqref="FZ16:FZ20">
    <cfRule type="expression" dxfId="1214" priority="1337" stopIfTrue="1">
      <formula>IF(GA$8="判定対象外",TRUE,FALSE)</formula>
    </cfRule>
  </conditionalFormatting>
  <conditionalFormatting sqref="FZ11:FZ20">
    <cfRule type="expression" dxfId="1213" priority="1336" stopIfTrue="1">
      <formula>IF(GA$8="判定対象外",TRUE,FALSE)</formula>
    </cfRule>
  </conditionalFormatting>
  <conditionalFormatting sqref="FZ20">
    <cfRule type="expression" dxfId="1212" priority="1334" stopIfTrue="1">
      <formula>IF(GA$8="判定対象外",TRUE,FALSE)</formula>
    </cfRule>
  </conditionalFormatting>
  <conditionalFormatting sqref="FZ16:FZ20">
    <cfRule type="expression" dxfId="1211" priority="1333" stopIfTrue="1">
      <formula>IF(GA$8="判定対象外",TRUE,FALSE)</formula>
    </cfRule>
  </conditionalFormatting>
  <conditionalFormatting sqref="FZ11:FZ20">
    <cfRule type="expression" dxfId="1210" priority="1332" stopIfTrue="1">
      <formula>IF(GA$8="判定対象外",TRUE,FALSE)</formula>
    </cfRule>
  </conditionalFormatting>
  <conditionalFormatting sqref="FZ16:FZ18">
    <cfRule type="expression" dxfId="1209" priority="1331" stopIfTrue="1">
      <formula>IF(GA$8="判定対象外",TRUE,FALSE)</formula>
    </cfRule>
  </conditionalFormatting>
  <conditionalFormatting sqref="FZ20">
    <cfRule type="expression" dxfId="1208" priority="1330" stopIfTrue="1">
      <formula>IF(GA$8="判定対象外",TRUE,FALSE)</formula>
    </cfRule>
  </conditionalFormatting>
  <conditionalFormatting sqref="FZ16:FZ20">
    <cfRule type="expression" dxfId="1207" priority="1329" stopIfTrue="1">
      <formula>IF(GA$8="判定対象外",TRUE,FALSE)</formula>
    </cfRule>
  </conditionalFormatting>
  <conditionalFormatting sqref="FZ11:FZ13">
    <cfRule type="expression" dxfId="1206" priority="1328" stopIfTrue="1">
      <formula>IF(GA$8="判定対象外",TRUE,FALSE)</formula>
    </cfRule>
  </conditionalFormatting>
  <conditionalFormatting sqref="FZ15">
    <cfRule type="expression" dxfId="1205" priority="1327" stopIfTrue="1">
      <formula>IF(GA$8="判定対象外",TRUE,FALSE)</formula>
    </cfRule>
  </conditionalFormatting>
  <conditionalFormatting sqref="FZ19">
    <cfRule type="expression" dxfId="1204" priority="1326" stopIfTrue="1">
      <formula>IF(GA$8="判定対象外",TRUE,FALSE)</formula>
    </cfRule>
  </conditionalFormatting>
  <conditionalFormatting sqref="FZ20">
    <cfRule type="expression" dxfId="1203" priority="1324" stopIfTrue="1">
      <formula>IF(GA$8="判定対象外",TRUE,FALSE)</formula>
    </cfRule>
  </conditionalFormatting>
  <conditionalFormatting sqref="FZ20">
    <cfRule type="expression" dxfId="1202" priority="1323" stopIfTrue="1">
      <formula>IF(GA$8="判定対象外",TRUE,FALSE)</formula>
    </cfRule>
  </conditionalFormatting>
  <conditionalFormatting sqref="FZ20">
    <cfRule type="expression" dxfId="1201" priority="1322" stopIfTrue="1">
      <formula>IF(GA$8="判定対象外",TRUE,FALSE)</formula>
    </cfRule>
  </conditionalFormatting>
  <conditionalFormatting sqref="FZ13">
    <cfRule type="expression" dxfId="1200" priority="1321" stopIfTrue="1">
      <formula>IF(GA$8="判定対象外",TRUE,FALSE)</formula>
    </cfRule>
  </conditionalFormatting>
  <conditionalFormatting sqref="FZ47">
    <cfRule type="expression" dxfId="1199" priority="1320" stopIfTrue="1">
      <formula>IF(GA$8="判定対象外",TRUE,FALSE)</formula>
    </cfRule>
  </conditionalFormatting>
  <conditionalFormatting sqref="FZ47">
    <cfRule type="expression" dxfId="1198" priority="1319" stopIfTrue="1">
      <formula>IF(GA$8="判定対象外",TRUE,FALSE)</formula>
    </cfRule>
  </conditionalFormatting>
  <conditionalFormatting sqref="FZ49">
    <cfRule type="expression" dxfId="1197" priority="1318" stopIfTrue="1">
      <formula>IF(GA$8="判定対象外",TRUE,FALSE)</formula>
    </cfRule>
  </conditionalFormatting>
  <conditionalFormatting sqref="FZ49">
    <cfRule type="expression" dxfId="1196" priority="1317" stopIfTrue="1">
      <formula>IF(GA$8="判定対象外",TRUE,FALSE)</formula>
    </cfRule>
  </conditionalFormatting>
  <conditionalFormatting sqref="FZ50">
    <cfRule type="expression" dxfId="1195" priority="1316" stopIfTrue="1">
      <formula>IF(GA$8="判定対象外",TRUE,FALSE)</formula>
    </cfRule>
  </conditionalFormatting>
  <conditionalFormatting sqref="FZ50">
    <cfRule type="expression" dxfId="1194" priority="1315" stopIfTrue="1">
      <formula>IF(GA$8="判定対象外",TRUE,FALSE)</formula>
    </cfRule>
  </conditionalFormatting>
  <conditionalFormatting sqref="FZ54 FZ57 FZ69">
    <cfRule type="expression" dxfId="1193" priority="1313" stopIfTrue="1">
      <formula>IF(GA$8="判定対象外",TRUE,FALSE)</formula>
    </cfRule>
  </conditionalFormatting>
  <conditionalFormatting sqref="GC57">
    <cfRule type="expression" dxfId="1192" priority="1311" stopIfTrue="1">
      <formula>IF(GC57="-",TRUE,FALSE)</formula>
    </cfRule>
    <cfRule type="expression" dxfId="1191" priority="1312" stopIfTrue="1">
      <formula>IF(OR(GC57="OK"),FALSE,TRUE)</formula>
    </cfRule>
  </conditionalFormatting>
  <conditionalFormatting sqref="GB57">
    <cfRule type="expression" dxfId="1190" priority="1310" stopIfTrue="1">
      <formula>IF(GA$8="判定対象外",TRUE,FALSE)</formula>
    </cfRule>
  </conditionalFormatting>
  <conditionalFormatting sqref="GA57">
    <cfRule type="expression" dxfId="1189" priority="1309" stopIfTrue="1">
      <formula>IF(GA$8="判定対象外",TRUE,FALSE)</formula>
    </cfRule>
  </conditionalFormatting>
  <conditionalFormatting sqref="GC58:GC64">
    <cfRule type="expression" dxfId="1188" priority="1307" stopIfTrue="1">
      <formula>IF(GC58="-",TRUE,FALSE)</formula>
    </cfRule>
    <cfRule type="expression" dxfId="1187" priority="1308" stopIfTrue="1">
      <formula>IF(OR(GC58="OK"),FALSE,TRUE)</formula>
    </cfRule>
  </conditionalFormatting>
  <conditionalFormatting sqref="GB58:GB64">
    <cfRule type="expression" dxfId="1186" priority="1306" stopIfTrue="1">
      <formula>IF(GA$8="判定対象外",TRUE,FALSE)</formula>
    </cfRule>
  </conditionalFormatting>
  <conditionalFormatting sqref="GA58:GA64">
    <cfRule type="expression" dxfId="1185" priority="1305" stopIfTrue="1">
      <formula>IF(GA$8="判定対象外",TRUE,FALSE)</formula>
    </cfRule>
  </conditionalFormatting>
  <conditionalFormatting sqref="GC65:GC70">
    <cfRule type="expression" dxfId="1184" priority="1303" stopIfTrue="1">
      <formula>IF(GC65="-",TRUE,FALSE)</formula>
    </cfRule>
    <cfRule type="expression" dxfId="1183" priority="1304" stopIfTrue="1">
      <formula>IF(OR(GC65="OK"),FALSE,TRUE)</formula>
    </cfRule>
  </conditionalFormatting>
  <conditionalFormatting sqref="GB65:GB70">
    <cfRule type="expression" dxfId="1182" priority="1302" stopIfTrue="1">
      <formula>IF(GA$8="判定対象外",TRUE,FALSE)</formula>
    </cfRule>
  </conditionalFormatting>
  <conditionalFormatting sqref="GA65:GA70">
    <cfRule type="expression" dxfId="1181" priority="1301" stopIfTrue="1">
      <formula>IF(GA$8="判定対象外",TRUE,FALSE)</formula>
    </cfRule>
  </conditionalFormatting>
  <conditionalFormatting sqref="FZ58">
    <cfRule type="expression" dxfId="1180" priority="1290" stopIfTrue="1">
      <formula>IF(GA$8="判定対象外",TRUE,FALSE)</formula>
    </cfRule>
  </conditionalFormatting>
  <conditionalFormatting sqref="FR58">
    <cfRule type="expression" dxfId="1179" priority="1300" stopIfTrue="1">
      <formula>IF(FS$8="判定対象外",TRUE,FALSE)</formula>
    </cfRule>
  </conditionalFormatting>
  <conditionalFormatting sqref="FU58">
    <cfRule type="expression" dxfId="1178" priority="1298" stopIfTrue="1">
      <formula>IF(FU58="-",TRUE,FALSE)</formula>
    </cfRule>
    <cfRule type="expression" dxfId="1177" priority="1299" stopIfTrue="1">
      <formula>IF(OR(FU58="OK"),FALSE,TRUE)</formula>
    </cfRule>
  </conditionalFormatting>
  <conditionalFormatting sqref="FT58">
    <cfRule type="expression" dxfId="1176" priority="1297" stopIfTrue="1">
      <formula>IF(FS$8="判定対象外",TRUE,FALSE)</formula>
    </cfRule>
  </conditionalFormatting>
  <conditionalFormatting sqref="FS58">
    <cfRule type="expression" dxfId="1175" priority="1296" stopIfTrue="1">
      <formula>IF(FS$8="判定対象外",TRUE,FALSE)</formula>
    </cfRule>
  </conditionalFormatting>
  <conditionalFormatting sqref="FV58">
    <cfRule type="expression" dxfId="1174" priority="1295" stopIfTrue="1">
      <formula>IF(FW$8="判定対象外",TRUE,FALSE)</formula>
    </cfRule>
  </conditionalFormatting>
  <conditionalFormatting sqref="FY58">
    <cfRule type="expression" dxfId="1173" priority="1293" stopIfTrue="1">
      <formula>IF(FY58="-",TRUE,FALSE)</formula>
    </cfRule>
    <cfRule type="expression" dxfId="1172" priority="1294" stopIfTrue="1">
      <formula>IF(OR(FY58="OK"),FALSE,TRUE)</formula>
    </cfRule>
  </conditionalFormatting>
  <conditionalFormatting sqref="FX58">
    <cfRule type="expression" dxfId="1171" priority="1292" stopIfTrue="1">
      <formula>IF(FW$8="判定対象外",TRUE,FALSE)</formula>
    </cfRule>
  </conditionalFormatting>
  <conditionalFormatting sqref="FW58">
    <cfRule type="expression" dxfId="1170" priority="1291" stopIfTrue="1">
      <formula>IF(FW$8="判定対象外",TRUE,FALSE)</formula>
    </cfRule>
  </conditionalFormatting>
  <conditionalFormatting sqref="FV59">
    <cfRule type="expression" dxfId="1169" priority="1284" stopIfTrue="1">
      <formula>IF(FW$8="判定対象外",TRUE,FALSE)</formula>
    </cfRule>
  </conditionalFormatting>
  <conditionalFormatting sqref="FY59">
    <cfRule type="expression" dxfId="1168" priority="1282" stopIfTrue="1">
      <formula>IF(FY59="-",TRUE,FALSE)</formula>
    </cfRule>
    <cfRule type="expression" dxfId="1167" priority="1283" stopIfTrue="1">
      <formula>IF(OR(FY59="OK"),FALSE,TRUE)</formula>
    </cfRule>
  </conditionalFormatting>
  <conditionalFormatting sqref="FX59">
    <cfRule type="expression" dxfId="1166" priority="1281" stopIfTrue="1">
      <formula>IF(FW$8="判定対象外",TRUE,FALSE)</formula>
    </cfRule>
  </conditionalFormatting>
  <conditionalFormatting sqref="FW59">
    <cfRule type="expression" dxfId="1165" priority="1280" stopIfTrue="1">
      <formula>IF(FW$8="判定対象外",TRUE,FALSE)</formula>
    </cfRule>
  </conditionalFormatting>
  <conditionalFormatting sqref="FV60">
    <cfRule type="expression" dxfId="1164" priority="1273" stopIfTrue="1">
      <formula>IF(FW$8="判定対象外",TRUE,FALSE)</formula>
    </cfRule>
  </conditionalFormatting>
  <conditionalFormatting sqref="FY60">
    <cfRule type="expression" dxfId="1163" priority="1271" stopIfTrue="1">
      <formula>IF(FY60="-",TRUE,FALSE)</formula>
    </cfRule>
    <cfRule type="expression" dxfId="1162" priority="1272" stopIfTrue="1">
      <formula>IF(OR(FY60="OK"),FALSE,TRUE)</formula>
    </cfRule>
  </conditionalFormatting>
  <conditionalFormatting sqref="FX60">
    <cfRule type="expression" dxfId="1161" priority="1270" stopIfTrue="1">
      <formula>IF(FW$8="判定対象外",TRUE,FALSE)</formula>
    </cfRule>
  </conditionalFormatting>
  <conditionalFormatting sqref="FW60">
    <cfRule type="expression" dxfId="1160" priority="1269" stopIfTrue="1">
      <formula>IF(FW$8="判定対象外",TRUE,FALSE)</formula>
    </cfRule>
  </conditionalFormatting>
  <conditionalFormatting sqref="FV61">
    <cfRule type="expression" dxfId="1159" priority="1262" stopIfTrue="1">
      <formula>IF(FW$8="判定対象外",TRUE,FALSE)</formula>
    </cfRule>
  </conditionalFormatting>
  <conditionalFormatting sqref="FY61">
    <cfRule type="expression" dxfId="1158" priority="1260" stopIfTrue="1">
      <formula>IF(FY61="-",TRUE,FALSE)</formula>
    </cfRule>
    <cfRule type="expression" dxfId="1157" priority="1261" stopIfTrue="1">
      <formula>IF(OR(FY61="OK"),FALSE,TRUE)</formula>
    </cfRule>
  </conditionalFormatting>
  <conditionalFormatting sqref="FX61">
    <cfRule type="expression" dxfId="1156" priority="1259" stopIfTrue="1">
      <formula>IF(FW$8="判定対象外",TRUE,FALSE)</formula>
    </cfRule>
  </conditionalFormatting>
  <conditionalFormatting sqref="FW61">
    <cfRule type="expression" dxfId="1155" priority="1258" stopIfTrue="1">
      <formula>IF(FW$8="判定対象外",TRUE,FALSE)</formula>
    </cfRule>
  </conditionalFormatting>
  <conditionalFormatting sqref="FV62">
    <cfRule type="expression" dxfId="1154" priority="1251" stopIfTrue="1">
      <formula>IF(FW$8="判定対象外",TRUE,FALSE)</formula>
    </cfRule>
  </conditionalFormatting>
  <conditionalFormatting sqref="FY62">
    <cfRule type="expression" dxfId="1153" priority="1249" stopIfTrue="1">
      <formula>IF(FY62="-",TRUE,FALSE)</formula>
    </cfRule>
    <cfRule type="expression" dxfId="1152" priority="1250" stopIfTrue="1">
      <formula>IF(OR(FY62="OK"),FALSE,TRUE)</formula>
    </cfRule>
  </conditionalFormatting>
  <conditionalFormatting sqref="FX62">
    <cfRule type="expression" dxfId="1151" priority="1248" stopIfTrue="1">
      <formula>IF(FW$8="判定対象外",TRUE,FALSE)</formula>
    </cfRule>
  </conditionalFormatting>
  <conditionalFormatting sqref="FW62">
    <cfRule type="expression" dxfId="1150" priority="1247" stopIfTrue="1">
      <formula>IF(FW$8="判定対象外",TRUE,FALSE)</formula>
    </cfRule>
  </conditionalFormatting>
  <conditionalFormatting sqref="FV63">
    <cfRule type="expression" dxfId="1149" priority="1240" stopIfTrue="1">
      <formula>IF(FW$8="判定対象外",TRUE,FALSE)</formula>
    </cfRule>
  </conditionalFormatting>
  <conditionalFormatting sqref="FY63">
    <cfRule type="expression" dxfId="1148" priority="1238" stopIfTrue="1">
      <formula>IF(FY63="-",TRUE,FALSE)</formula>
    </cfRule>
    <cfRule type="expression" dxfId="1147" priority="1239" stopIfTrue="1">
      <formula>IF(OR(FY63="OK"),FALSE,TRUE)</formula>
    </cfRule>
  </conditionalFormatting>
  <conditionalFormatting sqref="FX63">
    <cfRule type="expression" dxfId="1146" priority="1237" stopIfTrue="1">
      <formula>IF(FW$8="判定対象外",TRUE,FALSE)</formula>
    </cfRule>
  </conditionalFormatting>
  <conditionalFormatting sqref="FW63">
    <cfRule type="expression" dxfId="1145" priority="1236" stopIfTrue="1">
      <formula>IF(FW$8="判定対象外",TRUE,FALSE)</formula>
    </cfRule>
  </conditionalFormatting>
  <conditionalFormatting sqref="FV64">
    <cfRule type="expression" dxfId="1144" priority="1229" stopIfTrue="1">
      <formula>IF(FW$8="判定対象外",TRUE,FALSE)</formula>
    </cfRule>
  </conditionalFormatting>
  <conditionalFormatting sqref="FY64">
    <cfRule type="expression" dxfId="1143" priority="1227" stopIfTrue="1">
      <formula>IF(FY64="-",TRUE,FALSE)</formula>
    </cfRule>
    <cfRule type="expression" dxfId="1142" priority="1228" stopIfTrue="1">
      <formula>IF(OR(FY64="OK"),FALSE,TRUE)</formula>
    </cfRule>
  </conditionalFormatting>
  <conditionalFormatting sqref="FX64">
    <cfRule type="expression" dxfId="1141" priority="1226" stopIfTrue="1">
      <formula>IF(FW$8="判定対象外",TRUE,FALSE)</formula>
    </cfRule>
  </conditionalFormatting>
  <conditionalFormatting sqref="FW64">
    <cfRule type="expression" dxfId="1140" priority="1225" stopIfTrue="1">
      <formula>IF(FW$8="判定対象外",TRUE,FALSE)</formula>
    </cfRule>
  </conditionalFormatting>
  <conditionalFormatting sqref="FV65">
    <cfRule type="expression" dxfId="1139" priority="1218" stopIfTrue="1">
      <formula>IF(FW$8="判定対象外",TRUE,FALSE)</formula>
    </cfRule>
  </conditionalFormatting>
  <conditionalFormatting sqref="FU67">
    <cfRule type="expression" dxfId="1138" priority="1210" stopIfTrue="1">
      <formula>IF(FU67="-",TRUE,FALSE)</formula>
    </cfRule>
    <cfRule type="expression" dxfId="1137" priority="1211" stopIfTrue="1">
      <formula>IF(OR(FU67="OK"),FALSE,TRUE)</formula>
    </cfRule>
  </conditionalFormatting>
  <conditionalFormatting sqref="FT67">
    <cfRule type="expression" dxfId="1136" priority="1209" stopIfTrue="1">
      <formula>IF(FS$8="判定対象外",TRUE,FALSE)</formula>
    </cfRule>
  </conditionalFormatting>
  <conditionalFormatting sqref="FS67">
    <cfRule type="expression" dxfId="1135" priority="1208" stopIfTrue="1">
      <formula>IF(FS$8="判定対象外",TRUE,FALSE)</formula>
    </cfRule>
  </conditionalFormatting>
  <conditionalFormatting sqref="FY67">
    <cfRule type="expression" dxfId="1134" priority="1206" stopIfTrue="1">
      <formula>IF(FY67="-",TRUE,FALSE)</formula>
    </cfRule>
    <cfRule type="expression" dxfId="1133" priority="1207" stopIfTrue="1">
      <formula>IF(OR(FY67="OK"),FALSE,TRUE)</formula>
    </cfRule>
  </conditionalFormatting>
  <conditionalFormatting sqref="FX67">
    <cfRule type="expression" dxfId="1132" priority="1205" stopIfTrue="1">
      <formula>IF(FW$8="判定対象外",TRUE,FALSE)</formula>
    </cfRule>
  </conditionalFormatting>
  <conditionalFormatting sqref="FW67">
    <cfRule type="expression" dxfId="1131" priority="1204" stopIfTrue="1">
      <formula>IF(FW$8="判定対象外",TRUE,FALSE)</formula>
    </cfRule>
  </conditionalFormatting>
  <conditionalFormatting sqref="FV67">
    <cfRule type="expression" dxfId="1130" priority="1203" stopIfTrue="1">
      <formula>IF(FW$8="判定対象外",TRUE,FALSE)</formula>
    </cfRule>
  </conditionalFormatting>
  <conditionalFormatting sqref="FV66">
    <cfRule type="expression" dxfId="1129" priority="1196" stopIfTrue="1">
      <formula>IF(FW$8="判定対象外",TRUE,FALSE)</formula>
    </cfRule>
  </conditionalFormatting>
  <conditionalFormatting sqref="FY66">
    <cfRule type="expression" dxfId="1128" priority="1194" stopIfTrue="1">
      <formula>IF(FY66="-",TRUE,FALSE)</formula>
    </cfRule>
    <cfRule type="expression" dxfId="1127" priority="1195" stopIfTrue="1">
      <formula>IF(OR(FY66="OK"),FALSE,TRUE)</formula>
    </cfRule>
  </conditionalFormatting>
  <conditionalFormatting sqref="FX66">
    <cfRule type="expression" dxfId="1126" priority="1193" stopIfTrue="1">
      <formula>IF(FW$8="判定対象外",TRUE,FALSE)</formula>
    </cfRule>
  </conditionalFormatting>
  <conditionalFormatting sqref="FW66">
    <cfRule type="expression" dxfId="1125" priority="1192" stopIfTrue="1">
      <formula>IF(FW$8="判定対象外",TRUE,FALSE)</formula>
    </cfRule>
  </conditionalFormatting>
  <conditionalFormatting sqref="FR68">
    <cfRule type="expression" dxfId="1124" priority="1190" stopIfTrue="1">
      <formula>IF(FS$8="判定対象外",TRUE,FALSE)</formula>
    </cfRule>
  </conditionalFormatting>
  <conditionalFormatting sqref="FU68">
    <cfRule type="expression" dxfId="1123" priority="1188" stopIfTrue="1">
      <formula>IF(FU68="-",TRUE,FALSE)</formula>
    </cfRule>
    <cfRule type="expression" dxfId="1122" priority="1189" stopIfTrue="1">
      <formula>IF(OR(FU68="OK"),FALSE,TRUE)</formula>
    </cfRule>
  </conditionalFormatting>
  <conditionalFormatting sqref="FT68">
    <cfRule type="expression" dxfId="1121" priority="1187" stopIfTrue="1">
      <formula>IF(FS$8="判定対象外",TRUE,FALSE)</formula>
    </cfRule>
  </conditionalFormatting>
  <conditionalFormatting sqref="FS68">
    <cfRule type="expression" dxfId="1120" priority="1186" stopIfTrue="1">
      <formula>IF(FS$8="判定対象外",TRUE,FALSE)</formula>
    </cfRule>
  </conditionalFormatting>
  <conditionalFormatting sqref="FY68">
    <cfRule type="expression" dxfId="1119" priority="1184" stopIfTrue="1">
      <formula>IF(FY68="-",TRUE,FALSE)</formula>
    </cfRule>
    <cfRule type="expression" dxfId="1118" priority="1185" stopIfTrue="1">
      <formula>IF(OR(FY68="OK"),FALSE,TRUE)</formula>
    </cfRule>
  </conditionalFormatting>
  <conditionalFormatting sqref="FX68">
    <cfRule type="expression" dxfId="1117" priority="1183" stopIfTrue="1">
      <formula>IF(FW$8="判定対象外",TRUE,FALSE)</formula>
    </cfRule>
  </conditionalFormatting>
  <conditionalFormatting sqref="FW68">
    <cfRule type="expression" dxfId="1116" priority="1182" stopIfTrue="1">
      <formula>IF(FW$8="判定対象外",TRUE,FALSE)</formula>
    </cfRule>
  </conditionalFormatting>
  <conditionalFormatting sqref="FV68">
    <cfRule type="expression" dxfId="1115" priority="1181" stopIfTrue="1">
      <formula>IF(FW$8="判定対象外",TRUE,FALSE)</formula>
    </cfRule>
  </conditionalFormatting>
  <conditionalFormatting sqref="FR67">
    <cfRule type="expression" dxfId="1114" priority="1179" stopIfTrue="1">
      <formula>IF(FS$8="判定対象外",TRUE,FALSE)</formula>
    </cfRule>
  </conditionalFormatting>
  <conditionalFormatting sqref="FU67">
    <cfRule type="expression" dxfId="1113" priority="1177" stopIfTrue="1">
      <formula>IF(FU67="-",TRUE,FALSE)</formula>
    </cfRule>
    <cfRule type="expression" dxfId="1112" priority="1178" stopIfTrue="1">
      <formula>IF(OR(FU67="OK"),FALSE,TRUE)</formula>
    </cfRule>
  </conditionalFormatting>
  <conditionalFormatting sqref="FT67">
    <cfRule type="expression" dxfId="1111" priority="1176" stopIfTrue="1">
      <formula>IF(FS$8="判定対象外",TRUE,FALSE)</formula>
    </cfRule>
  </conditionalFormatting>
  <conditionalFormatting sqref="FS67">
    <cfRule type="expression" dxfId="1110" priority="1175" stopIfTrue="1">
      <formula>IF(FS$8="判定対象外",TRUE,FALSE)</formula>
    </cfRule>
  </conditionalFormatting>
  <conditionalFormatting sqref="FV67">
    <cfRule type="expression" dxfId="1109" priority="1174" stopIfTrue="1">
      <formula>IF(FW$8="判定対象外",TRUE,FALSE)</formula>
    </cfRule>
  </conditionalFormatting>
  <conditionalFormatting sqref="FY67">
    <cfRule type="expression" dxfId="1108" priority="1172" stopIfTrue="1">
      <formula>IF(FY67="-",TRUE,FALSE)</formula>
    </cfRule>
    <cfRule type="expression" dxfId="1107" priority="1173" stopIfTrue="1">
      <formula>IF(OR(FY67="OK"),FALSE,TRUE)</formula>
    </cfRule>
  </conditionalFormatting>
  <conditionalFormatting sqref="FX67">
    <cfRule type="expression" dxfId="1106" priority="1171" stopIfTrue="1">
      <formula>IF(FW$8="判定対象外",TRUE,FALSE)</formula>
    </cfRule>
  </conditionalFormatting>
  <conditionalFormatting sqref="FW67">
    <cfRule type="expression" dxfId="1105" priority="1170" stopIfTrue="1">
      <formula>IF(FW$8="判定対象外",TRUE,FALSE)</formula>
    </cfRule>
  </conditionalFormatting>
  <conditionalFormatting sqref="FZ67">
    <cfRule type="expression" dxfId="1104" priority="1169" stopIfTrue="1">
      <formula>IF(GA$8="判定対象外",TRUE,FALSE)</formula>
    </cfRule>
  </conditionalFormatting>
  <conditionalFormatting sqref="FZ69">
    <cfRule type="expression" dxfId="1103" priority="1166" stopIfTrue="1">
      <formula>IF(GA$8="判定対象外",TRUE,FALSE)</formula>
    </cfRule>
  </conditionalFormatting>
  <conditionalFormatting sqref="FR69">
    <cfRule type="expression" dxfId="1102" priority="1168" stopIfTrue="1">
      <formula>IF(FS$8="判定対象外",TRUE,FALSE)</formula>
    </cfRule>
  </conditionalFormatting>
  <conditionalFormatting sqref="FV69">
    <cfRule type="expression" dxfId="1101" priority="1167" stopIfTrue="1">
      <formula>IF(FW$8="判定対象外",TRUE,FALSE)</formula>
    </cfRule>
  </conditionalFormatting>
  <conditionalFormatting sqref="FR69">
    <cfRule type="expression" dxfId="1100" priority="1154" stopIfTrue="1">
      <formula>IF(FS$8="判定対象外",TRUE,FALSE)</formula>
    </cfRule>
  </conditionalFormatting>
  <conditionalFormatting sqref="FU69">
    <cfRule type="expression" dxfId="1099" priority="1152" stopIfTrue="1">
      <formula>IF(FU69="-",TRUE,FALSE)</formula>
    </cfRule>
    <cfRule type="expression" dxfId="1098" priority="1153" stopIfTrue="1">
      <formula>IF(OR(FU69="OK"),FALSE,TRUE)</formula>
    </cfRule>
  </conditionalFormatting>
  <conditionalFormatting sqref="FT69">
    <cfRule type="expression" dxfId="1097" priority="1151" stopIfTrue="1">
      <formula>IF(FS$8="判定対象外",TRUE,FALSE)</formula>
    </cfRule>
  </conditionalFormatting>
  <conditionalFormatting sqref="FS69">
    <cfRule type="expression" dxfId="1096" priority="1150" stopIfTrue="1">
      <formula>IF(FS$8="判定対象外",TRUE,FALSE)</formula>
    </cfRule>
  </conditionalFormatting>
  <conditionalFormatting sqref="FY69">
    <cfRule type="expression" dxfId="1095" priority="1148" stopIfTrue="1">
      <formula>IF(FY69="-",TRUE,FALSE)</formula>
    </cfRule>
    <cfRule type="expression" dxfId="1094" priority="1149" stopIfTrue="1">
      <formula>IF(OR(FY69="OK"),FALSE,TRUE)</formula>
    </cfRule>
  </conditionalFormatting>
  <conditionalFormatting sqref="FX69">
    <cfRule type="expression" dxfId="1093" priority="1147" stopIfTrue="1">
      <formula>IF(FW$8="判定対象外",TRUE,FALSE)</formula>
    </cfRule>
  </conditionalFormatting>
  <conditionalFormatting sqref="FW69">
    <cfRule type="expression" dxfId="1092" priority="1146" stopIfTrue="1">
      <formula>IF(FW$8="判定対象外",TRUE,FALSE)</formula>
    </cfRule>
  </conditionalFormatting>
  <conditionalFormatting sqref="FV69">
    <cfRule type="expression" dxfId="1091" priority="1145" stopIfTrue="1">
      <formula>IF(FW$8="判定対象外",TRUE,FALSE)</formula>
    </cfRule>
  </conditionalFormatting>
  <conditionalFormatting sqref="FR68">
    <cfRule type="expression" dxfId="1090" priority="1143" stopIfTrue="1">
      <formula>IF(FS$8="判定対象外",TRUE,FALSE)</formula>
    </cfRule>
  </conditionalFormatting>
  <conditionalFormatting sqref="FU68">
    <cfRule type="expression" dxfId="1089" priority="1141" stopIfTrue="1">
      <formula>IF(FU68="-",TRUE,FALSE)</formula>
    </cfRule>
    <cfRule type="expression" dxfId="1088" priority="1142" stopIfTrue="1">
      <formula>IF(OR(FU68="OK"),FALSE,TRUE)</formula>
    </cfRule>
  </conditionalFormatting>
  <conditionalFormatting sqref="FT68">
    <cfRule type="expression" dxfId="1087" priority="1140" stopIfTrue="1">
      <formula>IF(FS$8="判定対象外",TRUE,FALSE)</formula>
    </cfRule>
  </conditionalFormatting>
  <conditionalFormatting sqref="FS68">
    <cfRule type="expression" dxfId="1086" priority="1139" stopIfTrue="1">
      <formula>IF(FS$8="判定対象外",TRUE,FALSE)</formula>
    </cfRule>
  </conditionalFormatting>
  <conditionalFormatting sqref="FV68">
    <cfRule type="expression" dxfId="1085" priority="1138" stopIfTrue="1">
      <formula>IF(FW$8="判定対象外",TRUE,FALSE)</formula>
    </cfRule>
  </conditionalFormatting>
  <conditionalFormatting sqref="FY68">
    <cfRule type="expression" dxfId="1084" priority="1136" stopIfTrue="1">
      <formula>IF(FY68="-",TRUE,FALSE)</formula>
    </cfRule>
    <cfRule type="expression" dxfId="1083" priority="1137" stopIfTrue="1">
      <formula>IF(OR(FY68="OK"),FALSE,TRUE)</formula>
    </cfRule>
  </conditionalFormatting>
  <conditionalFormatting sqref="FX68">
    <cfRule type="expression" dxfId="1082" priority="1135" stopIfTrue="1">
      <formula>IF(FW$8="判定対象外",TRUE,FALSE)</formula>
    </cfRule>
  </conditionalFormatting>
  <conditionalFormatting sqref="FW68">
    <cfRule type="expression" dxfId="1081" priority="1134" stopIfTrue="1">
      <formula>IF(FW$8="判定対象外",TRUE,FALSE)</formula>
    </cfRule>
  </conditionalFormatting>
  <conditionalFormatting sqref="FZ68">
    <cfRule type="expression" dxfId="1080" priority="1133" stopIfTrue="1">
      <formula>IF(GA$8="判定対象外",TRUE,FALSE)</formula>
    </cfRule>
  </conditionalFormatting>
  <conditionalFormatting sqref="GL71">
    <cfRule type="expression" dxfId="1079" priority="613" stopIfTrue="1">
      <formula>IF(GM$8="判定対象外",TRUE,FALSE)</formula>
    </cfRule>
  </conditionalFormatting>
  <conditionalFormatting sqref="FZ69">
    <cfRule type="expression" dxfId="1078" priority="1116" stopIfTrue="1">
      <formula>IF(GA$8="判定対象外",TRUE,FALSE)</formula>
    </cfRule>
  </conditionalFormatting>
  <conditionalFormatting sqref="FZ69">
    <cfRule type="expression" dxfId="1077" priority="1128" stopIfTrue="1">
      <formula>IF(GA$8="判定対象外",TRUE,FALSE)</formula>
    </cfRule>
  </conditionalFormatting>
  <conditionalFormatting sqref="FR69">
    <cfRule type="expression" dxfId="1076" priority="1132" stopIfTrue="1">
      <formula>IF(FS$8="判定対象外",TRUE,FALSE)</formula>
    </cfRule>
  </conditionalFormatting>
  <conditionalFormatting sqref="FR70">
    <cfRule type="expression" dxfId="1075" priority="1131" stopIfTrue="1">
      <formula>IF(FS$8="判定対象外",TRUE,FALSE)</formula>
    </cfRule>
  </conditionalFormatting>
  <conditionalFormatting sqref="FV69">
    <cfRule type="expression" dxfId="1074" priority="1130" stopIfTrue="1">
      <formula>IF(FW$8="判定対象外",TRUE,FALSE)</formula>
    </cfRule>
  </conditionalFormatting>
  <conditionalFormatting sqref="FZ70">
    <cfRule type="expression" dxfId="1073" priority="1127" stopIfTrue="1">
      <formula>IF(GA$8="判定対象外",TRUE,FALSE)</formula>
    </cfRule>
  </conditionalFormatting>
  <conditionalFormatting sqref="FR69">
    <cfRule type="expression" dxfId="1072" priority="1126" stopIfTrue="1">
      <formula>IF(FS$8="判定対象外",TRUE,FALSE)</formula>
    </cfRule>
  </conditionalFormatting>
  <conditionalFormatting sqref="FU69">
    <cfRule type="expression" dxfId="1071" priority="1124" stopIfTrue="1">
      <formula>IF(FU69="-",TRUE,FALSE)</formula>
    </cfRule>
    <cfRule type="expression" dxfId="1070" priority="1125" stopIfTrue="1">
      <formula>IF(OR(FU69="OK"),FALSE,TRUE)</formula>
    </cfRule>
  </conditionalFormatting>
  <conditionalFormatting sqref="FT69">
    <cfRule type="expression" dxfId="1069" priority="1123" stopIfTrue="1">
      <formula>IF(FS$8="判定対象外",TRUE,FALSE)</formula>
    </cfRule>
  </conditionalFormatting>
  <conditionalFormatting sqref="FS69">
    <cfRule type="expression" dxfId="1068" priority="1122" stopIfTrue="1">
      <formula>IF(FS$8="判定対象外",TRUE,FALSE)</formula>
    </cfRule>
  </conditionalFormatting>
  <conditionalFormatting sqref="FY69">
    <cfRule type="expression" dxfId="1067" priority="1120" stopIfTrue="1">
      <formula>IF(FY69="-",TRUE,FALSE)</formula>
    </cfRule>
    <cfRule type="expression" dxfId="1066" priority="1121" stopIfTrue="1">
      <formula>IF(OR(FY69="OK"),FALSE,TRUE)</formula>
    </cfRule>
  </conditionalFormatting>
  <conditionalFormatting sqref="FX69">
    <cfRule type="expression" dxfId="1065" priority="1119" stopIfTrue="1">
      <formula>IF(FW$8="判定対象外",TRUE,FALSE)</formula>
    </cfRule>
  </conditionalFormatting>
  <conditionalFormatting sqref="FW69">
    <cfRule type="expression" dxfId="1064" priority="1118" stopIfTrue="1">
      <formula>IF(FW$8="判定対象外",TRUE,FALSE)</formula>
    </cfRule>
  </conditionalFormatting>
  <conditionalFormatting sqref="FV69">
    <cfRule type="expression" dxfId="1063" priority="1117" stopIfTrue="1">
      <formula>IF(FW$8="判定対象外",TRUE,FALSE)</formula>
    </cfRule>
  </conditionalFormatting>
  <conditionalFormatting sqref="FZ70">
    <cfRule type="expression" dxfId="1062" priority="1113" stopIfTrue="1">
      <formula>IF(GA$8="判定対象外",TRUE,FALSE)</formula>
    </cfRule>
  </conditionalFormatting>
  <conditionalFormatting sqref="FR70">
    <cfRule type="expression" dxfId="1061" priority="1115" stopIfTrue="1">
      <formula>IF(FS$8="判定対象外",TRUE,FALSE)</formula>
    </cfRule>
  </conditionalFormatting>
  <conditionalFormatting sqref="FR70">
    <cfRule type="expression" dxfId="1060" priority="1101" stopIfTrue="1">
      <formula>IF(FS$8="判定対象外",TRUE,FALSE)</formula>
    </cfRule>
  </conditionalFormatting>
  <conditionalFormatting sqref="FU70">
    <cfRule type="expression" dxfId="1059" priority="1099" stopIfTrue="1">
      <formula>IF(FU70="-",TRUE,FALSE)</formula>
    </cfRule>
    <cfRule type="expression" dxfId="1058" priority="1100" stopIfTrue="1">
      <formula>IF(OR(FU70="OK"),FALSE,TRUE)</formula>
    </cfRule>
  </conditionalFormatting>
  <conditionalFormatting sqref="FT70">
    <cfRule type="expression" dxfId="1057" priority="1098" stopIfTrue="1">
      <formula>IF(FS$8="判定対象外",TRUE,FALSE)</formula>
    </cfRule>
  </conditionalFormatting>
  <conditionalFormatting sqref="FS70">
    <cfRule type="expression" dxfId="1056" priority="1097" stopIfTrue="1">
      <formula>IF(FS$8="判定対象外",TRUE,FALSE)</formula>
    </cfRule>
  </conditionalFormatting>
  <conditionalFormatting sqref="FY70">
    <cfRule type="expression" dxfId="1055" priority="1095" stopIfTrue="1">
      <formula>IF(FY70="-",TRUE,FALSE)</formula>
    </cfRule>
    <cfRule type="expression" dxfId="1054" priority="1096" stopIfTrue="1">
      <formula>IF(OR(FY70="OK"),FALSE,TRUE)</formula>
    </cfRule>
  </conditionalFormatting>
  <conditionalFormatting sqref="FX70">
    <cfRule type="expression" dxfId="1053" priority="1094" stopIfTrue="1">
      <formula>IF(FW$8="判定対象外",TRUE,FALSE)</formula>
    </cfRule>
  </conditionalFormatting>
  <conditionalFormatting sqref="FW70">
    <cfRule type="expression" dxfId="1052" priority="1093" stopIfTrue="1">
      <formula>IF(FW$8="判定対象外",TRUE,FALSE)</formula>
    </cfRule>
  </conditionalFormatting>
  <conditionalFormatting sqref="FR69">
    <cfRule type="expression" dxfId="1051" priority="1090" stopIfTrue="1">
      <formula>IF(FS$8="判定対象外",TRUE,FALSE)</formula>
    </cfRule>
  </conditionalFormatting>
  <conditionalFormatting sqref="FU69">
    <cfRule type="expression" dxfId="1050" priority="1088" stopIfTrue="1">
      <formula>IF(FU69="-",TRUE,FALSE)</formula>
    </cfRule>
    <cfRule type="expression" dxfId="1049" priority="1089" stopIfTrue="1">
      <formula>IF(OR(FU69="OK"),FALSE,TRUE)</formula>
    </cfRule>
  </conditionalFormatting>
  <conditionalFormatting sqref="FT69">
    <cfRule type="expression" dxfId="1048" priority="1087" stopIfTrue="1">
      <formula>IF(FS$8="判定対象外",TRUE,FALSE)</formula>
    </cfRule>
  </conditionalFormatting>
  <conditionalFormatting sqref="FS69">
    <cfRule type="expression" dxfId="1047" priority="1086" stopIfTrue="1">
      <formula>IF(FS$8="判定対象外",TRUE,FALSE)</formula>
    </cfRule>
  </conditionalFormatting>
  <conditionalFormatting sqref="FV69">
    <cfRule type="expression" dxfId="1046" priority="1085" stopIfTrue="1">
      <formula>IF(FW$8="判定対象外",TRUE,FALSE)</formula>
    </cfRule>
  </conditionalFormatting>
  <conditionalFormatting sqref="FY69">
    <cfRule type="expression" dxfId="1045" priority="1083" stopIfTrue="1">
      <formula>IF(FY69="-",TRUE,FALSE)</formula>
    </cfRule>
    <cfRule type="expression" dxfId="1044" priority="1084" stopIfTrue="1">
      <formula>IF(OR(FY69="OK"),FALSE,TRUE)</formula>
    </cfRule>
  </conditionalFormatting>
  <conditionalFormatting sqref="FX69">
    <cfRule type="expression" dxfId="1043" priority="1082" stopIfTrue="1">
      <formula>IF(FW$8="判定対象外",TRUE,FALSE)</formula>
    </cfRule>
  </conditionalFormatting>
  <conditionalFormatting sqref="FW69">
    <cfRule type="expression" dxfId="1042" priority="1081" stopIfTrue="1">
      <formula>IF(FW$8="判定対象外",TRUE,FALSE)</formula>
    </cfRule>
  </conditionalFormatting>
  <conditionalFormatting sqref="FZ69">
    <cfRule type="expression" dxfId="1041" priority="1080" stopIfTrue="1">
      <formula>IF(GA$8="判定対象外",TRUE,FALSE)</formula>
    </cfRule>
  </conditionalFormatting>
  <conditionalFormatting sqref="GK69">
    <cfRule type="expression" dxfId="1040" priority="701" stopIfTrue="1">
      <formula>IF(GK69="-",TRUE,FALSE)</formula>
    </cfRule>
    <cfRule type="expression" dxfId="1039" priority="702" stopIfTrue="1">
      <formula>IF(OR(GK69="OK"),FALSE,TRUE)</formula>
    </cfRule>
  </conditionalFormatting>
  <conditionalFormatting sqref="GJ69">
    <cfRule type="expression" dxfId="1038" priority="700" stopIfTrue="1">
      <formula>IF(GI$8="判定対象外",TRUE,FALSE)</formula>
    </cfRule>
  </conditionalFormatting>
  <conditionalFormatting sqref="GI69">
    <cfRule type="expression" dxfId="1037" priority="699" stopIfTrue="1">
      <formula>IF(GI$8="判定対象外",TRUE,FALSE)</formula>
    </cfRule>
  </conditionalFormatting>
  <conditionalFormatting sqref="GH69">
    <cfRule type="expression" dxfId="1036" priority="698" stopIfTrue="1">
      <formula>IF(GI$8="判定対象外",TRUE,FALSE)</formula>
    </cfRule>
  </conditionalFormatting>
  <conditionalFormatting sqref="GK65">
    <cfRule type="expression" dxfId="1035" priority="811" stopIfTrue="1">
      <formula>IF(GK65="-",TRUE,FALSE)</formula>
    </cfRule>
    <cfRule type="expression" dxfId="1034" priority="812" stopIfTrue="1">
      <formula>IF(OR(GK65="OK"),FALSE,TRUE)</formula>
    </cfRule>
  </conditionalFormatting>
  <conditionalFormatting sqref="GJ65">
    <cfRule type="expression" dxfId="1033" priority="810" stopIfTrue="1">
      <formula>IF(GI$8="判定対象外",TRUE,FALSE)</formula>
    </cfRule>
  </conditionalFormatting>
  <conditionalFormatting sqref="GI65">
    <cfRule type="expression" dxfId="1032" priority="809" stopIfTrue="1">
      <formula>IF(GI$8="判定対象外",TRUE,FALSE)</formula>
    </cfRule>
  </conditionalFormatting>
  <conditionalFormatting sqref="GL69">
    <cfRule type="expression" dxfId="1031" priority="697" stopIfTrue="1">
      <formula>IF(GM$8="判定対象外",TRUE,FALSE)</formula>
    </cfRule>
  </conditionalFormatting>
  <conditionalFormatting sqref="GD69">
    <cfRule type="expression" dxfId="1030" priority="707" stopIfTrue="1">
      <formula>IF(GE$8="判定対象外",TRUE,FALSE)</formula>
    </cfRule>
  </conditionalFormatting>
  <conditionalFormatting sqref="GG69">
    <cfRule type="expression" dxfId="1029" priority="705" stopIfTrue="1">
      <formula>IF(GG69="-",TRUE,FALSE)</formula>
    </cfRule>
    <cfRule type="expression" dxfId="1028" priority="706" stopIfTrue="1">
      <formula>IF(OR(GG69="OK"),FALSE,TRUE)</formula>
    </cfRule>
  </conditionalFormatting>
  <conditionalFormatting sqref="GF69">
    <cfRule type="expression" dxfId="1027" priority="704" stopIfTrue="1">
      <formula>IF(GE$8="判定対象外",TRUE,FALSE)</formula>
    </cfRule>
  </conditionalFormatting>
  <conditionalFormatting sqref="GE69">
    <cfRule type="expression" dxfId="1026" priority="703" stopIfTrue="1">
      <formula>IF(GE$8="判定対象外",TRUE,FALSE)</formula>
    </cfRule>
  </conditionalFormatting>
  <conditionalFormatting sqref="GL70">
    <cfRule type="expression" dxfId="1025" priority="686" stopIfTrue="1">
      <formula>IF(GM$8="判定対象外",TRUE,FALSE)</formula>
    </cfRule>
  </conditionalFormatting>
  <conditionalFormatting sqref="GK68">
    <cfRule type="expression" dxfId="1024" priority="754" stopIfTrue="1">
      <formula>IF(GK68="-",TRUE,FALSE)</formula>
    </cfRule>
    <cfRule type="expression" dxfId="1023" priority="755" stopIfTrue="1">
      <formula>IF(OR(GK68="OK"),FALSE,TRUE)</formula>
    </cfRule>
  </conditionalFormatting>
  <conditionalFormatting sqref="GJ68">
    <cfRule type="expression" dxfId="1022" priority="753" stopIfTrue="1">
      <formula>IF(GI$8="判定対象外",TRUE,FALSE)</formula>
    </cfRule>
  </conditionalFormatting>
  <conditionalFormatting sqref="GI68">
    <cfRule type="expression" dxfId="1021" priority="752" stopIfTrue="1">
      <formula>IF(GI$8="判定対象外",TRUE,FALSE)</formula>
    </cfRule>
  </conditionalFormatting>
  <conditionalFormatting sqref="GH68">
    <cfRule type="expression" dxfId="1020" priority="751" stopIfTrue="1">
      <formula>IF(GI$8="判定対象外",TRUE,FALSE)</formula>
    </cfRule>
  </conditionalFormatting>
  <conditionalFormatting sqref="GD67">
    <cfRule type="expression" dxfId="1019" priority="807" stopIfTrue="1">
      <formula>IF(GE$8="判定対象外",TRUE,FALSE)</formula>
    </cfRule>
  </conditionalFormatting>
  <conditionalFormatting sqref="GL68">
    <cfRule type="expression" dxfId="1018" priority="750" stopIfTrue="1">
      <formula>IF(GM$8="判定対象外",TRUE,FALSE)</formula>
    </cfRule>
  </conditionalFormatting>
  <conditionalFormatting sqref="GD68">
    <cfRule type="expression" dxfId="1017" priority="760" stopIfTrue="1">
      <formula>IF(GE$8="判定対象外",TRUE,FALSE)</formula>
    </cfRule>
  </conditionalFormatting>
  <conditionalFormatting sqref="GG68">
    <cfRule type="expression" dxfId="1016" priority="758" stopIfTrue="1">
      <formula>IF(GG68="-",TRUE,FALSE)</formula>
    </cfRule>
    <cfRule type="expression" dxfId="1015" priority="759" stopIfTrue="1">
      <formula>IF(OR(GG68="OK"),FALSE,TRUE)</formula>
    </cfRule>
  </conditionalFormatting>
  <conditionalFormatting sqref="GF68">
    <cfRule type="expression" dxfId="1014" priority="757" stopIfTrue="1">
      <formula>IF(GE$8="判定対象外",TRUE,FALSE)</formula>
    </cfRule>
  </conditionalFormatting>
  <conditionalFormatting sqref="GE68">
    <cfRule type="expression" dxfId="1013" priority="756" stopIfTrue="1">
      <formula>IF(GE$8="判定対象外",TRUE,FALSE)</formula>
    </cfRule>
  </conditionalFormatting>
  <conditionalFormatting sqref="GL69">
    <cfRule type="expression" dxfId="1012" priority="739" stopIfTrue="1">
      <formula>IF(GM$8="判定対象外",TRUE,FALSE)</formula>
    </cfRule>
  </conditionalFormatting>
  <conditionalFormatting sqref="GL66">
    <cfRule type="expression" dxfId="1011" priority="786" stopIfTrue="1">
      <formula>IF(GM$8="判定対象外",TRUE,FALSE)</formula>
    </cfRule>
  </conditionalFormatting>
  <conditionalFormatting sqref="GD66">
    <cfRule type="expression" dxfId="1010" priority="796" stopIfTrue="1">
      <formula>IF(GE$8="判定対象外",TRUE,FALSE)</formula>
    </cfRule>
  </conditionalFormatting>
  <conditionalFormatting sqref="GG66">
    <cfRule type="expression" dxfId="1009" priority="794" stopIfTrue="1">
      <formula>IF(GG66="-",TRUE,FALSE)</formula>
    </cfRule>
    <cfRule type="expression" dxfId="1008" priority="795" stopIfTrue="1">
      <formula>IF(OR(GG66="OK"),FALSE,TRUE)</formula>
    </cfRule>
  </conditionalFormatting>
  <conditionalFormatting sqref="GF66">
    <cfRule type="expression" dxfId="1007" priority="793" stopIfTrue="1">
      <formula>IF(GE$8="判定対象外",TRUE,FALSE)</formula>
    </cfRule>
  </conditionalFormatting>
  <conditionalFormatting sqref="GE66">
    <cfRule type="expression" dxfId="1006" priority="792" stopIfTrue="1">
      <formula>IF(GE$8="判定対象外",TRUE,FALSE)</formula>
    </cfRule>
  </conditionalFormatting>
  <conditionalFormatting sqref="GL68">
    <cfRule type="expression" dxfId="1005" priority="775" stopIfTrue="1">
      <formula>IF(GM$8="判定対象外",TRUE,FALSE)</formula>
    </cfRule>
  </conditionalFormatting>
  <conditionalFormatting sqref="GL65">
    <cfRule type="expression" dxfId="1004" priority="808" stopIfTrue="1">
      <formula>IF(GM$8="判定対象外",TRUE,FALSE)</formula>
    </cfRule>
  </conditionalFormatting>
  <conditionalFormatting sqref="GD65">
    <cfRule type="expression" dxfId="1003" priority="818" stopIfTrue="1">
      <formula>IF(GE$8="判定対象外",TRUE,FALSE)</formula>
    </cfRule>
  </conditionalFormatting>
  <conditionalFormatting sqref="GG65">
    <cfRule type="expression" dxfId="1002" priority="816" stopIfTrue="1">
      <formula>IF(GG65="-",TRUE,FALSE)</formula>
    </cfRule>
    <cfRule type="expression" dxfId="1001" priority="817" stopIfTrue="1">
      <formula>IF(OR(GG65="OK"),FALSE,TRUE)</formula>
    </cfRule>
  </conditionalFormatting>
  <conditionalFormatting sqref="GF65">
    <cfRule type="expression" dxfId="1000" priority="815" stopIfTrue="1">
      <formula>IF(GE$8="判定対象外",TRUE,FALSE)</formula>
    </cfRule>
  </conditionalFormatting>
  <conditionalFormatting sqref="GE65">
    <cfRule type="expression" dxfId="999" priority="814" stopIfTrue="1">
      <formula>IF(GE$8="判定対象外",TRUE,FALSE)</formula>
    </cfRule>
  </conditionalFormatting>
  <conditionalFormatting sqref="GL67">
    <cfRule type="expression" dxfId="998" priority="797" stopIfTrue="1">
      <formula>IF(GM$8="判定対象外",TRUE,FALSE)</formula>
    </cfRule>
  </conditionalFormatting>
  <conditionalFormatting sqref="GL64">
    <cfRule type="expression" dxfId="997" priority="819" stopIfTrue="1">
      <formula>IF(GM$8="判定対象外",TRUE,FALSE)</formula>
    </cfRule>
  </conditionalFormatting>
  <conditionalFormatting sqref="GD64">
    <cfRule type="expression" dxfId="996" priority="829" stopIfTrue="1">
      <formula>IF(GE$8="判定対象外",TRUE,FALSE)</formula>
    </cfRule>
  </conditionalFormatting>
  <conditionalFormatting sqref="GG64">
    <cfRule type="expression" dxfId="995" priority="827" stopIfTrue="1">
      <formula>IF(GG64="-",TRUE,FALSE)</formula>
    </cfRule>
    <cfRule type="expression" dxfId="994" priority="828" stopIfTrue="1">
      <formula>IF(OR(GG64="OK"),FALSE,TRUE)</formula>
    </cfRule>
  </conditionalFormatting>
  <conditionalFormatting sqref="GF64">
    <cfRule type="expression" dxfId="993" priority="826" stopIfTrue="1">
      <formula>IF(GE$8="判定対象外",TRUE,FALSE)</formula>
    </cfRule>
  </conditionalFormatting>
  <conditionalFormatting sqref="GE64">
    <cfRule type="expression" dxfId="992" priority="825" stopIfTrue="1">
      <formula>IF(GE$8="判定対象外",TRUE,FALSE)</formula>
    </cfRule>
  </conditionalFormatting>
  <conditionalFormatting sqref="GL63">
    <cfRule type="expression" dxfId="991" priority="830" stopIfTrue="1">
      <formula>IF(GM$8="判定対象外",TRUE,FALSE)</formula>
    </cfRule>
  </conditionalFormatting>
  <conditionalFormatting sqref="GD63">
    <cfRule type="expression" dxfId="990" priority="840" stopIfTrue="1">
      <formula>IF(GE$8="判定対象外",TRUE,FALSE)</formula>
    </cfRule>
  </conditionalFormatting>
  <conditionalFormatting sqref="GG63">
    <cfRule type="expression" dxfId="989" priority="838" stopIfTrue="1">
      <formula>IF(GG63="-",TRUE,FALSE)</formula>
    </cfRule>
    <cfRule type="expression" dxfId="988" priority="839" stopIfTrue="1">
      <formula>IF(OR(GG63="OK"),FALSE,TRUE)</formula>
    </cfRule>
  </conditionalFormatting>
  <conditionalFormatting sqref="GF63">
    <cfRule type="expression" dxfId="987" priority="837" stopIfTrue="1">
      <formula>IF(GE$8="判定対象外",TRUE,FALSE)</formula>
    </cfRule>
  </conditionalFormatting>
  <conditionalFormatting sqref="GE63">
    <cfRule type="expression" dxfId="986" priority="836" stopIfTrue="1">
      <formula>IF(GE$8="判定対象外",TRUE,FALSE)</formula>
    </cfRule>
  </conditionalFormatting>
  <conditionalFormatting sqref="GL62">
    <cfRule type="expression" dxfId="985" priority="841" stopIfTrue="1">
      <formula>IF(GM$8="判定対象外",TRUE,FALSE)</formula>
    </cfRule>
  </conditionalFormatting>
  <conditionalFormatting sqref="GD62">
    <cfRule type="expression" dxfId="984" priority="851" stopIfTrue="1">
      <formula>IF(GE$8="判定対象外",TRUE,FALSE)</formula>
    </cfRule>
  </conditionalFormatting>
  <conditionalFormatting sqref="GG62">
    <cfRule type="expression" dxfId="983" priority="849" stopIfTrue="1">
      <formula>IF(GG62="-",TRUE,FALSE)</formula>
    </cfRule>
    <cfRule type="expression" dxfId="982" priority="850" stopIfTrue="1">
      <formula>IF(OR(GG62="OK"),FALSE,TRUE)</formula>
    </cfRule>
  </conditionalFormatting>
  <conditionalFormatting sqref="GF62">
    <cfRule type="expression" dxfId="981" priority="848" stopIfTrue="1">
      <formula>IF(GE$8="判定対象外",TRUE,FALSE)</formula>
    </cfRule>
  </conditionalFormatting>
  <conditionalFormatting sqref="GE62">
    <cfRule type="expression" dxfId="980" priority="847" stopIfTrue="1">
      <formula>IF(GE$8="判定対象外",TRUE,FALSE)</formula>
    </cfRule>
  </conditionalFormatting>
  <conditionalFormatting sqref="GL61">
    <cfRule type="expression" dxfId="979" priority="852" stopIfTrue="1">
      <formula>IF(GM$8="判定対象外",TRUE,FALSE)</formula>
    </cfRule>
  </conditionalFormatting>
  <conditionalFormatting sqref="GD61">
    <cfRule type="expression" dxfId="978" priority="862" stopIfTrue="1">
      <formula>IF(GE$8="判定対象外",TRUE,FALSE)</formula>
    </cfRule>
  </conditionalFormatting>
  <conditionalFormatting sqref="GG61">
    <cfRule type="expression" dxfId="977" priority="860" stopIfTrue="1">
      <formula>IF(GG61="-",TRUE,FALSE)</formula>
    </cfRule>
    <cfRule type="expression" dxfId="976" priority="861" stopIfTrue="1">
      <formula>IF(OR(GG61="OK"),FALSE,TRUE)</formula>
    </cfRule>
  </conditionalFormatting>
  <conditionalFormatting sqref="GF61">
    <cfRule type="expression" dxfId="975" priority="859" stopIfTrue="1">
      <formula>IF(GE$8="判定対象外",TRUE,FALSE)</formula>
    </cfRule>
  </conditionalFormatting>
  <conditionalFormatting sqref="GE61">
    <cfRule type="expression" dxfId="974" priority="858" stopIfTrue="1">
      <formula>IF(GE$8="判定対象外",TRUE,FALSE)</formula>
    </cfRule>
  </conditionalFormatting>
  <conditionalFormatting sqref="GL60">
    <cfRule type="expression" dxfId="973" priority="863" stopIfTrue="1">
      <formula>IF(GM$8="判定対象外",TRUE,FALSE)</formula>
    </cfRule>
  </conditionalFormatting>
  <conditionalFormatting sqref="GL53 GL56 GL68 GL71">
    <cfRule type="expression" dxfId="972" priority="909" stopIfTrue="1">
      <formula>IF(GM$8="判定対象外",TRUE,FALSE)</formula>
    </cfRule>
  </conditionalFormatting>
  <conditionalFormatting sqref="GD60">
    <cfRule type="expression" dxfId="971" priority="873" stopIfTrue="1">
      <formula>IF(GE$8="判定対象外",TRUE,FALSE)</formula>
    </cfRule>
  </conditionalFormatting>
  <conditionalFormatting sqref="GG60">
    <cfRule type="expression" dxfId="970" priority="871" stopIfTrue="1">
      <formula>IF(GG60="-",TRUE,FALSE)</formula>
    </cfRule>
    <cfRule type="expression" dxfId="969" priority="872" stopIfTrue="1">
      <formula>IF(OR(GG60="OK"),FALSE,TRUE)</formula>
    </cfRule>
  </conditionalFormatting>
  <conditionalFormatting sqref="GF60">
    <cfRule type="expression" dxfId="968" priority="870" stopIfTrue="1">
      <formula>IF(GE$8="判定対象外",TRUE,FALSE)</formula>
    </cfRule>
  </conditionalFormatting>
  <conditionalFormatting sqref="GE60">
    <cfRule type="expression" dxfId="967" priority="869" stopIfTrue="1">
      <formula>IF(GE$8="判定対象外",TRUE,FALSE)</formula>
    </cfRule>
  </conditionalFormatting>
  <conditionalFormatting sqref="GL19">
    <cfRule type="expression" dxfId="966" priority="920" stopIfTrue="1">
      <formula>IF(GM$8="判定対象外",TRUE,FALSE)</formula>
    </cfRule>
  </conditionalFormatting>
  <conditionalFormatting sqref="GL59">
    <cfRule type="expression" dxfId="965" priority="874" stopIfTrue="1">
      <formula>IF(GM$8="判定対象外",TRUE,FALSE)</formula>
    </cfRule>
  </conditionalFormatting>
  <conditionalFormatting sqref="GD59">
    <cfRule type="expression" dxfId="964" priority="884" stopIfTrue="1">
      <formula>IF(GE$8="判定対象外",TRUE,FALSE)</formula>
    </cfRule>
  </conditionalFormatting>
  <conditionalFormatting sqref="GG59">
    <cfRule type="expression" dxfId="963" priority="882" stopIfTrue="1">
      <formula>IF(GG59="-",TRUE,FALSE)</formula>
    </cfRule>
    <cfRule type="expression" dxfId="962" priority="883" stopIfTrue="1">
      <formula>IF(OR(GG59="OK"),FALSE,TRUE)</formula>
    </cfRule>
  </conditionalFormatting>
  <conditionalFormatting sqref="GF59">
    <cfRule type="expression" dxfId="961" priority="881" stopIfTrue="1">
      <formula>IF(GE$8="判定対象外",TRUE,FALSE)</formula>
    </cfRule>
  </conditionalFormatting>
  <conditionalFormatting sqref="GE59">
    <cfRule type="expression" dxfId="960" priority="880" stopIfTrue="1">
      <formula>IF(GE$8="判定対象外",TRUE,FALSE)</formula>
    </cfRule>
  </conditionalFormatting>
  <conditionalFormatting sqref="GL16:GL18">
    <cfRule type="expression" dxfId="959" priority="930" stopIfTrue="1">
      <formula>IF(GM$8="判定対象外",TRUE,FALSE)</formula>
    </cfRule>
  </conditionalFormatting>
  <conditionalFormatting sqref="GG8:GG10">
    <cfRule type="expression" dxfId="958" priority="1078" stopIfTrue="1">
      <formula>IF(GG8="-",TRUE,FALSE)</formula>
    </cfRule>
    <cfRule type="expression" dxfId="957" priority="1079" stopIfTrue="1">
      <formula>IF(OR(GG8="OK"),FALSE,TRUE)</formula>
    </cfRule>
  </conditionalFormatting>
  <conditionalFormatting sqref="GD8:GD10">
    <cfRule type="expression" dxfId="956" priority="1077" stopIfTrue="1">
      <formula>IF(GE$8="判定対象外",TRUE,FALSE)</formula>
    </cfRule>
  </conditionalFormatting>
  <conditionalFormatting sqref="GE8:GE10">
    <cfRule type="expression" dxfId="955" priority="1076" stopIfTrue="1">
      <formula>IF(GE$8="判定対象外",TRUE,FALSE)</formula>
    </cfRule>
  </conditionalFormatting>
  <conditionalFormatting sqref="GF8:GF10">
    <cfRule type="expression" dxfId="954" priority="1075" stopIfTrue="1">
      <formula>IF(GE$8="判定対象外",TRUE,FALSE)</formula>
    </cfRule>
  </conditionalFormatting>
  <conditionalFormatting sqref="GG11:GG56 GG71:GG81">
    <cfRule type="expression" dxfId="953" priority="1072" stopIfTrue="1">
      <formula>IF(GG11="-",TRUE,FALSE)</formula>
    </cfRule>
    <cfRule type="expression" dxfId="952" priority="1073" stopIfTrue="1">
      <formula>IF(OR(GG11="OK"),FALSE,TRUE)</formula>
    </cfRule>
  </conditionalFormatting>
  <conditionalFormatting sqref="GF11:GF56 GF71:GF81">
    <cfRule type="expression" dxfId="951" priority="1071" stopIfTrue="1">
      <formula>IF(GE$8="判定対象外",TRUE,FALSE)</formula>
    </cfRule>
  </conditionalFormatting>
  <conditionalFormatting sqref="GD72:GD81 GD21:GD46">
    <cfRule type="expression" dxfId="950" priority="1070" stopIfTrue="1">
      <formula>IF(GE$8="判定対象外",TRUE,FALSE)</formula>
    </cfRule>
  </conditionalFormatting>
  <conditionalFormatting sqref="GD29:GD32">
    <cfRule type="expression" dxfId="949" priority="1069" stopIfTrue="1">
      <formula>IF(GE$8="判定対象外",TRUE,FALSE)</formula>
    </cfRule>
  </conditionalFormatting>
  <conditionalFormatting sqref="GD42:GD44">
    <cfRule type="expression" dxfId="948" priority="1068" stopIfTrue="1">
      <formula>IF(GE$8="判定対象外",TRUE,FALSE)</formula>
    </cfRule>
  </conditionalFormatting>
  <conditionalFormatting sqref="GD46">
    <cfRule type="expression" dxfId="947" priority="1067" stopIfTrue="1">
      <formula>IF(GE$8="判定対象外",TRUE,FALSE)</formula>
    </cfRule>
  </conditionalFormatting>
  <conditionalFormatting sqref="GD42:GD44">
    <cfRule type="expression" dxfId="946" priority="1066" stopIfTrue="1">
      <formula>IF(GE$8="判定対象外",TRUE,FALSE)</formula>
    </cfRule>
  </conditionalFormatting>
  <conditionalFormatting sqref="GD42:GD44">
    <cfRule type="expression" dxfId="945" priority="1065" stopIfTrue="1">
      <formula>IF(GE$8="判定対象外",TRUE,FALSE)</formula>
    </cfRule>
  </conditionalFormatting>
  <conditionalFormatting sqref="GD42:GD44">
    <cfRule type="expression" dxfId="944" priority="1064" stopIfTrue="1">
      <formula>IF(GE$8="判定対象外",TRUE,FALSE)</formula>
    </cfRule>
  </conditionalFormatting>
  <conditionalFormatting sqref="GD42:GD44">
    <cfRule type="expression" dxfId="943" priority="1063" stopIfTrue="1">
      <formula>IF(GE$8="判定対象外",TRUE,FALSE)</formula>
    </cfRule>
  </conditionalFormatting>
  <conditionalFormatting sqref="GD42:GD44">
    <cfRule type="expression" dxfId="942" priority="1062" stopIfTrue="1">
      <formula>IF(GE$8="判定対象外",TRUE,FALSE)</formula>
    </cfRule>
  </conditionalFormatting>
  <conditionalFormatting sqref="GD42:GD44">
    <cfRule type="expression" dxfId="941" priority="1061" stopIfTrue="1">
      <formula>IF(GE$8="判定対象外",TRUE,FALSE)</formula>
    </cfRule>
  </conditionalFormatting>
  <conditionalFormatting sqref="GD42:GD44">
    <cfRule type="expression" dxfId="940" priority="1060" stopIfTrue="1">
      <formula>IF(GE$8="判定対象外",TRUE,FALSE)</formula>
    </cfRule>
  </conditionalFormatting>
  <conditionalFormatting sqref="GD38">
    <cfRule type="expression" dxfId="939" priority="1074" stopIfTrue="1">
      <formula>IF(#REF!="判定対象外",TRUE,FALSE)</formula>
    </cfRule>
  </conditionalFormatting>
  <conditionalFormatting sqref="GE11:GE56 GE71:GE81">
    <cfRule type="expression" dxfId="938" priority="1059" stopIfTrue="1">
      <formula>IF(GE$8="判定対象外",TRUE,FALSE)</formula>
    </cfRule>
  </conditionalFormatting>
  <conditionalFormatting sqref="GD48">
    <cfRule type="expression" dxfId="937" priority="1058" stopIfTrue="1">
      <formula>IF(GE$8="判定対象外",TRUE,FALSE)</formula>
    </cfRule>
  </conditionalFormatting>
  <conditionalFormatting sqref="GD51">
    <cfRule type="expression" dxfId="936" priority="1057" stopIfTrue="1">
      <formula>IF(GE$8="判定対象外",TRUE,FALSE)</formula>
    </cfRule>
  </conditionalFormatting>
  <conditionalFormatting sqref="GD52 GD55 GD70">
    <cfRule type="expression" dxfId="935" priority="1056" stopIfTrue="1">
      <formula>IF(GE$8="判定対象外",TRUE,FALSE)</formula>
    </cfRule>
  </conditionalFormatting>
  <conditionalFormatting sqref="GD11:GD20">
    <cfRule type="expression" dxfId="934" priority="1055" stopIfTrue="1">
      <formula>IF(GE$8="判定対象外",TRUE,FALSE)</formula>
    </cfRule>
  </conditionalFormatting>
  <conditionalFormatting sqref="GD16:GD18">
    <cfRule type="expression" dxfId="933" priority="1054" stopIfTrue="1">
      <formula>IF(GE$8="判定対象外",TRUE,FALSE)</formula>
    </cfRule>
  </conditionalFormatting>
  <conditionalFormatting sqref="GD20">
    <cfRule type="expression" dxfId="932" priority="1053" stopIfTrue="1">
      <formula>IF(GE$8="判定対象外",TRUE,FALSE)</formula>
    </cfRule>
  </conditionalFormatting>
  <conditionalFormatting sqref="GD16:GD20">
    <cfRule type="expression" dxfId="931" priority="1052" stopIfTrue="1">
      <formula>IF(GE$8="判定対象外",TRUE,FALSE)</formula>
    </cfRule>
  </conditionalFormatting>
  <conditionalFormatting sqref="GD11:GD20">
    <cfRule type="expression" dxfId="930" priority="1051" stopIfTrue="1">
      <formula>IF(GE$8="判定対象外",TRUE,FALSE)</formula>
    </cfRule>
  </conditionalFormatting>
  <conditionalFormatting sqref="GD16:GD18">
    <cfRule type="expression" dxfId="929" priority="1050" stopIfTrue="1">
      <formula>IF(GE$8="判定対象外",TRUE,FALSE)</formula>
    </cfRule>
  </conditionalFormatting>
  <conditionalFormatting sqref="GD20">
    <cfRule type="expression" dxfId="928" priority="1049" stopIfTrue="1">
      <formula>IF(GE$8="判定対象外",TRUE,FALSE)</formula>
    </cfRule>
  </conditionalFormatting>
  <conditionalFormatting sqref="GD16:GD20">
    <cfRule type="expression" dxfId="927" priority="1048" stopIfTrue="1">
      <formula>IF(GE$8="判定対象外",TRUE,FALSE)</formula>
    </cfRule>
  </conditionalFormatting>
  <conditionalFormatting sqref="GD11:GD20">
    <cfRule type="expression" dxfId="926" priority="1047" stopIfTrue="1">
      <formula>IF(GE$8="判定対象外",TRUE,FALSE)</formula>
    </cfRule>
  </conditionalFormatting>
  <conditionalFormatting sqref="GD16:GD18">
    <cfRule type="expression" dxfId="925" priority="1046" stopIfTrue="1">
      <formula>IF(GE$8="判定対象外",TRUE,FALSE)</formula>
    </cfRule>
  </conditionalFormatting>
  <conditionalFormatting sqref="GD20">
    <cfRule type="expression" dxfId="924" priority="1045" stopIfTrue="1">
      <formula>IF(GE$8="判定対象外",TRUE,FALSE)</formula>
    </cfRule>
  </conditionalFormatting>
  <conditionalFormatting sqref="GD16:GD20">
    <cfRule type="expression" dxfId="923" priority="1044" stopIfTrue="1">
      <formula>IF(GE$8="判定対象外",TRUE,FALSE)</formula>
    </cfRule>
  </conditionalFormatting>
  <conditionalFormatting sqref="GD11:GD13">
    <cfRule type="expression" dxfId="922" priority="1043" stopIfTrue="1">
      <formula>IF(GE$8="判定対象外",TRUE,FALSE)</formula>
    </cfRule>
  </conditionalFormatting>
  <conditionalFormatting sqref="GD15">
    <cfRule type="expression" dxfId="921" priority="1042" stopIfTrue="1">
      <formula>IF(GE$8="判定対象外",TRUE,FALSE)</formula>
    </cfRule>
  </conditionalFormatting>
  <conditionalFormatting sqref="GD19">
    <cfRule type="expression" dxfId="920" priority="1041" stopIfTrue="1">
      <formula>IF(GE$8="判定対象外",TRUE,FALSE)</formula>
    </cfRule>
  </conditionalFormatting>
  <conditionalFormatting sqref="GD19">
    <cfRule type="expression" dxfId="919" priority="1040" stopIfTrue="1">
      <formula>IF(GE$8="判定対象外",TRUE,FALSE)</formula>
    </cfRule>
  </conditionalFormatting>
  <conditionalFormatting sqref="GD20">
    <cfRule type="expression" dxfId="918" priority="1039" stopIfTrue="1">
      <formula>IF(GE$8="判定対象外",TRUE,FALSE)</formula>
    </cfRule>
  </conditionalFormatting>
  <conditionalFormatting sqref="GD20">
    <cfRule type="expression" dxfId="917" priority="1038" stopIfTrue="1">
      <formula>IF(GE$8="判定対象外",TRUE,FALSE)</formula>
    </cfRule>
  </conditionalFormatting>
  <conditionalFormatting sqref="GD20">
    <cfRule type="expression" dxfId="916" priority="1037" stopIfTrue="1">
      <formula>IF(GE$8="判定対象外",TRUE,FALSE)</formula>
    </cfRule>
  </conditionalFormatting>
  <conditionalFormatting sqref="GD13">
    <cfRule type="expression" dxfId="915" priority="1036" stopIfTrue="1">
      <formula>IF(GE$8="判定対象外",TRUE,FALSE)</formula>
    </cfRule>
  </conditionalFormatting>
  <conditionalFormatting sqref="GD47">
    <cfRule type="expression" dxfId="914" priority="1035" stopIfTrue="1">
      <formula>IF(GE$8="判定対象外",TRUE,FALSE)</formula>
    </cfRule>
  </conditionalFormatting>
  <conditionalFormatting sqref="GD47">
    <cfRule type="expression" dxfId="913" priority="1034" stopIfTrue="1">
      <formula>IF(GE$8="判定対象外",TRUE,FALSE)</formula>
    </cfRule>
  </conditionalFormatting>
  <conditionalFormatting sqref="GD49">
    <cfRule type="expression" dxfId="912" priority="1033" stopIfTrue="1">
      <formula>IF(GE$8="判定対象外",TRUE,FALSE)</formula>
    </cfRule>
  </conditionalFormatting>
  <conditionalFormatting sqref="GD49">
    <cfRule type="expression" dxfId="911" priority="1032" stopIfTrue="1">
      <formula>IF(GE$8="判定対象外",TRUE,FALSE)</formula>
    </cfRule>
  </conditionalFormatting>
  <conditionalFormatting sqref="GD50">
    <cfRule type="expression" dxfId="910" priority="1031" stopIfTrue="1">
      <formula>IF(GE$8="判定対象外",TRUE,FALSE)</formula>
    </cfRule>
  </conditionalFormatting>
  <conditionalFormatting sqref="GD50">
    <cfRule type="expression" dxfId="909" priority="1030" stopIfTrue="1">
      <formula>IF(GE$8="判定対象外",TRUE,FALSE)</formula>
    </cfRule>
  </conditionalFormatting>
  <conditionalFormatting sqref="GD53 GD56 GD68 GD71">
    <cfRule type="expression" dxfId="908" priority="1029" stopIfTrue="1">
      <formula>IF(GE$8="判定対象外",TRUE,FALSE)</formula>
    </cfRule>
  </conditionalFormatting>
  <conditionalFormatting sqref="GD54 GD57 GD69">
    <cfRule type="expression" dxfId="907" priority="1028" stopIfTrue="1">
      <formula>IF(GE$8="判定対象外",TRUE,FALSE)</formula>
    </cfRule>
  </conditionalFormatting>
  <conditionalFormatting sqref="GG57">
    <cfRule type="expression" dxfId="906" priority="1026" stopIfTrue="1">
      <formula>IF(GG57="-",TRUE,FALSE)</formula>
    </cfRule>
    <cfRule type="expression" dxfId="905" priority="1027" stopIfTrue="1">
      <formula>IF(OR(GG57="OK"),FALSE,TRUE)</formula>
    </cfRule>
  </conditionalFormatting>
  <conditionalFormatting sqref="GF57">
    <cfRule type="expression" dxfId="904" priority="1025" stopIfTrue="1">
      <formula>IF(GE$8="判定対象外",TRUE,FALSE)</formula>
    </cfRule>
  </conditionalFormatting>
  <conditionalFormatting sqref="GE57">
    <cfRule type="expression" dxfId="903" priority="1024" stopIfTrue="1">
      <formula>IF(GE$8="判定対象外",TRUE,FALSE)</formula>
    </cfRule>
  </conditionalFormatting>
  <conditionalFormatting sqref="GG68:GG71">
    <cfRule type="expression" dxfId="902" priority="1022" stopIfTrue="1">
      <formula>IF(GG68="-",TRUE,FALSE)</formula>
    </cfRule>
    <cfRule type="expression" dxfId="901" priority="1023" stopIfTrue="1">
      <formula>IF(OR(GG68="OK"),FALSE,TRUE)</formula>
    </cfRule>
  </conditionalFormatting>
  <conditionalFormatting sqref="GF68:GF71">
    <cfRule type="expression" dxfId="900" priority="1021" stopIfTrue="1">
      <formula>IF(GE$8="判定対象外",TRUE,FALSE)</formula>
    </cfRule>
  </conditionalFormatting>
  <conditionalFormatting sqref="GE68:GE71">
    <cfRule type="expression" dxfId="899" priority="1020" stopIfTrue="1">
      <formula>IF(GE$8="判定対象外",TRUE,FALSE)</formula>
    </cfRule>
  </conditionalFormatting>
  <conditionalFormatting sqref="GK8:GK10">
    <cfRule type="expression" dxfId="898" priority="1018" stopIfTrue="1">
      <formula>IF(GK8="-",TRUE,FALSE)</formula>
    </cfRule>
    <cfRule type="expression" dxfId="897" priority="1019" stopIfTrue="1">
      <formula>IF(OR(GK8="OK"),FALSE,TRUE)</formula>
    </cfRule>
  </conditionalFormatting>
  <conditionalFormatting sqref="GH8:GH10">
    <cfRule type="expression" dxfId="896" priority="1017" stopIfTrue="1">
      <formula>IF(GI$8="判定対象外",TRUE,FALSE)</formula>
    </cfRule>
  </conditionalFormatting>
  <conditionalFormatting sqref="GI8:GI10">
    <cfRule type="expression" dxfId="895" priority="1016" stopIfTrue="1">
      <formula>IF(GI$8="判定対象外",TRUE,FALSE)</formula>
    </cfRule>
  </conditionalFormatting>
  <conditionalFormatting sqref="GJ8:GJ10">
    <cfRule type="expression" dxfId="894" priority="1015" stopIfTrue="1">
      <formula>IF(GI$8="判定対象外",TRUE,FALSE)</formula>
    </cfRule>
  </conditionalFormatting>
  <conditionalFormatting sqref="GK11:GK56 GK71:GK81">
    <cfRule type="expression" dxfId="893" priority="1012" stopIfTrue="1">
      <formula>IF(GK11="-",TRUE,FALSE)</formula>
    </cfRule>
    <cfRule type="expression" dxfId="892" priority="1013" stopIfTrue="1">
      <formula>IF(OR(GK11="OK"),FALSE,TRUE)</formula>
    </cfRule>
  </conditionalFormatting>
  <conditionalFormatting sqref="GJ11:GJ56 GJ71:GJ81">
    <cfRule type="expression" dxfId="891" priority="1011" stopIfTrue="1">
      <formula>IF(GI$8="判定対象外",TRUE,FALSE)</formula>
    </cfRule>
  </conditionalFormatting>
  <conditionalFormatting sqref="GH72:GH81 GH21:GH46">
    <cfRule type="expression" dxfId="890" priority="1010" stopIfTrue="1">
      <formula>IF(GI$8="判定対象外",TRUE,FALSE)</formula>
    </cfRule>
  </conditionalFormatting>
  <conditionalFormatting sqref="GH29:GH32">
    <cfRule type="expression" dxfId="889" priority="1009" stopIfTrue="1">
      <formula>IF(GI$8="判定対象外",TRUE,FALSE)</formula>
    </cfRule>
  </conditionalFormatting>
  <conditionalFormatting sqref="GH42:GH44">
    <cfRule type="expression" dxfId="888" priority="1008" stopIfTrue="1">
      <formula>IF(GI$8="判定対象外",TRUE,FALSE)</formula>
    </cfRule>
  </conditionalFormatting>
  <conditionalFormatting sqref="GH46">
    <cfRule type="expression" dxfId="887" priority="1007" stopIfTrue="1">
      <formula>IF(GI$8="判定対象外",TRUE,FALSE)</formula>
    </cfRule>
  </conditionalFormatting>
  <conditionalFormatting sqref="GH42:GH44">
    <cfRule type="expression" dxfId="886" priority="1006" stopIfTrue="1">
      <formula>IF(GI$8="判定対象外",TRUE,FALSE)</formula>
    </cfRule>
  </conditionalFormatting>
  <conditionalFormatting sqref="GH42:GH44">
    <cfRule type="expression" dxfId="885" priority="1005" stopIfTrue="1">
      <formula>IF(GI$8="判定対象外",TRUE,FALSE)</formula>
    </cfRule>
  </conditionalFormatting>
  <conditionalFormatting sqref="GH42:GH44">
    <cfRule type="expression" dxfId="884" priority="1004" stopIfTrue="1">
      <formula>IF(GI$8="判定対象外",TRUE,FALSE)</formula>
    </cfRule>
  </conditionalFormatting>
  <conditionalFormatting sqref="GH42:GH44">
    <cfRule type="expression" dxfId="883" priority="1003" stopIfTrue="1">
      <formula>IF(GI$8="判定対象外",TRUE,FALSE)</formula>
    </cfRule>
  </conditionalFormatting>
  <conditionalFormatting sqref="GH42:GH44">
    <cfRule type="expression" dxfId="882" priority="1002" stopIfTrue="1">
      <formula>IF(GI$8="判定対象外",TRUE,FALSE)</formula>
    </cfRule>
  </conditionalFormatting>
  <conditionalFormatting sqref="GH42:GH44">
    <cfRule type="expression" dxfId="881" priority="1001" stopIfTrue="1">
      <formula>IF(GI$8="判定対象外",TRUE,FALSE)</formula>
    </cfRule>
  </conditionalFormatting>
  <conditionalFormatting sqref="GH42:GH44">
    <cfRule type="expression" dxfId="880" priority="1000" stopIfTrue="1">
      <formula>IF(GI$8="判定対象外",TRUE,FALSE)</formula>
    </cfRule>
  </conditionalFormatting>
  <conditionalFormatting sqref="GH38">
    <cfRule type="expression" dxfId="879" priority="1014" stopIfTrue="1">
      <formula>IF(#REF!="判定対象外",TRUE,FALSE)</formula>
    </cfRule>
  </conditionalFormatting>
  <conditionalFormatting sqref="GI11:GI56 GI71:GI81">
    <cfRule type="expression" dxfId="878" priority="999" stopIfTrue="1">
      <formula>IF(GI$8="判定対象外",TRUE,FALSE)</formula>
    </cfRule>
  </conditionalFormatting>
  <conditionalFormatting sqref="GH48">
    <cfRule type="expression" dxfId="877" priority="998" stopIfTrue="1">
      <formula>IF(GI$8="判定対象外",TRUE,FALSE)</formula>
    </cfRule>
  </conditionalFormatting>
  <conditionalFormatting sqref="GH51">
    <cfRule type="expression" dxfId="876" priority="997" stopIfTrue="1">
      <formula>IF(GI$8="判定対象外",TRUE,FALSE)</formula>
    </cfRule>
  </conditionalFormatting>
  <conditionalFormatting sqref="GH52 GH55 GH70">
    <cfRule type="expression" dxfId="875" priority="996" stopIfTrue="1">
      <formula>IF(GI$8="判定対象外",TRUE,FALSE)</formula>
    </cfRule>
  </conditionalFormatting>
  <conditionalFormatting sqref="GH11:GH20">
    <cfRule type="expression" dxfId="874" priority="995" stopIfTrue="1">
      <formula>IF(GI$8="判定対象外",TRUE,FALSE)</formula>
    </cfRule>
  </conditionalFormatting>
  <conditionalFormatting sqref="GH16:GH18">
    <cfRule type="expression" dxfId="873" priority="994" stopIfTrue="1">
      <formula>IF(GI$8="判定対象外",TRUE,FALSE)</formula>
    </cfRule>
  </conditionalFormatting>
  <conditionalFormatting sqref="GH20">
    <cfRule type="expression" dxfId="872" priority="993" stopIfTrue="1">
      <formula>IF(GI$8="判定対象外",TRUE,FALSE)</formula>
    </cfRule>
  </conditionalFormatting>
  <conditionalFormatting sqref="GH16:GH20">
    <cfRule type="expression" dxfId="871" priority="992" stopIfTrue="1">
      <formula>IF(GI$8="判定対象外",TRUE,FALSE)</formula>
    </cfRule>
  </conditionalFormatting>
  <conditionalFormatting sqref="GH11:GH20">
    <cfRule type="expression" dxfId="870" priority="991" stopIfTrue="1">
      <formula>IF(GI$8="判定対象外",TRUE,FALSE)</formula>
    </cfRule>
  </conditionalFormatting>
  <conditionalFormatting sqref="GH16:GH18">
    <cfRule type="expression" dxfId="869" priority="990" stopIfTrue="1">
      <formula>IF(GI$8="判定対象外",TRUE,FALSE)</formula>
    </cfRule>
  </conditionalFormatting>
  <conditionalFormatting sqref="GH20">
    <cfRule type="expression" dxfId="868" priority="989" stopIfTrue="1">
      <formula>IF(GI$8="判定対象外",TRUE,FALSE)</formula>
    </cfRule>
  </conditionalFormatting>
  <conditionalFormatting sqref="GH16:GH20">
    <cfRule type="expression" dxfId="867" priority="988" stopIfTrue="1">
      <formula>IF(GI$8="判定対象外",TRUE,FALSE)</formula>
    </cfRule>
  </conditionalFormatting>
  <conditionalFormatting sqref="GH11:GH20">
    <cfRule type="expression" dxfId="866" priority="987" stopIfTrue="1">
      <formula>IF(GI$8="判定対象外",TRUE,FALSE)</formula>
    </cfRule>
  </conditionalFormatting>
  <conditionalFormatting sqref="GH16:GH18">
    <cfRule type="expression" dxfId="865" priority="986" stopIfTrue="1">
      <formula>IF(GI$8="判定対象外",TRUE,FALSE)</formula>
    </cfRule>
  </conditionalFormatting>
  <conditionalFormatting sqref="GH20">
    <cfRule type="expression" dxfId="864" priority="985" stopIfTrue="1">
      <formula>IF(GI$8="判定対象外",TRUE,FALSE)</formula>
    </cfRule>
  </conditionalFormatting>
  <conditionalFormatting sqref="GH16:GH20">
    <cfRule type="expression" dxfId="863" priority="984" stopIfTrue="1">
      <formula>IF(GI$8="判定対象外",TRUE,FALSE)</formula>
    </cfRule>
  </conditionalFormatting>
  <conditionalFormatting sqref="GH11:GH13">
    <cfRule type="expression" dxfId="862" priority="983" stopIfTrue="1">
      <formula>IF(GI$8="判定対象外",TRUE,FALSE)</formula>
    </cfRule>
  </conditionalFormatting>
  <conditionalFormatting sqref="GH15">
    <cfRule type="expression" dxfId="861" priority="982" stopIfTrue="1">
      <formula>IF(GI$8="判定対象外",TRUE,FALSE)</formula>
    </cfRule>
  </conditionalFormatting>
  <conditionalFormatting sqref="GH19">
    <cfRule type="expression" dxfId="860" priority="981" stopIfTrue="1">
      <formula>IF(GI$8="判定対象外",TRUE,FALSE)</formula>
    </cfRule>
  </conditionalFormatting>
  <conditionalFormatting sqref="GH19">
    <cfRule type="expression" dxfId="859" priority="980" stopIfTrue="1">
      <formula>IF(GI$8="判定対象外",TRUE,FALSE)</formula>
    </cfRule>
  </conditionalFormatting>
  <conditionalFormatting sqref="GH20">
    <cfRule type="expression" dxfId="858" priority="979" stopIfTrue="1">
      <formula>IF(GI$8="判定対象外",TRUE,FALSE)</formula>
    </cfRule>
  </conditionalFormatting>
  <conditionalFormatting sqref="GH20">
    <cfRule type="expression" dxfId="857" priority="978" stopIfTrue="1">
      <formula>IF(GI$8="判定対象外",TRUE,FALSE)</formula>
    </cfRule>
  </conditionalFormatting>
  <conditionalFormatting sqref="GH20">
    <cfRule type="expression" dxfId="856" priority="977" stopIfTrue="1">
      <formula>IF(GI$8="判定対象外",TRUE,FALSE)</formula>
    </cfRule>
  </conditionalFormatting>
  <conditionalFormatting sqref="GH13">
    <cfRule type="expression" dxfId="855" priority="976" stopIfTrue="1">
      <formula>IF(GI$8="判定対象外",TRUE,FALSE)</formula>
    </cfRule>
  </conditionalFormatting>
  <conditionalFormatting sqref="GH47">
    <cfRule type="expression" dxfId="854" priority="975" stopIfTrue="1">
      <formula>IF(GI$8="判定対象外",TRUE,FALSE)</formula>
    </cfRule>
  </conditionalFormatting>
  <conditionalFormatting sqref="GH47">
    <cfRule type="expression" dxfId="853" priority="974" stopIfTrue="1">
      <formula>IF(GI$8="判定対象外",TRUE,FALSE)</formula>
    </cfRule>
  </conditionalFormatting>
  <conditionalFormatting sqref="GH49">
    <cfRule type="expression" dxfId="852" priority="973" stopIfTrue="1">
      <formula>IF(GI$8="判定対象外",TRUE,FALSE)</formula>
    </cfRule>
  </conditionalFormatting>
  <conditionalFormatting sqref="GH49">
    <cfRule type="expression" dxfId="851" priority="972" stopIfTrue="1">
      <formula>IF(GI$8="判定対象外",TRUE,FALSE)</formula>
    </cfRule>
  </conditionalFormatting>
  <conditionalFormatting sqref="GH50">
    <cfRule type="expression" dxfId="850" priority="971" stopIfTrue="1">
      <formula>IF(GI$8="判定対象外",TRUE,FALSE)</formula>
    </cfRule>
  </conditionalFormatting>
  <conditionalFormatting sqref="GH50">
    <cfRule type="expression" dxfId="849" priority="970" stopIfTrue="1">
      <formula>IF(GI$8="判定対象外",TRUE,FALSE)</formula>
    </cfRule>
  </conditionalFormatting>
  <conditionalFormatting sqref="GH53 GH56 GH68">
    <cfRule type="expression" dxfId="848" priority="969" stopIfTrue="1">
      <formula>IF(GI$8="判定対象外",TRUE,FALSE)</formula>
    </cfRule>
  </conditionalFormatting>
  <conditionalFormatting sqref="GH54 GH57 GH69">
    <cfRule type="expression" dxfId="847" priority="968" stopIfTrue="1">
      <formula>IF(GI$8="判定対象外",TRUE,FALSE)</formula>
    </cfRule>
  </conditionalFormatting>
  <conditionalFormatting sqref="GK57">
    <cfRule type="expression" dxfId="846" priority="966" stopIfTrue="1">
      <formula>IF(GK57="-",TRUE,FALSE)</formula>
    </cfRule>
    <cfRule type="expression" dxfId="845" priority="967" stopIfTrue="1">
      <formula>IF(OR(GK57="OK"),FALSE,TRUE)</formula>
    </cfRule>
  </conditionalFormatting>
  <conditionalFormatting sqref="GJ57">
    <cfRule type="expression" dxfId="844" priority="965" stopIfTrue="1">
      <formula>IF(GI$8="判定対象外",TRUE,FALSE)</formula>
    </cfRule>
  </conditionalFormatting>
  <conditionalFormatting sqref="GI57">
    <cfRule type="expression" dxfId="843" priority="964" stopIfTrue="1">
      <formula>IF(GI$8="判定対象外",TRUE,FALSE)</formula>
    </cfRule>
  </conditionalFormatting>
  <conditionalFormatting sqref="GK68:GK71">
    <cfRule type="expression" dxfId="842" priority="962" stopIfTrue="1">
      <formula>IF(GK68="-",TRUE,FALSE)</formula>
    </cfRule>
    <cfRule type="expression" dxfId="841" priority="963" stopIfTrue="1">
      <formula>IF(OR(GK68="OK"),FALSE,TRUE)</formula>
    </cfRule>
  </conditionalFormatting>
  <conditionalFormatting sqref="GJ68:GJ71">
    <cfRule type="expression" dxfId="840" priority="961" stopIfTrue="1">
      <formula>IF(GI$8="判定対象外",TRUE,FALSE)</formula>
    </cfRule>
  </conditionalFormatting>
  <conditionalFormatting sqref="GI68:GI71">
    <cfRule type="expression" dxfId="839" priority="960" stopIfTrue="1">
      <formula>IF(GI$8="判定対象外",TRUE,FALSE)</formula>
    </cfRule>
  </conditionalFormatting>
  <conditionalFormatting sqref="GL29:GL32">
    <cfRule type="expression" dxfId="838" priority="949" stopIfTrue="1">
      <formula>IF(GM$8="判定対象外",TRUE,FALSE)</formula>
    </cfRule>
  </conditionalFormatting>
  <conditionalFormatting sqref="GO8:GO10">
    <cfRule type="expression" dxfId="837" priority="958" stopIfTrue="1">
      <formula>IF(GO8="-",TRUE,FALSE)</formula>
    </cfRule>
    <cfRule type="expression" dxfId="836" priority="959" stopIfTrue="1">
      <formula>IF(OR(GO8="OK"),FALSE,TRUE)</formula>
    </cfRule>
  </conditionalFormatting>
  <conditionalFormatting sqref="GL8:GL10">
    <cfRule type="expression" dxfId="835" priority="957" stopIfTrue="1">
      <formula>IF(GM$8="判定対象外",TRUE,FALSE)</formula>
    </cfRule>
  </conditionalFormatting>
  <conditionalFormatting sqref="GM8:GM10">
    <cfRule type="expression" dxfId="834" priority="956" stopIfTrue="1">
      <formula>IF(GM$8="判定対象外",TRUE,FALSE)</formula>
    </cfRule>
  </conditionalFormatting>
  <conditionalFormatting sqref="GN8:GN10">
    <cfRule type="expression" dxfId="833" priority="955" stopIfTrue="1">
      <formula>IF(GM$8="判定対象外",TRUE,FALSE)</formula>
    </cfRule>
  </conditionalFormatting>
  <conditionalFormatting sqref="GO11:GO56 GO71:GO81">
    <cfRule type="expression" dxfId="832" priority="952" stopIfTrue="1">
      <formula>IF(GO11="-",TRUE,FALSE)</formula>
    </cfRule>
    <cfRule type="expression" dxfId="831" priority="953" stopIfTrue="1">
      <formula>IF(OR(GO11="OK"),FALSE,TRUE)</formula>
    </cfRule>
  </conditionalFormatting>
  <conditionalFormatting sqref="GN11:GN56 GN71:GN81">
    <cfRule type="expression" dxfId="830" priority="951" stopIfTrue="1">
      <formula>IF(GM$8="判定対象外",TRUE,FALSE)</formula>
    </cfRule>
  </conditionalFormatting>
  <conditionalFormatting sqref="GL72:GL81 GL21:GL46">
    <cfRule type="expression" dxfId="829" priority="950" stopIfTrue="1">
      <formula>IF(GM$8="判定対象外",TRUE,FALSE)</formula>
    </cfRule>
  </conditionalFormatting>
  <conditionalFormatting sqref="GL42:GL44">
    <cfRule type="expression" dxfId="828" priority="948" stopIfTrue="1">
      <formula>IF(GM$8="判定対象外",TRUE,FALSE)</formula>
    </cfRule>
  </conditionalFormatting>
  <conditionalFormatting sqref="GL46">
    <cfRule type="expression" dxfId="827" priority="947" stopIfTrue="1">
      <formula>IF(GM$8="判定対象外",TRUE,FALSE)</formula>
    </cfRule>
  </conditionalFormatting>
  <conditionalFormatting sqref="GL42:GL44">
    <cfRule type="expression" dxfId="826" priority="946" stopIfTrue="1">
      <formula>IF(GM$8="判定対象外",TRUE,FALSE)</formula>
    </cfRule>
  </conditionalFormatting>
  <conditionalFormatting sqref="GL42:GL44">
    <cfRule type="expression" dxfId="825" priority="945" stopIfTrue="1">
      <formula>IF(GM$8="判定対象外",TRUE,FALSE)</formula>
    </cfRule>
  </conditionalFormatting>
  <conditionalFormatting sqref="GL42:GL44">
    <cfRule type="expression" dxfId="824" priority="944" stopIfTrue="1">
      <formula>IF(GM$8="判定対象外",TRUE,FALSE)</formula>
    </cfRule>
  </conditionalFormatting>
  <conditionalFormatting sqref="GL42:GL44">
    <cfRule type="expression" dxfId="823" priority="943" stopIfTrue="1">
      <formula>IF(GM$8="判定対象外",TRUE,FALSE)</formula>
    </cfRule>
  </conditionalFormatting>
  <conditionalFormatting sqref="GL42:GL44">
    <cfRule type="expression" dxfId="822" priority="942" stopIfTrue="1">
      <formula>IF(GM$8="判定対象外",TRUE,FALSE)</formula>
    </cfRule>
  </conditionalFormatting>
  <conditionalFormatting sqref="GL42:GL44">
    <cfRule type="expression" dxfId="821" priority="941" stopIfTrue="1">
      <formula>IF(GM$8="判定対象外",TRUE,FALSE)</formula>
    </cfRule>
  </conditionalFormatting>
  <conditionalFormatting sqref="GL42:GL44">
    <cfRule type="expression" dxfId="820" priority="940" stopIfTrue="1">
      <formula>IF(GM$8="判定対象外",TRUE,FALSE)</formula>
    </cfRule>
  </conditionalFormatting>
  <conditionalFormatting sqref="GL38">
    <cfRule type="expression" dxfId="819" priority="954" stopIfTrue="1">
      <formula>IF(#REF!="判定対象外",TRUE,FALSE)</formula>
    </cfRule>
  </conditionalFormatting>
  <conditionalFormatting sqref="GM11:GM56 GM71:GM81">
    <cfRule type="expression" dxfId="818" priority="939" stopIfTrue="1">
      <formula>IF(GM$8="判定対象外",TRUE,FALSE)</formula>
    </cfRule>
  </conditionalFormatting>
  <conditionalFormatting sqref="GL48">
    <cfRule type="expression" dxfId="817" priority="938" stopIfTrue="1">
      <formula>IF(GM$8="判定対象外",TRUE,FALSE)</formula>
    </cfRule>
  </conditionalFormatting>
  <conditionalFormatting sqref="GL51">
    <cfRule type="expression" dxfId="816" priority="937" stopIfTrue="1">
      <formula>IF(GM$8="判定対象外",TRUE,FALSE)</formula>
    </cfRule>
  </conditionalFormatting>
  <conditionalFormatting sqref="GL52 GL55 GL70">
    <cfRule type="expression" dxfId="815" priority="936" stopIfTrue="1">
      <formula>IF(GM$8="判定対象外",TRUE,FALSE)</formula>
    </cfRule>
  </conditionalFormatting>
  <conditionalFormatting sqref="GL11:GL20">
    <cfRule type="expression" dxfId="814" priority="935" stopIfTrue="1">
      <formula>IF(GM$8="判定対象外",TRUE,FALSE)</formula>
    </cfRule>
  </conditionalFormatting>
  <conditionalFormatting sqref="GL16:GL18">
    <cfRule type="expression" dxfId="813" priority="934" stopIfTrue="1">
      <formula>IF(GM$8="判定対象外",TRUE,FALSE)</formula>
    </cfRule>
  </conditionalFormatting>
  <conditionalFormatting sqref="GL20">
    <cfRule type="expression" dxfId="812" priority="933" stopIfTrue="1">
      <formula>IF(GM$8="判定対象外",TRUE,FALSE)</formula>
    </cfRule>
  </conditionalFormatting>
  <conditionalFormatting sqref="GL16:GL20">
    <cfRule type="expression" dxfId="811" priority="932" stopIfTrue="1">
      <formula>IF(GM$8="判定対象外",TRUE,FALSE)</formula>
    </cfRule>
  </conditionalFormatting>
  <conditionalFormatting sqref="GL11:GL20">
    <cfRule type="expression" dxfId="810" priority="931" stopIfTrue="1">
      <formula>IF(GM$8="判定対象外",TRUE,FALSE)</formula>
    </cfRule>
  </conditionalFormatting>
  <conditionalFormatting sqref="GL20">
    <cfRule type="expression" dxfId="809" priority="929" stopIfTrue="1">
      <formula>IF(GM$8="判定対象外",TRUE,FALSE)</formula>
    </cfRule>
  </conditionalFormatting>
  <conditionalFormatting sqref="GL16:GL20">
    <cfRule type="expression" dxfId="808" priority="928" stopIfTrue="1">
      <formula>IF(GM$8="判定対象外",TRUE,FALSE)</formula>
    </cfRule>
  </conditionalFormatting>
  <conditionalFormatting sqref="GL11:GL20">
    <cfRule type="expression" dxfId="807" priority="927" stopIfTrue="1">
      <formula>IF(GM$8="判定対象外",TRUE,FALSE)</formula>
    </cfRule>
  </conditionalFormatting>
  <conditionalFormatting sqref="GL16:GL18">
    <cfRule type="expression" dxfId="806" priority="926" stopIfTrue="1">
      <formula>IF(GM$8="判定対象外",TRUE,FALSE)</formula>
    </cfRule>
  </conditionalFormatting>
  <conditionalFormatting sqref="GL20">
    <cfRule type="expression" dxfId="805" priority="925" stopIfTrue="1">
      <formula>IF(GM$8="判定対象外",TRUE,FALSE)</formula>
    </cfRule>
  </conditionalFormatting>
  <conditionalFormatting sqref="GL16:GL20">
    <cfRule type="expression" dxfId="804" priority="924" stopIfTrue="1">
      <formula>IF(GM$8="判定対象外",TRUE,FALSE)</formula>
    </cfRule>
  </conditionalFormatting>
  <conditionalFormatting sqref="GL11:GL13">
    <cfRule type="expression" dxfId="803" priority="923" stopIfTrue="1">
      <formula>IF(GM$8="判定対象外",TRUE,FALSE)</formula>
    </cfRule>
  </conditionalFormatting>
  <conditionalFormatting sqref="GL15">
    <cfRule type="expression" dxfId="802" priority="922" stopIfTrue="1">
      <formula>IF(GM$8="判定対象外",TRUE,FALSE)</formula>
    </cfRule>
  </conditionalFormatting>
  <conditionalFormatting sqref="GL19">
    <cfRule type="expression" dxfId="801" priority="921" stopIfTrue="1">
      <formula>IF(GM$8="判定対象外",TRUE,FALSE)</formula>
    </cfRule>
  </conditionalFormatting>
  <conditionalFormatting sqref="GL20">
    <cfRule type="expression" dxfId="800" priority="919" stopIfTrue="1">
      <formula>IF(GM$8="判定対象外",TRUE,FALSE)</formula>
    </cfRule>
  </conditionalFormatting>
  <conditionalFormatting sqref="GL20">
    <cfRule type="expression" dxfId="799" priority="918" stopIfTrue="1">
      <formula>IF(GM$8="判定対象外",TRUE,FALSE)</formula>
    </cfRule>
  </conditionalFormatting>
  <conditionalFormatting sqref="GL20">
    <cfRule type="expression" dxfId="798" priority="917" stopIfTrue="1">
      <formula>IF(GM$8="判定対象外",TRUE,FALSE)</formula>
    </cfRule>
  </conditionalFormatting>
  <conditionalFormatting sqref="GL13">
    <cfRule type="expression" dxfId="797" priority="916" stopIfTrue="1">
      <formula>IF(GM$8="判定対象外",TRUE,FALSE)</formula>
    </cfRule>
  </conditionalFormatting>
  <conditionalFormatting sqref="GL47">
    <cfRule type="expression" dxfId="796" priority="915" stopIfTrue="1">
      <formula>IF(GM$8="判定対象外",TRUE,FALSE)</formula>
    </cfRule>
  </conditionalFormatting>
  <conditionalFormatting sqref="GL47">
    <cfRule type="expression" dxfId="795" priority="914" stopIfTrue="1">
      <formula>IF(GM$8="判定対象外",TRUE,FALSE)</formula>
    </cfRule>
  </conditionalFormatting>
  <conditionalFormatting sqref="GL49">
    <cfRule type="expression" dxfId="794" priority="913" stopIfTrue="1">
      <formula>IF(GM$8="判定対象外",TRUE,FALSE)</formula>
    </cfRule>
  </conditionalFormatting>
  <conditionalFormatting sqref="GL49">
    <cfRule type="expression" dxfId="793" priority="912" stopIfTrue="1">
      <formula>IF(GM$8="判定対象外",TRUE,FALSE)</formula>
    </cfRule>
  </conditionalFormatting>
  <conditionalFormatting sqref="GL50">
    <cfRule type="expression" dxfId="792" priority="911" stopIfTrue="1">
      <formula>IF(GM$8="判定対象外",TRUE,FALSE)</formula>
    </cfRule>
  </conditionalFormatting>
  <conditionalFormatting sqref="GL50">
    <cfRule type="expression" dxfId="791" priority="910" stopIfTrue="1">
      <formula>IF(GM$8="判定対象外",TRUE,FALSE)</formula>
    </cfRule>
  </conditionalFormatting>
  <conditionalFormatting sqref="GL54 GL57 GL69">
    <cfRule type="expression" dxfId="790" priority="908" stopIfTrue="1">
      <formula>IF(GM$8="判定対象外",TRUE,FALSE)</formula>
    </cfRule>
  </conditionalFormatting>
  <conditionalFormatting sqref="GO57">
    <cfRule type="expression" dxfId="789" priority="906" stopIfTrue="1">
      <formula>IF(GO57="-",TRUE,FALSE)</formula>
    </cfRule>
    <cfRule type="expression" dxfId="788" priority="907" stopIfTrue="1">
      <formula>IF(OR(GO57="OK"),FALSE,TRUE)</formula>
    </cfRule>
  </conditionalFormatting>
  <conditionalFormatting sqref="GN57">
    <cfRule type="expression" dxfId="787" priority="905" stopIfTrue="1">
      <formula>IF(GM$8="判定対象外",TRUE,FALSE)</formula>
    </cfRule>
  </conditionalFormatting>
  <conditionalFormatting sqref="GM57">
    <cfRule type="expression" dxfId="786" priority="904" stopIfTrue="1">
      <formula>IF(GM$8="判定対象外",TRUE,FALSE)</formula>
    </cfRule>
  </conditionalFormatting>
  <conditionalFormatting sqref="GO58:GO64">
    <cfRule type="expression" dxfId="785" priority="902" stopIfTrue="1">
      <formula>IF(GO58="-",TRUE,FALSE)</formula>
    </cfRule>
    <cfRule type="expression" dxfId="784" priority="903" stopIfTrue="1">
      <formula>IF(OR(GO58="OK"),FALSE,TRUE)</formula>
    </cfRule>
  </conditionalFormatting>
  <conditionalFormatting sqref="GN58:GN64">
    <cfRule type="expression" dxfId="783" priority="901" stopIfTrue="1">
      <formula>IF(GM$8="判定対象外",TRUE,FALSE)</formula>
    </cfRule>
  </conditionalFormatting>
  <conditionalFormatting sqref="GM58:GM64">
    <cfRule type="expression" dxfId="782" priority="900" stopIfTrue="1">
      <formula>IF(GM$8="判定対象外",TRUE,FALSE)</formula>
    </cfRule>
  </conditionalFormatting>
  <conditionalFormatting sqref="GO65:GO70">
    <cfRule type="expression" dxfId="781" priority="898" stopIfTrue="1">
      <formula>IF(GO65="-",TRUE,FALSE)</formula>
    </cfRule>
    <cfRule type="expression" dxfId="780" priority="899" stopIfTrue="1">
      <formula>IF(OR(GO65="OK"),FALSE,TRUE)</formula>
    </cfRule>
  </conditionalFormatting>
  <conditionalFormatting sqref="GN65:GN70">
    <cfRule type="expression" dxfId="779" priority="897" stopIfTrue="1">
      <formula>IF(GM$8="判定対象外",TRUE,FALSE)</formula>
    </cfRule>
  </conditionalFormatting>
  <conditionalFormatting sqref="GM65:GM70">
    <cfRule type="expression" dxfId="778" priority="896" stopIfTrue="1">
      <formula>IF(GM$8="判定対象外",TRUE,FALSE)</formula>
    </cfRule>
  </conditionalFormatting>
  <conditionalFormatting sqref="GL58">
    <cfRule type="expression" dxfId="777" priority="885" stopIfTrue="1">
      <formula>IF(GM$8="判定対象外",TRUE,FALSE)</formula>
    </cfRule>
  </conditionalFormatting>
  <conditionalFormatting sqref="GD58">
    <cfRule type="expression" dxfId="776" priority="895" stopIfTrue="1">
      <formula>IF(GE$8="判定対象外",TRUE,FALSE)</formula>
    </cfRule>
  </conditionalFormatting>
  <conditionalFormatting sqref="GG58">
    <cfRule type="expression" dxfId="775" priority="893" stopIfTrue="1">
      <formula>IF(GG58="-",TRUE,FALSE)</formula>
    </cfRule>
    <cfRule type="expression" dxfId="774" priority="894" stopIfTrue="1">
      <formula>IF(OR(GG58="OK"),FALSE,TRUE)</formula>
    </cfRule>
  </conditionalFormatting>
  <conditionalFormatting sqref="GF58">
    <cfRule type="expression" dxfId="773" priority="892" stopIfTrue="1">
      <formula>IF(GE$8="判定対象外",TRUE,FALSE)</formula>
    </cfRule>
  </conditionalFormatting>
  <conditionalFormatting sqref="GE58">
    <cfRule type="expression" dxfId="772" priority="891" stopIfTrue="1">
      <formula>IF(GE$8="判定対象外",TRUE,FALSE)</formula>
    </cfRule>
  </conditionalFormatting>
  <conditionalFormatting sqref="GH58">
    <cfRule type="expression" dxfId="771" priority="890" stopIfTrue="1">
      <formula>IF(GI$8="判定対象外",TRUE,FALSE)</formula>
    </cfRule>
  </conditionalFormatting>
  <conditionalFormatting sqref="GK58">
    <cfRule type="expression" dxfId="770" priority="888" stopIfTrue="1">
      <formula>IF(GK58="-",TRUE,FALSE)</formula>
    </cfRule>
    <cfRule type="expression" dxfId="769" priority="889" stopIfTrue="1">
      <formula>IF(OR(GK58="OK"),FALSE,TRUE)</formula>
    </cfRule>
  </conditionalFormatting>
  <conditionalFormatting sqref="GJ58">
    <cfRule type="expression" dxfId="768" priority="887" stopIfTrue="1">
      <formula>IF(GI$8="判定対象外",TRUE,FALSE)</formula>
    </cfRule>
  </conditionalFormatting>
  <conditionalFormatting sqref="GI58">
    <cfRule type="expression" dxfId="767" priority="886" stopIfTrue="1">
      <formula>IF(GI$8="判定対象外",TRUE,FALSE)</formula>
    </cfRule>
  </conditionalFormatting>
  <conditionalFormatting sqref="GH59">
    <cfRule type="expression" dxfId="766" priority="879" stopIfTrue="1">
      <formula>IF(GI$8="判定対象外",TRUE,FALSE)</formula>
    </cfRule>
  </conditionalFormatting>
  <conditionalFormatting sqref="GK59">
    <cfRule type="expression" dxfId="765" priority="877" stopIfTrue="1">
      <formula>IF(GK59="-",TRUE,FALSE)</formula>
    </cfRule>
    <cfRule type="expression" dxfId="764" priority="878" stopIfTrue="1">
      <formula>IF(OR(GK59="OK"),FALSE,TRUE)</formula>
    </cfRule>
  </conditionalFormatting>
  <conditionalFormatting sqref="GJ59">
    <cfRule type="expression" dxfId="763" priority="876" stopIfTrue="1">
      <formula>IF(GI$8="判定対象外",TRUE,FALSE)</formula>
    </cfRule>
  </conditionalFormatting>
  <conditionalFormatting sqref="GI59">
    <cfRule type="expression" dxfId="762" priority="875" stopIfTrue="1">
      <formula>IF(GI$8="判定対象外",TRUE,FALSE)</formula>
    </cfRule>
  </conditionalFormatting>
  <conditionalFormatting sqref="GH60">
    <cfRule type="expression" dxfId="761" priority="868" stopIfTrue="1">
      <formula>IF(GI$8="判定対象外",TRUE,FALSE)</formula>
    </cfRule>
  </conditionalFormatting>
  <conditionalFormatting sqref="GK60">
    <cfRule type="expression" dxfId="760" priority="866" stopIfTrue="1">
      <formula>IF(GK60="-",TRUE,FALSE)</formula>
    </cfRule>
    <cfRule type="expression" dxfId="759" priority="867" stopIfTrue="1">
      <formula>IF(OR(GK60="OK"),FALSE,TRUE)</formula>
    </cfRule>
  </conditionalFormatting>
  <conditionalFormatting sqref="GJ60">
    <cfRule type="expression" dxfId="758" priority="865" stopIfTrue="1">
      <formula>IF(GI$8="判定対象外",TRUE,FALSE)</formula>
    </cfRule>
  </conditionalFormatting>
  <conditionalFormatting sqref="GI60">
    <cfRule type="expression" dxfId="757" priority="864" stopIfTrue="1">
      <formula>IF(GI$8="判定対象外",TRUE,FALSE)</formula>
    </cfRule>
  </conditionalFormatting>
  <conditionalFormatting sqref="GH61">
    <cfRule type="expression" dxfId="756" priority="857" stopIfTrue="1">
      <formula>IF(GI$8="判定対象外",TRUE,FALSE)</formula>
    </cfRule>
  </conditionalFormatting>
  <conditionalFormatting sqref="GK61">
    <cfRule type="expression" dxfId="755" priority="855" stopIfTrue="1">
      <formula>IF(GK61="-",TRUE,FALSE)</formula>
    </cfRule>
    <cfRule type="expression" dxfId="754" priority="856" stopIfTrue="1">
      <formula>IF(OR(GK61="OK"),FALSE,TRUE)</formula>
    </cfRule>
  </conditionalFormatting>
  <conditionalFormatting sqref="GJ61">
    <cfRule type="expression" dxfId="753" priority="854" stopIfTrue="1">
      <formula>IF(GI$8="判定対象外",TRUE,FALSE)</formula>
    </cfRule>
  </conditionalFormatting>
  <conditionalFormatting sqref="GI61">
    <cfRule type="expression" dxfId="752" priority="853" stopIfTrue="1">
      <formula>IF(GI$8="判定対象外",TRUE,FALSE)</formula>
    </cfRule>
  </conditionalFormatting>
  <conditionalFormatting sqref="GH62">
    <cfRule type="expression" dxfId="751" priority="846" stopIfTrue="1">
      <formula>IF(GI$8="判定対象外",TRUE,FALSE)</formula>
    </cfRule>
  </conditionalFormatting>
  <conditionalFormatting sqref="GK62">
    <cfRule type="expression" dxfId="750" priority="844" stopIfTrue="1">
      <formula>IF(GK62="-",TRUE,FALSE)</formula>
    </cfRule>
    <cfRule type="expression" dxfId="749" priority="845" stopIfTrue="1">
      <formula>IF(OR(GK62="OK"),FALSE,TRUE)</formula>
    </cfRule>
  </conditionalFormatting>
  <conditionalFormatting sqref="GJ62">
    <cfRule type="expression" dxfId="748" priority="843" stopIfTrue="1">
      <formula>IF(GI$8="判定対象外",TRUE,FALSE)</formula>
    </cfRule>
  </conditionalFormatting>
  <conditionalFormatting sqref="GI62">
    <cfRule type="expression" dxfId="747" priority="842" stopIfTrue="1">
      <formula>IF(GI$8="判定対象外",TRUE,FALSE)</formula>
    </cfRule>
  </conditionalFormatting>
  <conditionalFormatting sqref="GH63">
    <cfRule type="expression" dxfId="746" priority="835" stopIfTrue="1">
      <formula>IF(GI$8="判定対象外",TRUE,FALSE)</formula>
    </cfRule>
  </conditionalFormatting>
  <conditionalFormatting sqref="GK63">
    <cfRule type="expression" dxfId="745" priority="833" stopIfTrue="1">
      <formula>IF(GK63="-",TRUE,FALSE)</formula>
    </cfRule>
    <cfRule type="expression" dxfId="744" priority="834" stopIfTrue="1">
      <formula>IF(OR(GK63="OK"),FALSE,TRUE)</formula>
    </cfRule>
  </conditionalFormatting>
  <conditionalFormatting sqref="GJ63">
    <cfRule type="expression" dxfId="743" priority="832" stopIfTrue="1">
      <formula>IF(GI$8="判定対象外",TRUE,FALSE)</formula>
    </cfRule>
  </conditionalFormatting>
  <conditionalFormatting sqref="GI63">
    <cfRule type="expression" dxfId="742" priority="831" stopIfTrue="1">
      <formula>IF(GI$8="判定対象外",TRUE,FALSE)</formula>
    </cfRule>
  </conditionalFormatting>
  <conditionalFormatting sqref="GH64">
    <cfRule type="expression" dxfId="741" priority="824" stopIfTrue="1">
      <formula>IF(GI$8="判定対象外",TRUE,FALSE)</formula>
    </cfRule>
  </conditionalFormatting>
  <conditionalFormatting sqref="GK64">
    <cfRule type="expression" dxfId="740" priority="822" stopIfTrue="1">
      <formula>IF(GK64="-",TRUE,FALSE)</formula>
    </cfRule>
    <cfRule type="expression" dxfId="739" priority="823" stopIfTrue="1">
      <formula>IF(OR(GK64="OK"),FALSE,TRUE)</formula>
    </cfRule>
  </conditionalFormatting>
  <conditionalFormatting sqref="GJ64">
    <cfRule type="expression" dxfId="738" priority="821" stopIfTrue="1">
      <formula>IF(GI$8="判定対象外",TRUE,FALSE)</formula>
    </cfRule>
  </conditionalFormatting>
  <conditionalFormatting sqref="GI64">
    <cfRule type="expression" dxfId="737" priority="820" stopIfTrue="1">
      <formula>IF(GI$8="判定対象外",TRUE,FALSE)</formula>
    </cfRule>
  </conditionalFormatting>
  <conditionalFormatting sqref="GH65">
    <cfRule type="expression" dxfId="736" priority="813" stopIfTrue="1">
      <formula>IF(GI$8="判定対象外",TRUE,FALSE)</formula>
    </cfRule>
  </conditionalFormatting>
  <conditionalFormatting sqref="GG67">
    <cfRule type="expression" dxfId="735" priority="805" stopIfTrue="1">
      <formula>IF(GG67="-",TRUE,FALSE)</formula>
    </cfRule>
    <cfRule type="expression" dxfId="734" priority="806" stopIfTrue="1">
      <formula>IF(OR(GG67="OK"),FALSE,TRUE)</formula>
    </cfRule>
  </conditionalFormatting>
  <conditionalFormatting sqref="GF67">
    <cfRule type="expression" dxfId="733" priority="804" stopIfTrue="1">
      <formula>IF(GE$8="判定対象外",TRUE,FALSE)</formula>
    </cfRule>
  </conditionalFormatting>
  <conditionalFormatting sqref="GE67">
    <cfRule type="expression" dxfId="732" priority="803" stopIfTrue="1">
      <formula>IF(GE$8="判定対象外",TRUE,FALSE)</formula>
    </cfRule>
  </conditionalFormatting>
  <conditionalFormatting sqref="GK67">
    <cfRule type="expression" dxfId="731" priority="801" stopIfTrue="1">
      <formula>IF(GK67="-",TRUE,FALSE)</formula>
    </cfRule>
    <cfRule type="expression" dxfId="730" priority="802" stopIfTrue="1">
      <formula>IF(OR(GK67="OK"),FALSE,TRUE)</formula>
    </cfRule>
  </conditionalFormatting>
  <conditionalFormatting sqref="GJ67">
    <cfRule type="expression" dxfId="729" priority="800" stopIfTrue="1">
      <formula>IF(GI$8="判定対象外",TRUE,FALSE)</formula>
    </cfRule>
  </conditionalFormatting>
  <conditionalFormatting sqref="GI67">
    <cfRule type="expression" dxfId="728" priority="799" stopIfTrue="1">
      <formula>IF(GI$8="判定対象外",TRUE,FALSE)</formula>
    </cfRule>
  </conditionalFormatting>
  <conditionalFormatting sqref="GH67">
    <cfRule type="expression" dxfId="727" priority="798" stopIfTrue="1">
      <formula>IF(GI$8="判定対象外",TRUE,FALSE)</formula>
    </cfRule>
  </conditionalFormatting>
  <conditionalFormatting sqref="GH66">
    <cfRule type="expression" dxfId="726" priority="791" stopIfTrue="1">
      <formula>IF(GI$8="判定対象外",TRUE,FALSE)</formula>
    </cfRule>
  </conditionalFormatting>
  <conditionalFormatting sqref="GK66">
    <cfRule type="expression" dxfId="725" priority="789" stopIfTrue="1">
      <formula>IF(GK66="-",TRUE,FALSE)</formula>
    </cfRule>
    <cfRule type="expression" dxfId="724" priority="790" stopIfTrue="1">
      <formula>IF(OR(GK66="OK"),FALSE,TRUE)</formula>
    </cfRule>
  </conditionalFormatting>
  <conditionalFormatting sqref="GJ66">
    <cfRule type="expression" dxfId="723" priority="788" stopIfTrue="1">
      <formula>IF(GI$8="判定対象外",TRUE,FALSE)</formula>
    </cfRule>
  </conditionalFormatting>
  <conditionalFormatting sqref="GI66">
    <cfRule type="expression" dxfId="722" priority="787" stopIfTrue="1">
      <formula>IF(GI$8="判定対象外",TRUE,FALSE)</formula>
    </cfRule>
  </conditionalFormatting>
  <conditionalFormatting sqref="GD68">
    <cfRule type="expression" dxfId="721" priority="785" stopIfTrue="1">
      <formula>IF(GE$8="判定対象外",TRUE,FALSE)</formula>
    </cfRule>
  </conditionalFormatting>
  <conditionalFormatting sqref="GG68">
    <cfRule type="expression" dxfId="720" priority="783" stopIfTrue="1">
      <formula>IF(GG68="-",TRUE,FALSE)</formula>
    </cfRule>
    <cfRule type="expression" dxfId="719" priority="784" stopIfTrue="1">
      <formula>IF(OR(GG68="OK"),FALSE,TRUE)</formula>
    </cfRule>
  </conditionalFormatting>
  <conditionalFormatting sqref="GF68">
    <cfRule type="expression" dxfId="718" priority="782" stopIfTrue="1">
      <formula>IF(GE$8="判定対象外",TRUE,FALSE)</formula>
    </cfRule>
  </conditionalFormatting>
  <conditionalFormatting sqref="GE68">
    <cfRule type="expression" dxfId="717" priority="781" stopIfTrue="1">
      <formula>IF(GE$8="判定対象外",TRUE,FALSE)</formula>
    </cfRule>
  </conditionalFormatting>
  <conditionalFormatting sqref="GK68">
    <cfRule type="expression" dxfId="716" priority="779" stopIfTrue="1">
      <formula>IF(GK68="-",TRUE,FALSE)</formula>
    </cfRule>
    <cfRule type="expression" dxfId="715" priority="780" stopIfTrue="1">
      <formula>IF(OR(GK68="OK"),FALSE,TRUE)</formula>
    </cfRule>
  </conditionalFormatting>
  <conditionalFormatting sqref="GJ68">
    <cfRule type="expression" dxfId="714" priority="778" stopIfTrue="1">
      <formula>IF(GI$8="判定対象外",TRUE,FALSE)</formula>
    </cfRule>
  </conditionalFormatting>
  <conditionalFormatting sqref="GI68">
    <cfRule type="expression" dxfId="713" priority="777" stopIfTrue="1">
      <formula>IF(GI$8="判定対象外",TRUE,FALSE)</formula>
    </cfRule>
  </conditionalFormatting>
  <conditionalFormatting sqref="GH68">
    <cfRule type="expression" dxfId="712" priority="776" stopIfTrue="1">
      <formula>IF(GI$8="判定対象外",TRUE,FALSE)</formula>
    </cfRule>
  </conditionalFormatting>
  <conditionalFormatting sqref="GD67">
    <cfRule type="expression" dxfId="711" priority="774" stopIfTrue="1">
      <formula>IF(GE$8="判定対象外",TRUE,FALSE)</formula>
    </cfRule>
  </conditionalFormatting>
  <conditionalFormatting sqref="GG67">
    <cfRule type="expression" dxfId="710" priority="772" stopIfTrue="1">
      <formula>IF(GG67="-",TRUE,FALSE)</formula>
    </cfRule>
    <cfRule type="expression" dxfId="709" priority="773" stopIfTrue="1">
      <formula>IF(OR(GG67="OK"),FALSE,TRUE)</formula>
    </cfRule>
  </conditionalFormatting>
  <conditionalFormatting sqref="GF67">
    <cfRule type="expression" dxfId="708" priority="771" stopIfTrue="1">
      <formula>IF(GE$8="判定対象外",TRUE,FALSE)</formula>
    </cfRule>
  </conditionalFormatting>
  <conditionalFormatting sqref="GE67">
    <cfRule type="expression" dxfId="707" priority="770" stopIfTrue="1">
      <formula>IF(GE$8="判定対象外",TRUE,FALSE)</formula>
    </cfRule>
  </conditionalFormatting>
  <conditionalFormatting sqref="GH67">
    <cfRule type="expression" dxfId="706" priority="769" stopIfTrue="1">
      <formula>IF(GI$8="判定対象外",TRUE,FALSE)</formula>
    </cfRule>
  </conditionalFormatting>
  <conditionalFormatting sqref="GK67">
    <cfRule type="expression" dxfId="705" priority="767" stopIfTrue="1">
      <formula>IF(GK67="-",TRUE,FALSE)</formula>
    </cfRule>
    <cfRule type="expression" dxfId="704" priority="768" stopIfTrue="1">
      <formula>IF(OR(GK67="OK"),FALSE,TRUE)</formula>
    </cfRule>
  </conditionalFormatting>
  <conditionalFormatting sqref="GJ67">
    <cfRule type="expression" dxfId="703" priority="766" stopIfTrue="1">
      <formula>IF(GI$8="判定対象外",TRUE,FALSE)</formula>
    </cfRule>
  </conditionalFormatting>
  <conditionalFormatting sqref="GI67">
    <cfRule type="expression" dxfId="702" priority="765" stopIfTrue="1">
      <formula>IF(GI$8="判定対象外",TRUE,FALSE)</formula>
    </cfRule>
  </conditionalFormatting>
  <conditionalFormatting sqref="GL67">
    <cfRule type="expression" dxfId="701" priority="764" stopIfTrue="1">
      <formula>IF(GM$8="判定対象外",TRUE,FALSE)</formula>
    </cfRule>
  </conditionalFormatting>
  <conditionalFormatting sqref="GL69">
    <cfRule type="expression" dxfId="700" priority="761" stopIfTrue="1">
      <formula>IF(GM$8="判定対象外",TRUE,FALSE)</formula>
    </cfRule>
  </conditionalFormatting>
  <conditionalFormatting sqref="GD69">
    <cfRule type="expression" dxfId="699" priority="763" stopIfTrue="1">
      <formula>IF(GE$8="判定対象外",TRUE,FALSE)</formula>
    </cfRule>
  </conditionalFormatting>
  <conditionalFormatting sqref="GH69">
    <cfRule type="expression" dxfId="698" priority="762" stopIfTrue="1">
      <formula>IF(GI$8="判定対象外",TRUE,FALSE)</formula>
    </cfRule>
  </conditionalFormatting>
  <conditionalFormatting sqref="GD69">
    <cfRule type="expression" dxfId="697" priority="749" stopIfTrue="1">
      <formula>IF(GE$8="判定対象外",TRUE,FALSE)</formula>
    </cfRule>
  </conditionalFormatting>
  <conditionalFormatting sqref="GG69">
    <cfRule type="expression" dxfId="696" priority="747" stopIfTrue="1">
      <formula>IF(GG69="-",TRUE,FALSE)</formula>
    </cfRule>
    <cfRule type="expression" dxfId="695" priority="748" stopIfTrue="1">
      <formula>IF(OR(GG69="OK"),FALSE,TRUE)</formula>
    </cfRule>
  </conditionalFormatting>
  <conditionalFormatting sqref="GF69">
    <cfRule type="expression" dxfId="694" priority="746" stopIfTrue="1">
      <formula>IF(GE$8="判定対象外",TRUE,FALSE)</formula>
    </cfRule>
  </conditionalFormatting>
  <conditionalFormatting sqref="GE69">
    <cfRule type="expression" dxfId="693" priority="745" stopIfTrue="1">
      <formula>IF(GE$8="判定対象外",TRUE,FALSE)</formula>
    </cfRule>
  </conditionalFormatting>
  <conditionalFormatting sqref="GK69">
    <cfRule type="expression" dxfId="692" priority="743" stopIfTrue="1">
      <formula>IF(GK69="-",TRUE,FALSE)</formula>
    </cfRule>
    <cfRule type="expression" dxfId="691" priority="744" stopIfTrue="1">
      <formula>IF(OR(GK69="OK"),FALSE,TRUE)</formula>
    </cfRule>
  </conditionalFormatting>
  <conditionalFormatting sqref="GJ69">
    <cfRule type="expression" dxfId="690" priority="742" stopIfTrue="1">
      <formula>IF(GI$8="判定対象外",TRUE,FALSE)</formula>
    </cfRule>
  </conditionalFormatting>
  <conditionalFormatting sqref="GI69">
    <cfRule type="expression" dxfId="689" priority="741" stopIfTrue="1">
      <formula>IF(GI$8="判定対象外",TRUE,FALSE)</formula>
    </cfRule>
  </conditionalFormatting>
  <conditionalFormatting sqref="GH69">
    <cfRule type="expression" dxfId="688" priority="740" stopIfTrue="1">
      <formula>IF(GI$8="判定対象外",TRUE,FALSE)</formula>
    </cfRule>
  </conditionalFormatting>
  <conditionalFormatting sqref="GD68">
    <cfRule type="expression" dxfId="687" priority="738" stopIfTrue="1">
      <formula>IF(GE$8="判定対象外",TRUE,FALSE)</formula>
    </cfRule>
  </conditionalFormatting>
  <conditionalFormatting sqref="GG68">
    <cfRule type="expression" dxfId="686" priority="736" stopIfTrue="1">
      <formula>IF(GG68="-",TRUE,FALSE)</formula>
    </cfRule>
    <cfRule type="expression" dxfId="685" priority="737" stopIfTrue="1">
      <formula>IF(OR(GG68="OK"),FALSE,TRUE)</formula>
    </cfRule>
  </conditionalFormatting>
  <conditionalFormatting sqref="GF68">
    <cfRule type="expression" dxfId="684" priority="735" stopIfTrue="1">
      <formula>IF(GE$8="判定対象外",TRUE,FALSE)</formula>
    </cfRule>
  </conditionalFormatting>
  <conditionalFormatting sqref="GE68">
    <cfRule type="expression" dxfId="683" priority="734" stopIfTrue="1">
      <formula>IF(GE$8="判定対象外",TRUE,FALSE)</formula>
    </cfRule>
  </conditionalFormatting>
  <conditionalFormatting sqref="GH68">
    <cfRule type="expression" dxfId="682" priority="733" stopIfTrue="1">
      <formula>IF(GI$8="判定対象外",TRUE,FALSE)</formula>
    </cfRule>
  </conditionalFormatting>
  <conditionalFormatting sqref="GK68">
    <cfRule type="expression" dxfId="681" priority="731" stopIfTrue="1">
      <formula>IF(GK68="-",TRUE,FALSE)</formula>
    </cfRule>
    <cfRule type="expression" dxfId="680" priority="732" stopIfTrue="1">
      <formula>IF(OR(GK68="OK"),FALSE,TRUE)</formula>
    </cfRule>
  </conditionalFormatting>
  <conditionalFormatting sqref="GJ68">
    <cfRule type="expression" dxfId="679" priority="730" stopIfTrue="1">
      <formula>IF(GI$8="判定対象外",TRUE,FALSE)</formula>
    </cfRule>
  </conditionalFormatting>
  <conditionalFormatting sqref="GI68">
    <cfRule type="expression" dxfId="678" priority="729" stopIfTrue="1">
      <formula>IF(GI$8="判定対象外",TRUE,FALSE)</formula>
    </cfRule>
  </conditionalFormatting>
  <conditionalFormatting sqref="GL68">
    <cfRule type="expression" dxfId="677" priority="728" stopIfTrue="1">
      <formula>IF(GM$8="判定対象外",TRUE,FALSE)</formula>
    </cfRule>
  </conditionalFormatting>
  <conditionalFormatting sqref="GL69">
    <cfRule type="expression" dxfId="676" priority="711" stopIfTrue="1">
      <formula>IF(GM$8="判定対象外",TRUE,FALSE)</formula>
    </cfRule>
  </conditionalFormatting>
  <conditionalFormatting sqref="GL69">
    <cfRule type="expression" dxfId="675" priority="723" stopIfTrue="1">
      <formula>IF(GM$8="判定対象外",TRUE,FALSE)</formula>
    </cfRule>
  </conditionalFormatting>
  <conditionalFormatting sqref="GD69">
    <cfRule type="expression" dxfId="674" priority="727" stopIfTrue="1">
      <formula>IF(GE$8="判定対象外",TRUE,FALSE)</formula>
    </cfRule>
  </conditionalFormatting>
  <conditionalFormatting sqref="GD70">
    <cfRule type="expression" dxfId="673" priority="726" stopIfTrue="1">
      <formula>IF(GE$8="判定対象外",TRUE,FALSE)</formula>
    </cfRule>
  </conditionalFormatting>
  <conditionalFormatting sqref="GH69">
    <cfRule type="expression" dxfId="672" priority="725" stopIfTrue="1">
      <formula>IF(GI$8="判定対象外",TRUE,FALSE)</formula>
    </cfRule>
  </conditionalFormatting>
  <conditionalFormatting sqref="GH70">
    <cfRule type="expression" dxfId="671" priority="724" stopIfTrue="1">
      <formula>IF(GI$8="判定対象外",TRUE,FALSE)</formula>
    </cfRule>
  </conditionalFormatting>
  <conditionalFormatting sqref="GL70">
    <cfRule type="expression" dxfId="670" priority="722" stopIfTrue="1">
      <formula>IF(GM$8="判定対象外",TRUE,FALSE)</formula>
    </cfRule>
  </conditionalFormatting>
  <conditionalFormatting sqref="GD69">
    <cfRule type="expression" dxfId="669" priority="721" stopIfTrue="1">
      <formula>IF(GE$8="判定対象外",TRUE,FALSE)</formula>
    </cfRule>
  </conditionalFormatting>
  <conditionalFormatting sqref="GG69">
    <cfRule type="expression" dxfId="668" priority="719" stopIfTrue="1">
      <formula>IF(GG69="-",TRUE,FALSE)</formula>
    </cfRule>
    <cfRule type="expression" dxfId="667" priority="720" stopIfTrue="1">
      <formula>IF(OR(GG69="OK"),FALSE,TRUE)</formula>
    </cfRule>
  </conditionalFormatting>
  <conditionalFormatting sqref="GF69">
    <cfRule type="expression" dxfId="666" priority="718" stopIfTrue="1">
      <formula>IF(GE$8="判定対象外",TRUE,FALSE)</formula>
    </cfRule>
  </conditionalFormatting>
  <conditionalFormatting sqref="GE69">
    <cfRule type="expression" dxfId="665" priority="717" stopIfTrue="1">
      <formula>IF(GE$8="判定対象外",TRUE,FALSE)</formula>
    </cfRule>
  </conditionalFormatting>
  <conditionalFormatting sqref="GK69">
    <cfRule type="expression" dxfId="664" priority="715" stopIfTrue="1">
      <formula>IF(GK69="-",TRUE,FALSE)</formula>
    </cfRule>
    <cfRule type="expression" dxfId="663" priority="716" stopIfTrue="1">
      <formula>IF(OR(GK69="OK"),FALSE,TRUE)</formula>
    </cfRule>
  </conditionalFormatting>
  <conditionalFormatting sqref="GJ69">
    <cfRule type="expression" dxfId="662" priority="714" stopIfTrue="1">
      <formula>IF(GI$8="判定対象外",TRUE,FALSE)</formula>
    </cfRule>
  </conditionalFormatting>
  <conditionalFormatting sqref="GI69">
    <cfRule type="expression" dxfId="661" priority="713" stopIfTrue="1">
      <formula>IF(GI$8="判定対象外",TRUE,FALSE)</formula>
    </cfRule>
  </conditionalFormatting>
  <conditionalFormatting sqref="GH69">
    <cfRule type="expression" dxfId="660" priority="712" stopIfTrue="1">
      <formula>IF(GI$8="判定対象外",TRUE,FALSE)</formula>
    </cfRule>
  </conditionalFormatting>
  <conditionalFormatting sqref="GL70">
    <cfRule type="expression" dxfId="659" priority="708" stopIfTrue="1">
      <formula>IF(GM$8="判定対象外",TRUE,FALSE)</formula>
    </cfRule>
  </conditionalFormatting>
  <conditionalFormatting sqref="GD70">
    <cfRule type="expression" dxfId="658" priority="710" stopIfTrue="1">
      <formula>IF(GE$8="判定対象外",TRUE,FALSE)</formula>
    </cfRule>
  </conditionalFormatting>
  <conditionalFormatting sqref="GH70">
    <cfRule type="expression" dxfId="657" priority="709" stopIfTrue="1">
      <formula>IF(GI$8="判定対象外",TRUE,FALSE)</formula>
    </cfRule>
  </conditionalFormatting>
  <conditionalFormatting sqref="GD70">
    <cfRule type="expression" dxfId="656" priority="696" stopIfTrue="1">
      <formula>IF(GE$8="判定対象外",TRUE,FALSE)</formula>
    </cfRule>
  </conditionalFormatting>
  <conditionalFormatting sqref="GG70">
    <cfRule type="expression" dxfId="655" priority="694" stopIfTrue="1">
      <formula>IF(GG70="-",TRUE,FALSE)</formula>
    </cfRule>
    <cfRule type="expression" dxfId="654" priority="695" stopIfTrue="1">
      <formula>IF(OR(GG70="OK"),FALSE,TRUE)</formula>
    </cfRule>
  </conditionalFormatting>
  <conditionalFormatting sqref="GF70">
    <cfRule type="expression" dxfId="653" priority="693" stopIfTrue="1">
      <formula>IF(GE$8="判定対象外",TRUE,FALSE)</formula>
    </cfRule>
  </conditionalFormatting>
  <conditionalFormatting sqref="GE70">
    <cfRule type="expression" dxfId="652" priority="692" stopIfTrue="1">
      <formula>IF(GE$8="判定対象外",TRUE,FALSE)</formula>
    </cfRule>
  </conditionalFormatting>
  <conditionalFormatting sqref="GK70">
    <cfRule type="expression" dxfId="651" priority="690" stopIfTrue="1">
      <formula>IF(GK70="-",TRUE,FALSE)</formula>
    </cfRule>
    <cfRule type="expression" dxfId="650" priority="691" stopIfTrue="1">
      <formula>IF(OR(GK70="OK"),FALSE,TRUE)</formula>
    </cfRule>
  </conditionalFormatting>
  <conditionalFormatting sqref="GJ70">
    <cfRule type="expression" dxfId="649" priority="689" stopIfTrue="1">
      <formula>IF(GI$8="判定対象外",TRUE,FALSE)</formula>
    </cfRule>
  </conditionalFormatting>
  <conditionalFormatting sqref="GI70">
    <cfRule type="expression" dxfId="648" priority="688" stopIfTrue="1">
      <formula>IF(GI$8="判定対象外",TRUE,FALSE)</formula>
    </cfRule>
  </conditionalFormatting>
  <conditionalFormatting sqref="GH70">
    <cfRule type="expression" dxfId="647" priority="687" stopIfTrue="1">
      <formula>IF(GI$8="判定対象外",TRUE,FALSE)</formula>
    </cfRule>
  </conditionalFormatting>
  <conditionalFormatting sqref="GD69">
    <cfRule type="expression" dxfId="646" priority="685" stopIfTrue="1">
      <formula>IF(GE$8="判定対象外",TRUE,FALSE)</formula>
    </cfRule>
  </conditionalFormatting>
  <conditionalFormatting sqref="GG69">
    <cfRule type="expression" dxfId="645" priority="683" stopIfTrue="1">
      <formula>IF(GG69="-",TRUE,FALSE)</formula>
    </cfRule>
    <cfRule type="expression" dxfId="644" priority="684" stopIfTrue="1">
      <formula>IF(OR(GG69="OK"),FALSE,TRUE)</formula>
    </cfRule>
  </conditionalFormatting>
  <conditionalFormatting sqref="GF69">
    <cfRule type="expression" dxfId="643" priority="682" stopIfTrue="1">
      <formula>IF(GE$8="判定対象外",TRUE,FALSE)</formula>
    </cfRule>
  </conditionalFormatting>
  <conditionalFormatting sqref="GE69">
    <cfRule type="expression" dxfId="642" priority="681" stopIfTrue="1">
      <formula>IF(GE$8="判定対象外",TRUE,FALSE)</formula>
    </cfRule>
  </conditionalFormatting>
  <conditionalFormatting sqref="GH69">
    <cfRule type="expression" dxfId="641" priority="680" stopIfTrue="1">
      <formula>IF(GI$8="判定対象外",TRUE,FALSE)</formula>
    </cfRule>
  </conditionalFormatting>
  <conditionalFormatting sqref="GK69">
    <cfRule type="expression" dxfId="640" priority="678" stopIfTrue="1">
      <formula>IF(GK69="-",TRUE,FALSE)</formula>
    </cfRule>
    <cfRule type="expression" dxfId="639" priority="679" stopIfTrue="1">
      <formula>IF(OR(GK69="OK"),FALSE,TRUE)</formula>
    </cfRule>
  </conditionalFormatting>
  <conditionalFormatting sqref="GJ69">
    <cfRule type="expression" dxfId="638" priority="677" stopIfTrue="1">
      <formula>IF(GI$8="判定対象外",TRUE,FALSE)</formula>
    </cfRule>
  </conditionalFormatting>
  <conditionalFormatting sqref="GI69">
    <cfRule type="expression" dxfId="637" priority="676" stopIfTrue="1">
      <formula>IF(GI$8="判定対象外",TRUE,FALSE)</formula>
    </cfRule>
  </conditionalFormatting>
  <conditionalFormatting sqref="GL69">
    <cfRule type="expression" dxfId="636" priority="675" stopIfTrue="1">
      <formula>IF(GM$8="判定対象外",TRUE,FALSE)</formula>
    </cfRule>
  </conditionalFormatting>
  <conditionalFormatting sqref="GL70">
    <cfRule type="expression" dxfId="635" priority="655" stopIfTrue="1">
      <formula>IF(GM$8="判定対象外",TRUE,FALSE)</formula>
    </cfRule>
  </conditionalFormatting>
  <conditionalFormatting sqref="GD71">
    <cfRule type="expression" dxfId="634" priority="674" stopIfTrue="1">
      <formula>IF(GE$8="判定対象外",TRUE,FALSE)</formula>
    </cfRule>
  </conditionalFormatting>
  <conditionalFormatting sqref="GD70">
    <cfRule type="expression" dxfId="633" priority="673" stopIfTrue="1">
      <formula>IF(GE$8="判定対象外",TRUE,FALSE)</formula>
    </cfRule>
  </conditionalFormatting>
  <conditionalFormatting sqref="GH70">
    <cfRule type="expression" dxfId="632" priority="671" stopIfTrue="1">
      <formula>IF(GI$8="判定対象外",TRUE,FALSE)</formula>
    </cfRule>
  </conditionalFormatting>
  <conditionalFormatting sqref="GL71">
    <cfRule type="expression" dxfId="631" priority="670" stopIfTrue="1">
      <formula>IF(GM$8="判定対象外",TRUE,FALSE)</formula>
    </cfRule>
  </conditionalFormatting>
  <conditionalFormatting sqref="GL70">
    <cfRule type="expression" dxfId="630" priority="669" stopIfTrue="1">
      <formula>IF(GM$8="判定対象外",TRUE,FALSE)</formula>
    </cfRule>
  </conditionalFormatting>
  <conditionalFormatting sqref="GL70">
    <cfRule type="expression" dxfId="629" priority="666" stopIfTrue="1">
      <formula>IF(GM$8="判定対象外",TRUE,FALSE)</formula>
    </cfRule>
  </conditionalFormatting>
  <conditionalFormatting sqref="GD70">
    <cfRule type="expression" dxfId="628" priority="668" stopIfTrue="1">
      <formula>IF(GE$8="判定対象外",TRUE,FALSE)</formula>
    </cfRule>
  </conditionalFormatting>
  <conditionalFormatting sqref="GH70">
    <cfRule type="expression" dxfId="627" priority="667" stopIfTrue="1">
      <formula>IF(GI$8="判定対象外",TRUE,FALSE)</formula>
    </cfRule>
  </conditionalFormatting>
  <conditionalFormatting sqref="GD70">
    <cfRule type="expression" dxfId="626" priority="665" stopIfTrue="1">
      <formula>IF(GE$8="判定対象外",TRUE,FALSE)</formula>
    </cfRule>
  </conditionalFormatting>
  <conditionalFormatting sqref="GG70">
    <cfRule type="expression" dxfId="625" priority="663" stopIfTrue="1">
      <formula>IF(GG70="-",TRUE,FALSE)</formula>
    </cfRule>
    <cfRule type="expression" dxfId="624" priority="664" stopIfTrue="1">
      <formula>IF(OR(GG70="OK"),FALSE,TRUE)</formula>
    </cfRule>
  </conditionalFormatting>
  <conditionalFormatting sqref="GF70">
    <cfRule type="expression" dxfId="623" priority="662" stopIfTrue="1">
      <formula>IF(GE$8="判定対象外",TRUE,FALSE)</formula>
    </cfRule>
  </conditionalFormatting>
  <conditionalFormatting sqref="GE70">
    <cfRule type="expression" dxfId="622" priority="661" stopIfTrue="1">
      <formula>IF(GE$8="判定対象外",TRUE,FALSE)</formula>
    </cfRule>
  </conditionalFormatting>
  <conditionalFormatting sqref="GK70">
    <cfRule type="expression" dxfId="621" priority="659" stopIfTrue="1">
      <formula>IF(GK70="-",TRUE,FALSE)</formula>
    </cfRule>
    <cfRule type="expression" dxfId="620" priority="660" stopIfTrue="1">
      <formula>IF(OR(GK70="OK"),FALSE,TRUE)</formula>
    </cfRule>
  </conditionalFormatting>
  <conditionalFormatting sqref="GJ70">
    <cfRule type="expression" dxfId="619" priority="658" stopIfTrue="1">
      <formula>IF(GI$8="判定対象外",TRUE,FALSE)</formula>
    </cfRule>
  </conditionalFormatting>
  <conditionalFormatting sqref="GI70">
    <cfRule type="expression" dxfId="618" priority="657" stopIfTrue="1">
      <formula>IF(GI$8="判定対象外",TRUE,FALSE)</formula>
    </cfRule>
  </conditionalFormatting>
  <conditionalFormatting sqref="GH70">
    <cfRule type="expression" dxfId="617" priority="656" stopIfTrue="1">
      <formula>IF(GI$8="判定対象外",TRUE,FALSE)</formula>
    </cfRule>
  </conditionalFormatting>
  <conditionalFormatting sqref="GL70">
    <cfRule type="expression" dxfId="616" priority="638" stopIfTrue="1">
      <formula>IF(GM$8="判定対象外",TRUE,FALSE)</formula>
    </cfRule>
  </conditionalFormatting>
  <conditionalFormatting sqref="GL70">
    <cfRule type="expression" dxfId="615" priority="650" stopIfTrue="1">
      <formula>IF(GM$8="判定対象外",TRUE,FALSE)</formula>
    </cfRule>
  </conditionalFormatting>
  <conditionalFormatting sqref="GD70">
    <cfRule type="expression" dxfId="614" priority="654" stopIfTrue="1">
      <formula>IF(GE$8="判定対象外",TRUE,FALSE)</formula>
    </cfRule>
  </conditionalFormatting>
  <conditionalFormatting sqref="GD71">
    <cfRule type="expression" dxfId="613" priority="653" stopIfTrue="1">
      <formula>IF(GE$8="判定対象外",TRUE,FALSE)</formula>
    </cfRule>
  </conditionalFormatting>
  <conditionalFormatting sqref="GH70">
    <cfRule type="expression" dxfId="612" priority="652" stopIfTrue="1">
      <formula>IF(GI$8="判定対象外",TRUE,FALSE)</formula>
    </cfRule>
  </conditionalFormatting>
  <conditionalFormatting sqref="GL71">
    <cfRule type="expression" dxfId="611" priority="649" stopIfTrue="1">
      <formula>IF(GM$8="判定対象外",TRUE,FALSE)</formula>
    </cfRule>
  </conditionalFormatting>
  <conditionalFormatting sqref="GD70">
    <cfRule type="expression" dxfId="610" priority="648" stopIfTrue="1">
      <formula>IF(GE$8="判定対象外",TRUE,FALSE)</formula>
    </cfRule>
  </conditionalFormatting>
  <conditionalFormatting sqref="GG70">
    <cfRule type="expression" dxfId="609" priority="646" stopIfTrue="1">
      <formula>IF(GG70="-",TRUE,FALSE)</formula>
    </cfRule>
    <cfRule type="expression" dxfId="608" priority="647" stopIfTrue="1">
      <formula>IF(OR(GG70="OK"),FALSE,TRUE)</formula>
    </cfRule>
  </conditionalFormatting>
  <conditionalFormatting sqref="GF70">
    <cfRule type="expression" dxfId="607" priority="645" stopIfTrue="1">
      <formula>IF(GE$8="判定対象外",TRUE,FALSE)</formula>
    </cfRule>
  </conditionalFormatting>
  <conditionalFormatting sqref="GE70">
    <cfRule type="expression" dxfId="606" priority="644" stopIfTrue="1">
      <formula>IF(GE$8="判定対象外",TRUE,FALSE)</formula>
    </cfRule>
  </conditionalFormatting>
  <conditionalFormatting sqref="GK70">
    <cfRule type="expression" dxfId="605" priority="642" stopIfTrue="1">
      <formula>IF(GK70="-",TRUE,FALSE)</formula>
    </cfRule>
    <cfRule type="expression" dxfId="604" priority="643" stopIfTrue="1">
      <formula>IF(OR(GK70="OK"),FALSE,TRUE)</formula>
    </cfRule>
  </conditionalFormatting>
  <conditionalFormatting sqref="GJ70">
    <cfRule type="expression" dxfId="603" priority="641" stopIfTrue="1">
      <formula>IF(GI$8="判定対象外",TRUE,FALSE)</formula>
    </cfRule>
  </conditionalFormatting>
  <conditionalFormatting sqref="GI70">
    <cfRule type="expression" dxfId="602" priority="640" stopIfTrue="1">
      <formula>IF(GI$8="判定対象外",TRUE,FALSE)</formula>
    </cfRule>
  </conditionalFormatting>
  <conditionalFormatting sqref="GH70">
    <cfRule type="expression" dxfId="601" priority="639" stopIfTrue="1">
      <formula>IF(GI$8="判定対象外",TRUE,FALSE)</formula>
    </cfRule>
  </conditionalFormatting>
  <conditionalFormatting sqref="GL71">
    <cfRule type="expression" dxfId="600" priority="635" stopIfTrue="1">
      <formula>IF(GM$8="判定対象外",TRUE,FALSE)</formula>
    </cfRule>
  </conditionalFormatting>
  <conditionalFormatting sqref="GD71">
    <cfRule type="expression" dxfId="599" priority="637" stopIfTrue="1">
      <formula>IF(GE$8="判定対象外",TRUE,FALSE)</formula>
    </cfRule>
  </conditionalFormatting>
  <conditionalFormatting sqref="GD71">
    <cfRule type="expression" dxfId="598" priority="623" stopIfTrue="1">
      <formula>IF(GE$8="判定対象外",TRUE,FALSE)</formula>
    </cfRule>
  </conditionalFormatting>
  <conditionalFormatting sqref="GG71">
    <cfRule type="expression" dxfId="597" priority="621" stopIfTrue="1">
      <formula>IF(GG71="-",TRUE,FALSE)</formula>
    </cfRule>
    <cfRule type="expression" dxfId="596" priority="622" stopIfTrue="1">
      <formula>IF(OR(GG71="OK"),FALSE,TRUE)</formula>
    </cfRule>
  </conditionalFormatting>
  <conditionalFormatting sqref="GF71">
    <cfRule type="expression" dxfId="595" priority="620" stopIfTrue="1">
      <formula>IF(GE$8="判定対象外",TRUE,FALSE)</formula>
    </cfRule>
  </conditionalFormatting>
  <conditionalFormatting sqref="GE71">
    <cfRule type="expression" dxfId="594" priority="619" stopIfTrue="1">
      <formula>IF(GE$8="判定対象外",TRUE,FALSE)</formula>
    </cfRule>
  </conditionalFormatting>
  <conditionalFormatting sqref="GK71">
    <cfRule type="expression" dxfId="593" priority="617" stopIfTrue="1">
      <formula>IF(GK71="-",TRUE,FALSE)</formula>
    </cfRule>
    <cfRule type="expression" dxfId="592" priority="618" stopIfTrue="1">
      <formula>IF(OR(GK71="OK"),FALSE,TRUE)</formula>
    </cfRule>
  </conditionalFormatting>
  <conditionalFormatting sqref="GJ71">
    <cfRule type="expression" dxfId="591" priority="616" stopIfTrue="1">
      <formula>IF(GI$8="判定対象外",TRUE,FALSE)</formula>
    </cfRule>
  </conditionalFormatting>
  <conditionalFormatting sqref="GI71">
    <cfRule type="expression" dxfId="590" priority="615" stopIfTrue="1">
      <formula>IF(GI$8="判定対象外",TRUE,FALSE)</formula>
    </cfRule>
  </conditionalFormatting>
  <conditionalFormatting sqref="GD70">
    <cfRule type="expression" dxfId="589" priority="612" stopIfTrue="1">
      <formula>IF(GE$8="判定対象外",TRUE,FALSE)</formula>
    </cfRule>
  </conditionalFormatting>
  <conditionalFormatting sqref="GG70">
    <cfRule type="expression" dxfId="588" priority="610" stopIfTrue="1">
      <formula>IF(GG70="-",TRUE,FALSE)</formula>
    </cfRule>
    <cfRule type="expression" dxfId="587" priority="611" stopIfTrue="1">
      <formula>IF(OR(GG70="OK"),FALSE,TRUE)</formula>
    </cfRule>
  </conditionalFormatting>
  <conditionalFormatting sqref="GF70">
    <cfRule type="expression" dxfId="586" priority="609" stopIfTrue="1">
      <formula>IF(GE$8="判定対象外",TRUE,FALSE)</formula>
    </cfRule>
  </conditionalFormatting>
  <conditionalFormatting sqref="GE70">
    <cfRule type="expression" dxfId="585" priority="608" stopIfTrue="1">
      <formula>IF(GE$8="判定対象外",TRUE,FALSE)</formula>
    </cfRule>
  </conditionalFormatting>
  <conditionalFormatting sqref="GH70">
    <cfRule type="expression" dxfId="584" priority="607" stopIfTrue="1">
      <formula>IF(GI$8="判定対象外",TRUE,FALSE)</formula>
    </cfRule>
  </conditionalFormatting>
  <conditionalFormatting sqref="GK70">
    <cfRule type="expression" dxfId="583" priority="605" stopIfTrue="1">
      <formula>IF(GK70="-",TRUE,FALSE)</formula>
    </cfRule>
    <cfRule type="expression" dxfId="582" priority="606" stopIfTrue="1">
      <formula>IF(OR(GK70="OK"),FALSE,TRUE)</formula>
    </cfRule>
  </conditionalFormatting>
  <conditionalFormatting sqref="GJ70">
    <cfRule type="expression" dxfId="581" priority="604" stopIfTrue="1">
      <formula>IF(GI$8="判定対象外",TRUE,FALSE)</formula>
    </cfRule>
  </conditionalFormatting>
  <conditionalFormatting sqref="GI70">
    <cfRule type="expression" dxfId="580" priority="603" stopIfTrue="1">
      <formula>IF(GI$8="判定対象外",TRUE,FALSE)</formula>
    </cfRule>
  </conditionalFormatting>
  <conditionalFormatting sqref="GL70">
    <cfRule type="expression" dxfId="579" priority="602" stopIfTrue="1">
      <formula>IF(GM$8="判定対象外",TRUE,FALSE)</formula>
    </cfRule>
  </conditionalFormatting>
  <conditionalFormatting sqref="GP70">
    <cfRule type="expression" dxfId="578" priority="426" stopIfTrue="1">
      <formula>IF(GQ$8="判定対象外",TRUE,FALSE)</formula>
    </cfRule>
  </conditionalFormatting>
  <conditionalFormatting sqref="GS70">
    <cfRule type="expression" dxfId="577" priority="424" stopIfTrue="1">
      <formula>IF(GS70="-",TRUE,FALSE)</formula>
    </cfRule>
    <cfRule type="expression" dxfId="576" priority="425" stopIfTrue="1">
      <formula>IF(OR(GS70="OK"),FALSE,TRUE)</formula>
    </cfRule>
  </conditionalFormatting>
  <conditionalFormatting sqref="GR70">
    <cfRule type="expression" dxfId="575" priority="423" stopIfTrue="1">
      <formula>IF(GQ$8="判定対象外",TRUE,FALSE)</formula>
    </cfRule>
  </conditionalFormatting>
  <conditionalFormatting sqref="GQ70">
    <cfRule type="expression" dxfId="574" priority="422" stopIfTrue="1">
      <formula>IF(GQ$8="判定対象外",TRUE,FALSE)</formula>
    </cfRule>
  </conditionalFormatting>
  <conditionalFormatting sqref="GP69">
    <cfRule type="expression" dxfId="573" priority="457" stopIfTrue="1">
      <formula>IF(GQ$8="判定対象外",TRUE,FALSE)</formula>
    </cfRule>
  </conditionalFormatting>
  <conditionalFormatting sqref="GS69">
    <cfRule type="expression" dxfId="572" priority="455" stopIfTrue="1">
      <formula>IF(GS69="-",TRUE,FALSE)</formula>
    </cfRule>
    <cfRule type="expression" dxfId="571" priority="456" stopIfTrue="1">
      <formula>IF(OR(GS69="OK"),FALSE,TRUE)</formula>
    </cfRule>
  </conditionalFormatting>
  <conditionalFormatting sqref="GR69">
    <cfRule type="expression" dxfId="570" priority="454" stopIfTrue="1">
      <formula>IF(GQ$8="判定対象外",TRUE,FALSE)</formula>
    </cfRule>
  </conditionalFormatting>
  <conditionalFormatting sqref="GQ69">
    <cfRule type="expression" dxfId="569" priority="453" stopIfTrue="1">
      <formula>IF(GQ$8="判定対象外",TRUE,FALSE)</formula>
    </cfRule>
  </conditionalFormatting>
  <conditionalFormatting sqref="GP67">
    <cfRule type="expression" dxfId="568" priority="501" stopIfTrue="1">
      <formula>IF(GQ$8="判定対象外",TRUE,FALSE)</formula>
    </cfRule>
  </conditionalFormatting>
  <conditionalFormatting sqref="GP68">
    <cfRule type="expression" dxfId="567" priority="480" stopIfTrue="1">
      <formula>IF(GQ$8="判定対象外",TRUE,FALSE)</formula>
    </cfRule>
  </conditionalFormatting>
  <conditionalFormatting sqref="GS68">
    <cfRule type="expression" dxfId="566" priority="478" stopIfTrue="1">
      <formula>IF(GS68="-",TRUE,FALSE)</formula>
    </cfRule>
    <cfRule type="expression" dxfId="565" priority="479" stopIfTrue="1">
      <formula>IF(OR(GS68="OK"),FALSE,TRUE)</formula>
    </cfRule>
  </conditionalFormatting>
  <conditionalFormatting sqref="GR68">
    <cfRule type="expression" dxfId="564" priority="477" stopIfTrue="1">
      <formula>IF(GQ$8="判定対象外",TRUE,FALSE)</formula>
    </cfRule>
  </conditionalFormatting>
  <conditionalFormatting sqref="GQ68">
    <cfRule type="expression" dxfId="563" priority="476" stopIfTrue="1">
      <formula>IF(GQ$8="判定対象外",TRUE,FALSE)</formula>
    </cfRule>
  </conditionalFormatting>
  <conditionalFormatting sqref="GP66">
    <cfRule type="expression" dxfId="562" priority="496" stopIfTrue="1">
      <formula>IF(GQ$8="判定対象外",TRUE,FALSE)</formula>
    </cfRule>
  </conditionalFormatting>
  <conditionalFormatting sqref="GS66">
    <cfRule type="expression" dxfId="561" priority="494" stopIfTrue="1">
      <formula>IF(GS66="-",TRUE,FALSE)</formula>
    </cfRule>
    <cfRule type="expression" dxfId="560" priority="495" stopIfTrue="1">
      <formula>IF(OR(GS66="OK"),FALSE,TRUE)</formula>
    </cfRule>
  </conditionalFormatting>
  <conditionalFormatting sqref="GR66">
    <cfRule type="expression" dxfId="559" priority="493" stopIfTrue="1">
      <formula>IF(GQ$8="判定対象外",TRUE,FALSE)</formula>
    </cfRule>
  </conditionalFormatting>
  <conditionalFormatting sqref="GQ66">
    <cfRule type="expression" dxfId="558" priority="492" stopIfTrue="1">
      <formula>IF(GQ$8="判定対象外",TRUE,FALSE)</formula>
    </cfRule>
  </conditionalFormatting>
  <conditionalFormatting sqref="GP65">
    <cfRule type="expression" dxfId="557" priority="506" stopIfTrue="1">
      <formula>IF(GQ$8="判定対象外",TRUE,FALSE)</formula>
    </cfRule>
  </conditionalFormatting>
  <conditionalFormatting sqref="GS65">
    <cfRule type="expression" dxfId="556" priority="504" stopIfTrue="1">
      <formula>IF(GS65="-",TRUE,FALSE)</formula>
    </cfRule>
    <cfRule type="expression" dxfId="555" priority="505" stopIfTrue="1">
      <formula>IF(OR(GS65="OK"),FALSE,TRUE)</formula>
    </cfRule>
  </conditionalFormatting>
  <conditionalFormatting sqref="GR65">
    <cfRule type="expression" dxfId="554" priority="503" stopIfTrue="1">
      <formula>IF(GQ$8="判定対象外",TRUE,FALSE)</formula>
    </cfRule>
  </conditionalFormatting>
  <conditionalFormatting sqref="GQ65">
    <cfRule type="expression" dxfId="553" priority="502" stopIfTrue="1">
      <formula>IF(GQ$8="判定対象外",TRUE,FALSE)</formula>
    </cfRule>
  </conditionalFormatting>
  <conditionalFormatting sqref="GP64">
    <cfRule type="expression" dxfId="552" priority="511" stopIfTrue="1">
      <formula>IF(GQ$8="判定対象外",TRUE,FALSE)</formula>
    </cfRule>
  </conditionalFormatting>
  <conditionalFormatting sqref="GS64">
    <cfRule type="expression" dxfId="551" priority="509" stopIfTrue="1">
      <formula>IF(GS64="-",TRUE,FALSE)</formula>
    </cfRule>
    <cfRule type="expression" dxfId="550" priority="510" stopIfTrue="1">
      <formula>IF(OR(GS64="OK"),FALSE,TRUE)</formula>
    </cfRule>
  </conditionalFormatting>
  <conditionalFormatting sqref="GR64">
    <cfRule type="expression" dxfId="549" priority="508" stopIfTrue="1">
      <formula>IF(GQ$8="判定対象外",TRUE,FALSE)</formula>
    </cfRule>
  </conditionalFormatting>
  <conditionalFormatting sqref="GQ64">
    <cfRule type="expression" dxfId="548" priority="507" stopIfTrue="1">
      <formula>IF(GQ$8="判定対象外",TRUE,FALSE)</formula>
    </cfRule>
  </conditionalFormatting>
  <conditionalFormatting sqref="GP63">
    <cfRule type="expression" dxfId="547" priority="516" stopIfTrue="1">
      <formula>IF(GQ$8="判定対象外",TRUE,FALSE)</formula>
    </cfRule>
  </conditionalFormatting>
  <conditionalFormatting sqref="GS63">
    <cfRule type="expression" dxfId="546" priority="514" stopIfTrue="1">
      <formula>IF(GS63="-",TRUE,FALSE)</formula>
    </cfRule>
    <cfRule type="expression" dxfId="545" priority="515" stopIfTrue="1">
      <formula>IF(OR(GS63="OK"),FALSE,TRUE)</formula>
    </cfRule>
  </conditionalFormatting>
  <conditionalFormatting sqref="GR63">
    <cfRule type="expression" dxfId="544" priority="513" stopIfTrue="1">
      <formula>IF(GQ$8="判定対象外",TRUE,FALSE)</formula>
    </cfRule>
  </conditionalFormatting>
  <conditionalFormatting sqref="GQ63">
    <cfRule type="expression" dxfId="543" priority="512" stopIfTrue="1">
      <formula>IF(GQ$8="判定対象外",TRUE,FALSE)</formula>
    </cfRule>
  </conditionalFormatting>
  <conditionalFormatting sqref="GP62">
    <cfRule type="expression" dxfId="542" priority="521" stopIfTrue="1">
      <formula>IF(GQ$8="判定対象外",TRUE,FALSE)</formula>
    </cfRule>
  </conditionalFormatting>
  <conditionalFormatting sqref="GS62">
    <cfRule type="expression" dxfId="541" priority="519" stopIfTrue="1">
      <formula>IF(GS62="-",TRUE,FALSE)</formula>
    </cfRule>
    <cfRule type="expression" dxfId="540" priority="520" stopIfTrue="1">
      <formula>IF(OR(GS62="OK"),FALSE,TRUE)</formula>
    </cfRule>
  </conditionalFormatting>
  <conditionalFormatting sqref="GR62">
    <cfRule type="expression" dxfId="539" priority="518" stopIfTrue="1">
      <formula>IF(GQ$8="判定対象外",TRUE,FALSE)</formula>
    </cfRule>
  </conditionalFormatting>
  <conditionalFormatting sqref="GQ62">
    <cfRule type="expression" dxfId="538" priority="517" stopIfTrue="1">
      <formula>IF(GQ$8="判定対象外",TRUE,FALSE)</formula>
    </cfRule>
  </conditionalFormatting>
  <conditionalFormatting sqref="GP61">
    <cfRule type="expression" dxfId="537" priority="526" stopIfTrue="1">
      <formula>IF(GQ$8="判定対象外",TRUE,FALSE)</formula>
    </cfRule>
  </conditionalFormatting>
  <conditionalFormatting sqref="GS61">
    <cfRule type="expression" dxfId="536" priority="524" stopIfTrue="1">
      <formula>IF(GS61="-",TRUE,FALSE)</formula>
    </cfRule>
    <cfRule type="expression" dxfId="535" priority="525" stopIfTrue="1">
      <formula>IF(OR(GS61="OK"),FALSE,TRUE)</formula>
    </cfRule>
  </conditionalFormatting>
  <conditionalFormatting sqref="GR61">
    <cfRule type="expression" dxfId="534" priority="523" stopIfTrue="1">
      <formula>IF(GQ$8="判定対象外",TRUE,FALSE)</formula>
    </cfRule>
  </conditionalFormatting>
  <conditionalFormatting sqref="GQ61">
    <cfRule type="expression" dxfId="533" priority="522" stopIfTrue="1">
      <formula>IF(GQ$8="判定対象外",TRUE,FALSE)</formula>
    </cfRule>
  </conditionalFormatting>
  <conditionalFormatting sqref="GP60">
    <cfRule type="expression" dxfId="532" priority="531" stopIfTrue="1">
      <formula>IF(GQ$8="判定対象外",TRUE,FALSE)</formula>
    </cfRule>
  </conditionalFormatting>
  <conditionalFormatting sqref="GS60">
    <cfRule type="expression" dxfId="531" priority="529" stopIfTrue="1">
      <formula>IF(GS60="-",TRUE,FALSE)</formula>
    </cfRule>
    <cfRule type="expression" dxfId="530" priority="530" stopIfTrue="1">
      <formula>IF(OR(GS60="OK"),FALSE,TRUE)</formula>
    </cfRule>
  </conditionalFormatting>
  <conditionalFormatting sqref="GR60">
    <cfRule type="expression" dxfId="529" priority="528" stopIfTrue="1">
      <formula>IF(GQ$8="判定対象外",TRUE,FALSE)</formula>
    </cfRule>
  </conditionalFormatting>
  <conditionalFormatting sqref="GQ60">
    <cfRule type="expression" dxfId="528" priority="527" stopIfTrue="1">
      <formula>IF(GQ$8="判定対象外",TRUE,FALSE)</formula>
    </cfRule>
  </conditionalFormatting>
  <conditionalFormatting sqref="GP59">
    <cfRule type="expression" dxfId="527" priority="536" stopIfTrue="1">
      <formula>IF(GQ$8="判定対象外",TRUE,FALSE)</formula>
    </cfRule>
  </conditionalFormatting>
  <conditionalFormatting sqref="GS59">
    <cfRule type="expression" dxfId="526" priority="534" stopIfTrue="1">
      <formula>IF(GS59="-",TRUE,FALSE)</formula>
    </cfRule>
    <cfRule type="expression" dxfId="525" priority="535" stopIfTrue="1">
      <formula>IF(OR(GS59="OK"),FALSE,TRUE)</formula>
    </cfRule>
  </conditionalFormatting>
  <conditionalFormatting sqref="GR59">
    <cfRule type="expression" dxfId="524" priority="533" stopIfTrue="1">
      <formula>IF(GQ$8="判定対象外",TRUE,FALSE)</formula>
    </cfRule>
  </conditionalFormatting>
  <conditionalFormatting sqref="GQ59">
    <cfRule type="expression" dxfId="523" priority="532" stopIfTrue="1">
      <formula>IF(GQ$8="判定対象外",TRUE,FALSE)</formula>
    </cfRule>
  </conditionalFormatting>
  <conditionalFormatting sqref="GS8:GS10">
    <cfRule type="expression" dxfId="522" priority="600" stopIfTrue="1">
      <formula>IF(GS8="-",TRUE,FALSE)</formula>
    </cfRule>
    <cfRule type="expression" dxfId="521" priority="601" stopIfTrue="1">
      <formula>IF(OR(GS8="OK"),FALSE,TRUE)</formula>
    </cfRule>
  </conditionalFormatting>
  <conditionalFormatting sqref="GP8:GP10">
    <cfRule type="expression" dxfId="520" priority="599" stopIfTrue="1">
      <formula>IF(GQ$8="判定対象外",TRUE,FALSE)</formula>
    </cfRule>
  </conditionalFormatting>
  <conditionalFormatting sqref="GQ8:GQ10">
    <cfRule type="expression" dxfId="519" priority="598" stopIfTrue="1">
      <formula>IF(GQ$8="判定対象外",TRUE,FALSE)</formula>
    </cfRule>
  </conditionalFormatting>
  <conditionalFormatting sqref="GR8:GR10">
    <cfRule type="expression" dxfId="518" priority="597" stopIfTrue="1">
      <formula>IF(GQ$8="判定対象外",TRUE,FALSE)</formula>
    </cfRule>
  </conditionalFormatting>
  <conditionalFormatting sqref="GS11:GS56 GS71:GS81">
    <cfRule type="expression" dxfId="517" priority="594" stopIfTrue="1">
      <formula>IF(GS11="-",TRUE,FALSE)</formula>
    </cfRule>
    <cfRule type="expression" dxfId="516" priority="595" stopIfTrue="1">
      <formula>IF(OR(GS11="OK"),FALSE,TRUE)</formula>
    </cfRule>
  </conditionalFormatting>
  <conditionalFormatting sqref="GR11:GR56 GR71:GR81">
    <cfRule type="expression" dxfId="515" priority="593" stopIfTrue="1">
      <formula>IF(GQ$8="判定対象外",TRUE,FALSE)</formula>
    </cfRule>
  </conditionalFormatting>
  <conditionalFormatting sqref="GP72:GP81 GP21:GP46">
    <cfRule type="expression" dxfId="514" priority="592" stopIfTrue="1">
      <formula>IF(GQ$8="判定対象外",TRUE,FALSE)</formula>
    </cfRule>
  </conditionalFormatting>
  <conditionalFormatting sqref="GP29:GP32">
    <cfRule type="expression" dxfId="513" priority="591" stopIfTrue="1">
      <formula>IF(GQ$8="判定対象外",TRUE,FALSE)</formula>
    </cfRule>
  </conditionalFormatting>
  <conditionalFormatting sqref="GP42:GP44">
    <cfRule type="expression" dxfId="512" priority="590" stopIfTrue="1">
      <formula>IF(GQ$8="判定対象外",TRUE,FALSE)</formula>
    </cfRule>
  </conditionalFormatting>
  <conditionalFormatting sqref="GP46">
    <cfRule type="expression" dxfId="511" priority="589" stopIfTrue="1">
      <formula>IF(GQ$8="判定対象外",TRUE,FALSE)</formula>
    </cfRule>
  </conditionalFormatting>
  <conditionalFormatting sqref="GP42:GP44">
    <cfRule type="expression" dxfId="510" priority="588" stopIfTrue="1">
      <formula>IF(GQ$8="判定対象外",TRUE,FALSE)</formula>
    </cfRule>
  </conditionalFormatting>
  <conditionalFormatting sqref="GP42:GP44">
    <cfRule type="expression" dxfId="509" priority="587" stopIfTrue="1">
      <formula>IF(GQ$8="判定対象外",TRUE,FALSE)</formula>
    </cfRule>
  </conditionalFormatting>
  <conditionalFormatting sqref="GP42:GP44">
    <cfRule type="expression" dxfId="508" priority="586" stopIfTrue="1">
      <formula>IF(GQ$8="判定対象外",TRUE,FALSE)</formula>
    </cfRule>
  </conditionalFormatting>
  <conditionalFormatting sqref="GP42:GP44">
    <cfRule type="expression" dxfId="507" priority="585" stopIfTrue="1">
      <formula>IF(GQ$8="判定対象外",TRUE,FALSE)</formula>
    </cfRule>
  </conditionalFormatting>
  <conditionalFormatting sqref="GP42:GP44">
    <cfRule type="expression" dxfId="506" priority="584" stopIfTrue="1">
      <formula>IF(GQ$8="判定対象外",TRUE,FALSE)</formula>
    </cfRule>
  </conditionalFormatting>
  <conditionalFormatting sqref="GP42:GP44">
    <cfRule type="expression" dxfId="505" priority="583" stopIfTrue="1">
      <formula>IF(GQ$8="判定対象外",TRUE,FALSE)</formula>
    </cfRule>
  </conditionalFormatting>
  <conditionalFormatting sqref="GP42:GP44">
    <cfRule type="expression" dxfId="504" priority="582" stopIfTrue="1">
      <formula>IF(GQ$8="判定対象外",TRUE,FALSE)</formula>
    </cfRule>
  </conditionalFormatting>
  <conditionalFormatting sqref="GP38">
    <cfRule type="expression" dxfId="503" priority="596" stopIfTrue="1">
      <formula>IF(#REF!="判定対象外",TRUE,FALSE)</formula>
    </cfRule>
  </conditionalFormatting>
  <conditionalFormatting sqref="GQ11:GQ56 GQ71:GQ81">
    <cfRule type="expression" dxfId="502" priority="581" stopIfTrue="1">
      <formula>IF(GQ$8="判定対象外",TRUE,FALSE)</formula>
    </cfRule>
  </conditionalFormatting>
  <conditionalFormatting sqref="GP48">
    <cfRule type="expression" dxfId="501" priority="580" stopIfTrue="1">
      <formula>IF(GQ$8="判定対象外",TRUE,FALSE)</formula>
    </cfRule>
  </conditionalFormatting>
  <conditionalFormatting sqref="GP51">
    <cfRule type="expression" dxfId="500" priority="579" stopIfTrue="1">
      <formula>IF(GQ$8="判定対象外",TRUE,FALSE)</formula>
    </cfRule>
  </conditionalFormatting>
  <conditionalFormatting sqref="GP52 GP55 GP70">
    <cfRule type="expression" dxfId="499" priority="578" stopIfTrue="1">
      <formula>IF(GQ$8="判定対象外",TRUE,FALSE)</formula>
    </cfRule>
  </conditionalFormatting>
  <conditionalFormatting sqref="GP11:GP20">
    <cfRule type="expression" dxfId="498" priority="577" stopIfTrue="1">
      <formula>IF(GQ$8="判定対象外",TRUE,FALSE)</formula>
    </cfRule>
  </conditionalFormatting>
  <conditionalFormatting sqref="GP16:GP18">
    <cfRule type="expression" dxfId="497" priority="576" stopIfTrue="1">
      <formula>IF(GQ$8="判定対象外",TRUE,FALSE)</formula>
    </cfRule>
  </conditionalFormatting>
  <conditionalFormatting sqref="GP20">
    <cfRule type="expression" dxfId="496" priority="575" stopIfTrue="1">
      <formula>IF(GQ$8="判定対象外",TRUE,FALSE)</formula>
    </cfRule>
  </conditionalFormatting>
  <conditionalFormatting sqref="GP16:GP20">
    <cfRule type="expression" dxfId="495" priority="574" stopIfTrue="1">
      <formula>IF(GQ$8="判定対象外",TRUE,FALSE)</formula>
    </cfRule>
  </conditionalFormatting>
  <conditionalFormatting sqref="GP11:GP20">
    <cfRule type="expression" dxfId="494" priority="573" stopIfTrue="1">
      <formula>IF(GQ$8="判定対象外",TRUE,FALSE)</formula>
    </cfRule>
  </conditionalFormatting>
  <conditionalFormatting sqref="GP16:GP18">
    <cfRule type="expression" dxfId="493" priority="572" stopIfTrue="1">
      <formula>IF(GQ$8="判定対象外",TRUE,FALSE)</formula>
    </cfRule>
  </conditionalFormatting>
  <conditionalFormatting sqref="GP20">
    <cfRule type="expression" dxfId="492" priority="571" stopIfTrue="1">
      <formula>IF(GQ$8="判定対象外",TRUE,FALSE)</formula>
    </cfRule>
  </conditionalFormatting>
  <conditionalFormatting sqref="GP16:GP20">
    <cfRule type="expression" dxfId="491" priority="570" stopIfTrue="1">
      <formula>IF(GQ$8="判定対象外",TRUE,FALSE)</formula>
    </cfRule>
  </conditionalFormatting>
  <conditionalFormatting sqref="GP11:GP20">
    <cfRule type="expression" dxfId="490" priority="569" stopIfTrue="1">
      <formula>IF(GQ$8="判定対象外",TRUE,FALSE)</formula>
    </cfRule>
  </conditionalFormatting>
  <conditionalFormatting sqref="GP16:GP18">
    <cfRule type="expression" dxfId="489" priority="568" stopIfTrue="1">
      <formula>IF(GQ$8="判定対象外",TRUE,FALSE)</formula>
    </cfRule>
  </conditionalFormatting>
  <conditionalFormatting sqref="GP20">
    <cfRule type="expression" dxfId="488" priority="567" stopIfTrue="1">
      <formula>IF(GQ$8="判定対象外",TRUE,FALSE)</formula>
    </cfRule>
  </conditionalFormatting>
  <conditionalFormatting sqref="GP16:GP20">
    <cfRule type="expression" dxfId="487" priority="566" stopIfTrue="1">
      <formula>IF(GQ$8="判定対象外",TRUE,FALSE)</formula>
    </cfRule>
  </conditionalFormatting>
  <conditionalFormatting sqref="GP11:GP13">
    <cfRule type="expression" dxfId="486" priority="565" stopIfTrue="1">
      <formula>IF(GQ$8="判定対象外",TRUE,FALSE)</formula>
    </cfRule>
  </conditionalFormatting>
  <conditionalFormatting sqref="GP15">
    <cfRule type="expression" dxfId="485" priority="564" stopIfTrue="1">
      <formula>IF(GQ$8="判定対象外",TRUE,FALSE)</formula>
    </cfRule>
  </conditionalFormatting>
  <conditionalFormatting sqref="GP19">
    <cfRule type="expression" dxfId="484" priority="563" stopIfTrue="1">
      <formula>IF(GQ$8="判定対象外",TRUE,FALSE)</formula>
    </cfRule>
  </conditionalFormatting>
  <conditionalFormatting sqref="GP19">
    <cfRule type="expression" dxfId="483" priority="562" stopIfTrue="1">
      <formula>IF(GQ$8="判定対象外",TRUE,FALSE)</formula>
    </cfRule>
  </conditionalFormatting>
  <conditionalFormatting sqref="GP20">
    <cfRule type="expression" dxfId="482" priority="561" stopIfTrue="1">
      <formula>IF(GQ$8="判定対象外",TRUE,FALSE)</formula>
    </cfRule>
  </conditionalFormatting>
  <conditionalFormatting sqref="GP20">
    <cfRule type="expression" dxfId="481" priority="560" stopIfTrue="1">
      <formula>IF(GQ$8="判定対象外",TRUE,FALSE)</formula>
    </cfRule>
  </conditionalFormatting>
  <conditionalFormatting sqref="GP20">
    <cfRule type="expression" dxfId="480" priority="559" stopIfTrue="1">
      <formula>IF(GQ$8="判定対象外",TRUE,FALSE)</formula>
    </cfRule>
  </conditionalFormatting>
  <conditionalFormatting sqref="GP13">
    <cfRule type="expression" dxfId="479" priority="558" stopIfTrue="1">
      <formula>IF(GQ$8="判定対象外",TRUE,FALSE)</formula>
    </cfRule>
  </conditionalFormatting>
  <conditionalFormatting sqref="GP47">
    <cfRule type="expression" dxfId="478" priority="557" stopIfTrue="1">
      <formula>IF(GQ$8="判定対象外",TRUE,FALSE)</formula>
    </cfRule>
  </conditionalFormatting>
  <conditionalFormatting sqref="GP47">
    <cfRule type="expression" dxfId="477" priority="556" stopIfTrue="1">
      <formula>IF(GQ$8="判定対象外",TRUE,FALSE)</formula>
    </cfRule>
  </conditionalFormatting>
  <conditionalFormatting sqref="GP49">
    <cfRule type="expression" dxfId="476" priority="555" stopIfTrue="1">
      <formula>IF(GQ$8="判定対象外",TRUE,FALSE)</formula>
    </cfRule>
  </conditionalFormatting>
  <conditionalFormatting sqref="GP49">
    <cfRule type="expression" dxfId="475" priority="554" stopIfTrue="1">
      <formula>IF(GQ$8="判定対象外",TRUE,FALSE)</formula>
    </cfRule>
  </conditionalFormatting>
  <conditionalFormatting sqref="GP50">
    <cfRule type="expression" dxfId="474" priority="553" stopIfTrue="1">
      <formula>IF(GQ$8="判定対象外",TRUE,FALSE)</formula>
    </cfRule>
  </conditionalFormatting>
  <conditionalFormatting sqref="GP50">
    <cfRule type="expression" dxfId="473" priority="552" stopIfTrue="1">
      <formula>IF(GQ$8="判定対象外",TRUE,FALSE)</formula>
    </cfRule>
  </conditionalFormatting>
  <conditionalFormatting sqref="GP53 GP56 GP68">
    <cfRule type="expression" dxfId="472" priority="551" stopIfTrue="1">
      <formula>IF(GQ$8="判定対象外",TRUE,FALSE)</formula>
    </cfRule>
  </conditionalFormatting>
  <conditionalFormatting sqref="GP54 GP57 GP69">
    <cfRule type="expression" dxfId="471" priority="550" stopIfTrue="1">
      <formula>IF(GQ$8="判定対象外",TRUE,FALSE)</formula>
    </cfRule>
  </conditionalFormatting>
  <conditionalFormatting sqref="GS57">
    <cfRule type="expression" dxfId="470" priority="548" stopIfTrue="1">
      <formula>IF(GS57="-",TRUE,FALSE)</formula>
    </cfRule>
    <cfRule type="expression" dxfId="469" priority="549" stopIfTrue="1">
      <formula>IF(OR(GS57="OK"),FALSE,TRUE)</formula>
    </cfRule>
  </conditionalFormatting>
  <conditionalFormatting sqref="GR57">
    <cfRule type="expression" dxfId="468" priority="547" stopIfTrue="1">
      <formula>IF(GQ$8="判定対象外",TRUE,FALSE)</formula>
    </cfRule>
  </conditionalFormatting>
  <conditionalFormatting sqref="GQ57">
    <cfRule type="expression" dxfId="467" priority="546" stopIfTrue="1">
      <formula>IF(GQ$8="判定対象外",TRUE,FALSE)</formula>
    </cfRule>
  </conditionalFormatting>
  <conditionalFormatting sqref="GS68:GS71">
    <cfRule type="expression" dxfId="466" priority="544" stopIfTrue="1">
      <formula>IF(GS68="-",TRUE,FALSE)</formula>
    </cfRule>
    <cfRule type="expression" dxfId="465" priority="545" stopIfTrue="1">
      <formula>IF(OR(GS68="OK"),FALSE,TRUE)</formula>
    </cfRule>
  </conditionalFormatting>
  <conditionalFormatting sqref="GR68:GR71">
    <cfRule type="expression" dxfId="464" priority="543" stopIfTrue="1">
      <formula>IF(GQ$8="判定対象外",TRUE,FALSE)</formula>
    </cfRule>
  </conditionalFormatting>
  <conditionalFormatting sqref="GQ68:GQ71">
    <cfRule type="expression" dxfId="463" priority="542" stopIfTrue="1">
      <formula>IF(GQ$8="判定対象外",TRUE,FALSE)</formula>
    </cfRule>
  </conditionalFormatting>
  <conditionalFormatting sqref="GP58">
    <cfRule type="expression" dxfId="462" priority="541" stopIfTrue="1">
      <formula>IF(GQ$8="判定対象外",TRUE,FALSE)</formula>
    </cfRule>
  </conditionalFormatting>
  <conditionalFormatting sqref="GS58">
    <cfRule type="expression" dxfId="461" priority="539" stopIfTrue="1">
      <formula>IF(GS58="-",TRUE,FALSE)</formula>
    </cfRule>
    <cfRule type="expression" dxfId="460" priority="540" stopIfTrue="1">
      <formula>IF(OR(GS58="OK"),FALSE,TRUE)</formula>
    </cfRule>
  </conditionalFormatting>
  <conditionalFormatting sqref="GR58">
    <cfRule type="expression" dxfId="459" priority="538" stopIfTrue="1">
      <formula>IF(GQ$8="判定対象外",TRUE,FALSE)</formula>
    </cfRule>
  </conditionalFormatting>
  <conditionalFormatting sqref="GQ58">
    <cfRule type="expression" dxfId="458" priority="537" stopIfTrue="1">
      <formula>IF(GQ$8="判定対象外",TRUE,FALSE)</formula>
    </cfRule>
  </conditionalFormatting>
  <conditionalFormatting sqref="GS67">
    <cfRule type="expression" dxfId="457" priority="499" stopIfTrue="1">
      <formula>IF(GS67="-",TRUE,FALSE)</formula>
    </cfRule>
    <cfRule type="expression" dxfId="456" priority="500" stopIfTrue="1">
      <formula>IF(OR(GS67="OK"),FALSE,TRUE)</formula>
    </cfRule>
  </conditionalFormatting>
  <conditionalFormatting sqref="GR67">
    <cfRule type="expression" dxfId="455" priority="498" stopIfTrue="1">
      <formula>IF(GQ$8="判定対象外",TRUE,FALSE)</formula>
    </cfRule>
  </conditionalFormatting>
  <conditionalFormatting sqref="GQ67">
    <cfRule type="expression" dxfId="454" priority="497" stopIfTrue="1">
      <formula>IF(GQ$8="判定対象外",TRUE,FALSE)</formula>
    </cfRule>
  </conditionalFormatting>
  <conditionalFormatting sqref="GP68">
    <cfRule type="expression" dxfId="453" priority="491" stopIfTrue="1">
      <formula>IF(GQ$8="判定対象外",TRUE,FALSE)</formula>
    </cfRule>
  </conditionalFormatting>
  <conditionalFormatting sqref="GS68">
    <cfRule type="expression" dxfId="452" priority="489" stopIfTrue="1">
      <formula>IF(GS68="-",TRUE,FALSE)</formula>
    </cfRule>
    <cfRule type="expression" dxfId="451" priority="490" stopIfTrue="1">
      <formula>IF(OR(GS68="OK"),FALSE,TRUE)</formula>
    </cfRule>
  </conditionalFormatting>
  <conditionalFormatting sqref="GR68">
    <cfRule type="expression" dxfId="450" priority="488" stopIfTrue="1">
      <formula>IF(GQ$8="判定対象外",TRUE,FALSE)</formula>
    </cfRule>
  </conditionalFormatting>
  <conditionalFormatting sqref="GQ68">
    <cfRule type="expression" dxfId="449" priority="487" stopIfTrue="1">
      <formula>IF(GQ$8="判定対象外",TRUE,FALSE)</formula>
    </cfRule>
  </conditionalFormatting>
  <conditionalFormatting sqref="GP67">
    <cfRule type="expression" dxfId="448" priority="486" stopIfTrue="1">
      <formula>IF(GQ$8="判定対象外",TRUE,FALSE)</formula>
    </cfRule>
  </conditionalFormatting>
  <conditionalFormatting sqref="GS67">
    <cfRule type="expression" dxfId="447" priority="484" stopIfTrue="1">
      <formula>IF(GS67="-",TRUE,FALSE)</formula>
    </cfRule>
    <cfRule type="expression" dxfId="446" priority="485" stopIfTrue="1">
      <formula>IF(OR(GS67="OK"),FALSE,TRUE)</formula>
    </cfRule>
  </conditionalFormatting>
  <conditionalFormatting sqref="GR67">
    <cfRule type="expression" dxfId="445" priority="483" stopIfTrue="1">
      <formula>IF(GQ$8="判定対象外",TRUE,FALSE)</formula>
    </cfRule>
  </conditionalFormatting>
  <conditionalFormatting sqref="GQ67">
    <cfRule type="expression" dxfId="444" priority="482" stopIfTrue="1">
      <formula>IF(GQ$8="判定対象外",TRUE,FALSE)</formula>
    </cfRule>
  </conditionalFormatting>
  <conditionalFormatting sqref="GP69">
    <cfRule type="expression" dxfId="443" priority="481" stopIfTrue="1">
      <formula>IF(GQ$8="判定対象外",TRUE,FALSE)</formula>
    </cfRule>
  </conditionalFormatting>
  <conditionalFormatting sqref="GP69">
    <cfRule type="expression" dxfId="442" priority="475" stopIfTrue="1">
      <formula>IF(GQ$8="判定対象外",TRUE,FALSE)</formula>
    </cfRule>
  </conditionalFormatting>
  <conditionalFormatting sqref="GS69">
    <cfRule type="expression" dxfId="441" priority="473" stopIfTrue="1">
      <formula>IF(GS69="-",TRUE,FALSE)</formula>
    </cfRule>
    <cfRule type="expression" dxfId="440" priority="474" stopIfTrue="1">
      <formula>IF(OR(GS69="OK"),FALSE,TRUE)</formula>
    </cfRule>
  </conditionalFormatting>
  <conditionalFormatting sqref="GR69">
    <cfRule type="expression" dxfId="439" priority="472" stopIfTrue="1">
      <formula>IF(GQ$8="判定対象外",TRUE,FALSE)</formula>
    </cfRule>
  </conditionalFormatting>
  <conditionalFormatting sqref="GQ69">
    <cfRule type="expression" dxfId="438" priority="471" stopIfTrue="1">
      <formula>IF(GQ$8="判定対象外",TRUE,FALSE)</formula>
    </cfRule>
  </conditionalFormatting>
  <conditionalFormatting sqref="GP68">
    <cfRule type="expression" dxfId="437" priority="470" stopIfTrue="1">
      <formula>IF(GQ$8="判定対象外",TRUE,FALSE)</formula>
    </cfRule>
  </conditionalFormatting>
  <conditionalFormatting sqref="GS68">
    <cfRule type="expression" dxfId="436" priority="468" stopIfTrue="1">
      <formula>IF(GS68="-",TRUE,FALSE)</formula>
    </cfRule>
    <cfRule type="expression" dxfId="435" priority="469" stopIfTrue="1">
      <formula>IF(OR(GS68="OK"),FALSE,TRUE)</formula>
    </cfRule>
  </conditionalFormatting>
  <conditionalFormatting sqref="GR68">
    <cfRule type="expression" dxfId="434" priority="467" stopIfTrue="1">
      <formula>IF(GQ$8="判定対象外",TRUE,FALSE)</formula>
    </cfRule>
  </conditionalFormatting>
  <conditionalFormatting sqref="GQ68">
    <cfRule type="expression" dxfId="433" priority="466" stopIfTrue="1">
      <formula>IF(GQ$8="判定対象外",TRUE,FALSE)</formula>
    </cfRule>
  </conditionalFormatting>
  <conditionalFormatting sqref="GP69">
    <cfRule type="expression" dxfId="432" priority="465" stopIfTrue="1">
      <formula>IF(GQ$8="判定対象外",TRUE,FALSE)</formula>
    </cfRule>
  </conditionalFormatting>
  <conditionalFormatting sqref="GP70">
    <cfRule type="expression" dxfId="431" priority="464" stopIfTrue="1">
      <formula>IF(GQ$8="判定対象外",TRUE,FALSE)</formula>
    </cfRule>
  </conditionalFormatting>
  <conditionalFormatting sqref="GP69">
    <cfRule type="expression" dxfId="430" priority="463" stopIfTrue="1">
      <formula>IF(GQ$8="判定対象外",TRUE,FALSE)</formula>
    </cfRule>
  </conditionalFormatting>
  <conditionalFormatting sqref="GS69">
    <cfRule type="expression" dxfId="429" priority="461" stopIfTrue="1">
      <formula>IF(GS69="-",TRUE,FALSE)</formula>
    </cfRule>
    <cfRule type="expression" dxfId="428" priority="462" stopIfTrue="1">
      <formula>IF(OR(GS69="OK"),FALSE,TRUE)</formula>
    </cfRule>
  </conditionalFormatting>
  <conditionalFormatting sqref="GR69">
    <cfRule type="expression" dxfId="427" priority="460" stopIfTrue="1">
      <formula>IF(GQ$8="判定対象外",TRUE,FALSE)</formula>
    </cfRule>
  </conditionalFormatting>
  <conditionalFormatting sqref="GQ69">
    <cfRule type="expression" dxfId="426" priority="459" stopIfTrue="1">
      <formula>IF(GQ$8="判定対象外",TRUE,FALSE)</formula>
    </cfRule>
  </conditionalFormatting>
  <conditionalFormatting sqref="GP70">
    <cfRule type="expression" dxfId="425" priority="458" stopIfTrue="1">
      <formula>IF(GQ$8="判定対象外",TRUE,FALSE)</formula>
    </cfRule>
  </conditionalFormatting>
  <conditionalFormatting sqref="GP70">
    <cfRule type="expression" dxfId="424" priority="452" stopIfTrue="1">
      <formula>IF(GQ$8="判定対象外",TRUE,FALSE)</formula>
    </cfRule>
  </conditionalFormatting>
  <conditionalFormatting sqref="GS70">
    <cfRule type="expression" dxfId="423" priority="450" stopIfTrue="1">
      <formula>IF(GS70="-",TRUE,FALSE)</formula>
    </cfRule>
    <cfRule type="expression" dxfId="422" priority="451" stopIfTrue="1">
      <formula>IF(OR(GS70="OK"),FALSE,TRUE)</formula>
    </cfRule>
  </conditionalFormatting>
  <conditionalFormatting sqref="GR70">
    <cfRule type="expression" dxfId="421" priority="449" stopIfTrue="1">
      <formula>IF(GQ$8="判定対象外",TRUE,FALSE)</formula>
    </cfRule>
  </conditionalFormatting>
  <conditionalFormatting sqref="GQ70">
    <cfRule type="expression" dxfId="420" priority="448" stopIfTrue="1">
      <formula>IF(GQ$8="判定対象外",TRUE,FALSE)</formula>
    </cfRule>
  </conditionalFormatting>
  <conditionalFormatting sqref="GP69">
    <cfRule type="expression" dxfId="419" priority="447" stopIfTrue="1">
      <formula>IF(GQ$8="判定対象外",TRUE,FALSE)</formula>
    </cfRule>
  </conditionalFormatting>
  <conditionalFormatting sqref="GS69">
    <cfRule type="expression" dxfId="418" priority="445" stopIfTrue="1">
      <formula>IF(GS69="-",TRUE,FALSE)</formula>
    </cfRule>
    <cfRule type="expression" dxfId="417" priority="446" stopIfTrue="1">
      <formula>IF(OR(GS69="OK"),FALSE,TRUE)</formula>
    </cfRule>
  </conditionalFormatting>
  <conditionalFormatting sqref="GR69">
    <cfRule type="expression" dxfId="416" priority="444" stopIfTrue="1">
      <formula>IF(GQ$8="判定対象外",TRUE,FALSE)</formula>
    </cfRule>
  </conditionalFormatting>
  <conditionalFormatting sqref="GQ69">
    <cfRule type="expression" dxfId="415" priority="443" stopIfTrue="1">
      <formula>IF(GQ$8="判定対象外",TRUE,FALSE)</formula>
    </cfRule>
  </conditionalFormatting>
  <conditionalFormatting sqref="GP70">
    <cfRule type="expression" dxfId="414" priority="441" stopIfTrue="1">
      <formula>IF(GQ$8="判定対象外",TRUE,FALSE)</formula>
    </cfRule>
  </conditionalFormatting>
  <conditionalFormatting sqref="GP70">
    <cfRule type="expression" dxfId="413" priority="440" stopIfTrue="1">
      <formula>IF(GQ$8="判定対象外",TRUE,FALSE)</formula>
    </cfRule>
  </conditionalFormatting>
  <conditionalFormatting sqref="GP70">
    <cfRule type="expression" dxfId="412" priority="439" stopIfTrue="1">
      <formula>IF(GQ$8="判定対象外",TRUE,FALSE)</formula>
    </cfRule>
  </conditionalFormatting>
  <conditionalFormatting sqref="GS70">
    <cfRule type="expression" dxfId="411" priority="437" stopIfTrue="1">
      <formula>IF(GS70="-",TRUE,FALSE)</formula>
    </cfRule>
    <cfRule type="expression" dxfId="410" priority="438" stopIfTrue="1">
      <formula>IF(OR(GS70="OK"),FALSE,TRUE)</formula>
    </cfRule>
  </conditionalFormatting>
  <conditionalFormatting sqref="GR70">
    <cfRule type="expression" dxfId="409" priority="436" stopIfTrue="1">
      <formula>IF(GQ$8="判定対象外",TRUE,FALSE)</formula>
    </cfRule>
  </conditionalFormatting>
  <conditionalFormatting sqref="GQ70">
    <cfRule type="expression" dxfId="408" priority="435" stopIfTrue="1">
      <formula>IF(GQ$8="判定対象外",TRUE,FALSE)</formula>
    </cfRule>
  </conditionalFormatting>
  <conditionalFormatting sqref="GP70">
    <cfRule type="expression" dxfId="407" priority="434" stopIfTrue="1">
      <formula>IF(GQ$8="判定対象外",TRUE,FALSE)</formula>
    </cfRule>
  </conditionalFormatting>
  <conditionalFormatting sqref="GP70">
    <cfRule type="expression" dxfId="406" priority="432" stopIfTrue="1">
      <formula>IF(GQ$8="判定対象外",TRUE,FALSE)</formula>
    </cfRule>
  </conditionalFormatting>
  <conditionalFormatting sqref="GS70">
    <cfRule type="expression" dxfId="405" priority="430" stopIfTrue="1">
      <formula>IF(GS70="-",TRUE,FALSE)</formula>
    </cfRule>
    <cfRule type="expression" dxfId="404" priority="431" stopIfTrue="1">
      <formula>IF(OR(GS70="OK"),FALSE,TRUE)</formula>
    </cfRule>
  </conditionalFormatting>
  <conditionalFormatting sqref="GR70">
    <cfRule type="expression" dxfId="403" priority="429" stopIfTrue="1">
      <formula>IF(GQ$8="判定対象外",TRUE,FALSE)</formula>
    </cfRule>
  </conditionalFormatting>
  <conditionalFormatting sqref="GQ70">
    <cfRule type="expression" dxfId="402" priority="428" stopIfTrue="1">
      <formula>IF(GQ$8="判定対象外",TRUE,FALSE)</formula>
    </cfRule>
  </conditionalFormatting>
  <conditionalFormatting sqref="GS71">
    <cfRule type="expression" dxfId="401" priority="419" stopIfTrue="1">
      <formula>IF(GS71="-",TRUE,FALSE)</formula>
    </cfRule>
    <cfRule type="expression" dxfId="400" priority="420" stopIfTrue="1">
      <formula>IF(OR(GS71="OK"),FALSE,TRUE)</formula>
    </cfRule>
  </conditionalFormatting>
  <conditionalFormatting sqref="GR71">
    <cfRule type="expression" dxfId="399" priority="418" stopIfTrue="1">
      <formula>IF(GQ$8="判定対象外",TRUE,FALSE)</formula>
    </cfRule>
  </conditionalFormatting>
  <conditionalFormatting sqref="GQ71">
    <cfRule type="expression" dxfId="398" priority="417" stopIfTrue="1">
      <formula>IF(GQ$8="判定対象外",TRUE,FALSE)</formula>
    </cfRule>
  </conditionalFormatting>
  <conditionalFormatting sqref="GP70">
    <cfRule type="expression" dxfId="397" priority="416" stopIfTrue="1">
      <formula>IF(GQ$8="判定対象外",TRUE,FALSE)</formula>
    </cfRule>
  </conditionalFormatting>
  <conditionalFormatting sqref="GS70">
    <cfRule type="expression" dxfId="396" priority="414" stopIfTrue="1">
      <formula>IF(GS70="-",TRUE,FALSE)</formula>
    </cfRule>
    <cfRule type="expression" dxfId="395" priority="415" stopIfTrue="1">
      <formula>IF(OR(GS70="OK"),FALSE,TRUE)</formula>
    </cfRule>
  </conditionalFormatting>
  <conditionalFormatting sqref="GR70">
    <cfRule type="expression" dxfId="394" priority="413" stopIfTrue="1">
      <formula>IF(GQ$8="判定対象外",TRUE,FALSE)</formula>
    </cfRule>
  </conditionalFormatting>
  <conditionalFormatting sqref="GQ70">
    <cfRule type="expression" dxfId="393" priority="412" stopIfTrue="1">
      <formula>IF(GQ$8="判定対象外",TRUE,FALSE)</formula>
    </cfRule>
  </conditionalFormatting>
  <conditionalFormatting sqref="GP71">
    <cfRule type="expression" dxfId="392" priority="393" stopIfTrue="1">
      <formula>IF(GQ$8="判定対象外",TRUE,FALSE)</formula>
    </cfRule>
  </conditionalFormatting>
  <conditionalFormatting sqref="AT59">
    <cfRule type="expression" dxfId="391" priority="392" stopIfTrue="1">
      <formula>IF(AU$8="判定対象外",TRUE,FALSE)</formula>
    </cfRule>
  </conditionalFormatting>
  <conditionalFormatting sqref="BF60">
    <cfRule type="expression" dxfId="390" priority="391" stopIfTrue="1">
      <formula>IF(BG$8="判定対象外",TRUE,FALSE)</formula>
    </cfRule>
  </conditionalFormatting>
  <conditionalFormatting sqref="BR61">
    <cfRule type="expression" dxfId="389" priority="390" stopIfTrue="1">
      <formula>IF(BS$8="判定対象外",TRUE,FALSE)</formula>
    </cfRule>
  </conditionalFormatting>
  <conditionalFormatting sqref="CD62">
    <cfRule type="expression" dxfId="388" priority="389" stopIfTrue="1">
      <formula>IF(CE$8="判定対象外",TRUE,FALSE)</formula>
    </cfRule>
  </conditionalFormatting>
  <conditionalFormatting sqref="CP63">
    <cfRule type="expression" dxfId="387" priority="388" stopIfTrue="1">
      <formula>IF(CQ$8="判定対象外",TRUE,FALSE)</formula>
    </cfRule>
  </conditionalFormatting>
  <conditionalFormatting sqref="DB64">
    <cfRule type="expression" dxfId="386" priority="387" stopIfTrue="1">
      <formula>IF(DC$8="判定対象外",TRUE,FALSE)</formula>
    </cfRule>
  </conditionalFormatting>
  <conditionalFormatting sqref="DN65">
    <cfRule type="expression" dxfId="385" priority="386" stopIfTrue="1">
      <formula>IF(DO$8="判定対象外",TRUE,FALSE)</formula>
    </cfRule>
  </conditionalFormatting>
  <conditionalFormatting sqref="DZ66">
    <cfRule type="expression" dxfId="384" priority="385" stopIfTrue="1">
      <formula>IF(EA$8="判定対象外",TRUE,FALSE)</formula>
    </cfRule>
  </conditionalFormatting>
  <conditionalFormatting sqref="EL67">
    <cfRule type="expression" dxfId="383" priority="384" stopIfTrue="1">
      <formula>IF(EM$8="判定対象外",TRUE,FALSE)</formula>
    </cfRule>
  </conditionalFormatting>
  <conditionalFormatting sqref="EX68">
    <cfRule type="expression" dxfId="382" priority="383" stopIfTrue="1">
      <formula>IF(EY$8="判定対象外",TRUE,FALSE)</formula>
    </cfRule>
  </conditionalFormatting>
  <conditionalFormatting sqref="FJ69">
    <cfRule type="expression" dxfId="381" priority="382" stopIfTrue="1">
      <formula>IF(FK$8="判定対象外",TRUE,FALSE)</formula>
    </cfRule>
  </conditionalFormatting>
  <conditionalFormatting sqref="FV70">
    <cfRule type="expression" dxfId="380" priority="381" stopIfTrue="1">
      <formula>IF(FW$8="判定対象外",TRUE,FALSE)</formula>
    </cfRule>
  </conditionalFormatting>
  <conditionalFormatting sqref="GH71">
    <cfRule type="expression" dxfId="379" priority="380" stopIfTrue="1">
      <formula>IF(GI$8="判定対象外",TRUE,FALSE)</formula>
    </cfRule>
  </conditionalFormatting>
  <conditionalFormatting sqref="BQ35">
    <cfRule type="expression" dxfId="378" priority="378" stopIfTrue="1">
      <formula>IF(BQ35="-",TRUE,FALSE)</formula>
    </cfRule>
    <cfRule type="expression" dxfId="377" priority="379" stopIfTrue="1">
      <formula>IF(OR(BQ35="OK"),FALSE,TRUE)</formula>
    </cfRule>
  </conditionalFormatting>
  <conditionalFormatting sqref="BP35">
    <cfRule type="expression" dxfId="376" priority="377" stopIfTrue="1">
      <formula>IF(BO$8="判定対象外",TRUE,FALSE)</formula>
    </cfRule>
  </conditionalFormatting>
  <conditionalFormatting sqref="BN35">
    <cfRule type="expression" dxfId="375" priority="376" stopIfTrue="1">
      <formula>IF(BO$8="判定対象外",TRUE,FALSE)</formula>
    </cfRule>
  </conditionalFormatting>
  <conditionalFormatting sqref="BO35">
    <cfRule type="expression" dxfId="374" priority="375" stopIfTrue="1">
      <formula>IF(BO$8="判定対象外",TRUE,FALSE)</formula>
    </cfRule>
  </conditionalFormatting>
  <conditionalFormatting sqref="BU35">
    <cfRule type="expression" dxfId="373" priority="373" stopIfTrue="1">
      <formula>IF(BU35="-",TRUE,FALSE)</formula>
    </cfRule>
    <cfRule type="expression" dxfId="372" priority="374" stopIfTrue="1">
      <formula>IF(OR(BU35="OK"),FALSE,TRUE)</formula>
    </cfRule>
  </conditionalFormatting>
  <conditionalFormatting sqref="BT35">
    <cfRule type="expression" dxfId="371" priority="372" stopIfTrue="1">
      <formula>IF(BS$8="判定対象外",TRUE,FALSE)</formula>
    </cfRule>
  </conditionalFormatting>
  <conditionalFormatting sqref="BR35">
    <cfRule type="expression" dxfId="370" priority="371" stopIfTrue="1">
      <formula>IF(BS$8="判定対象外",TRUE,FALSE)</formula>
    </cfRule>
  </conditionalFormatting>
  <conditionalFormatting sqref="BS35">
    <cfRule type="expression" dxfId="369" priority="370" stopIfTrue="1">
      <formula>IF(BS$8="判定対象外",TRUE,FALSE)</formula>
    </cfRule>
  </conditionalFormatting>
  <conditionalFormatting sqref="BY35">
    <cfRule type="expression" dxfId="368" priority="368" stopIfTrue="1">
      <formula>IF(BY35="-",TRUE,FALSE)</formula>
    </cfRule>
    <cfRule type="expression" dxfId="367" priority="369" stopIfTrue="1">
      <formula>IF(OR(BY35="OK"),FALSE,TRUE)</formula>
    </cfRule>
  </conditionalFormatting>
  <conditionalFormatting sqref="BX35">
    <cfRule type="expression" dxfId="366" priority="367" stopIfTrue="1">
      <formula>IF(BW$8="判定対象外",TRUE,FALSE)</formula>
    </cfRule>
  </conditionalFormatting>
  <conditionalFormatting sqref="BV35">
    <cfRule type="expression" dxfId="365" priority="366" stopIfTrue="1">
      <formula>IF(BW$8="判定対象外",TRUE,FALSE)</formula>
    </cfRule>
  </conditionalFormatting>
  <conditionalFormatting sqref="BW35">
    <cfRule type="expression" dxfId="364" priority="365" stopIfTrue="1">
      <formula>IF(BW$8="判定対象外",TRUE,FALSE)</formula>
    </cfRule>
  </conditionalFormatting>
  <conditionalFormatting sqref="CC35">
    <cfRule type="expression" dxfId="363" priority="363" stopIfTrue="1">
      <formula>IF(CC35="-",TRUE,FALSE)</formula>
    </cfRule>
    <cfRule type="expression" dxfId="362" priority="364" stopIfTrue="1">
      <formula>IF(OR(CC35="OK"),FALSE,TRUE)</formula>
    </cfRule>
  </conditionalFormatting>
  <conditionalFormatting sqref="CB35">
    <cfRule type="expression" dxfId="361" priority="362" stopIfTrue="1">
      <formula>IF(CA$8="判定対象外",TRUE,FALSE)</formula>
    </cfRule>
  </conditionalFormatting>
  <conditionalFormatting sqref="BZ35">
    <cfRule type="expression" dxfId="360" priority="361" stopIfTrue="1">
      <formula>IF(CA$8="判定対象外",TRUE,FALSE)</formula>
    </cfRule>
  </conditionalFormatting>
  <conditionalFormatting sqref="CA35">
    <cfRule type="expression" dxfId="359" priority="360" stopIfTrue="1">
      <formula>IF(CA$8="判定対象外",TRUE,FALSE)</formula>
    </cfRule>
  </conditionalFormatting>
  <conditionalFormatting sqref="CG35">
    <cfRule type="expression" dxfId="358" priority="358" stopIfTrue="1">
      <formula>IF(CG35="-",TRUE,FALSE)</formula>
    </cfRule>
    <cfRule type="expression" dxfId="357" priority="359" stopIfTrue="1">
      <formula>IF(OR(CG35="OK"),FALSE,TRUE)</formula>
    </cfRule>
  </conditionalFormatting>
  <conditionalFormatting sqref="CF35">
    <cfRule type="expression" dxfId="356" priority="357" stopIfTrue="1">
      <formula>IF(CE$8="判定対象外",TRUE,FALSE)</formula>
    </cfRule>
  </conditionalFormatting>
  <conditionalFormatting sqref="CD35">
    <cfRule type="expression" dxfId="355" priority="356" stopIfTrue="1">
      <formula>IF(CE$8="判定対象外",TRUE,FALSE)</formula>
    </cfRule>
  </conditionalFormatting>
  <conditionalFormatting sqref="CE35">
    <cfRule type="expression" dxfId="354" priority="355" stopIfTrue="1">
      <formula>IF(CE$8="判定対象外",TRUE,FALSE)</formula>
    </cfRule>
  </conditionalFormatting>
  <conditionalFormatting sqref="CK35">
    <cfRule type="expression" dxfId="353" priority="353" stopIfTrue="1">
      <formula>IF(CK35="-",TRUE,FALSE)</formula>
    </cfRule>
    <cfRule type="expression" dxfId="352" priority="354" stopIfTrue="1">
      <formula>IF(OR(CK35="OK"),FALSE,TRUE)</formula>
    </cfRule>
  </conditionalFormatting>
  <conditionalFormatting sqref="CJ35">
    <cfRule type="expression" dxfId="351" priority="352" stopIfTrue="1">
      <formula>IF(CI$8="判定対象外",TRUE,FALSE)</formula>
    </cfRule>
  </conditionalFormatting>
  <conditionalFormatting sqref="CH35">
    <cfRule type="expression" dxfId="350" priority="351" stopIfTrue="1">
      <formula>IF(CI$8="判定対象外",TRUE,FALSE)</formula>
    </cfRule>
  </conditionalFormatting>
  <conditionalFormatting sqref="CI35">
    <cfRule type="expression" dxfId="349" priority="350" stopIfTrue="1">
      <formula>IF(CI$8="判定対象外",TRUE,FALSE)</formula>
    </cfRule>
  </conditionalFormatting>
  <conditionalFormatting sqref="CO35">
    <cfRule type="expression" dxfId="348" priority="348" stopIfTrue="1">
      <formula>IF(CO35="-",TRUE,FALSE)</formula>
    </cfRule>
    <cfRule type="expression" dxfId="347" priority="349" stopIfTrue="1">
      <formula>IF(OR(CO35="OK"),FALSE,TRUE)</formula>
    </cfRule>
  </conditionalFormatting>
  <conditionalFormatting sqref="CN35">
    <cfRule type="expression" dxfId="346" priority="347" stopIfTrue="1">
      <formula>IF(CM$8="判定対象外",TRUE,FALSE)</formula>
    </cfRule>
  </conditionalFormatting>
  <conditionalFormatting sqref="CL35">
    <cfRule type="expression" dxfId="345" priority="346" stopIfTrue="1">
      <formula>IF(CM$8="判定対象外",TRUE,FALSE)</formula>
    </cfRule>
  </conditionalFormatting>
  <conditionalFormatting sqref="CM35">
    <cfRule type="expression" dxfId="344" priority="345" stopIfTrue="1">
      <formula>IF(CM$8="判定対象外",TRUE,FALSE)</formula>
    </cfRule>
  </conditionalFormatting>
  <conditionalFormatting sqref="CS35">
    <cfRule type="expression" dxfId="343" priority="343" stopIfTrue="1">
      <formula>IF(CS35="-",TRUE,FALSE)</formula>
    </cfRule>
    <cfRule type="expression" dxfId="342" priority="344" stopIfTrue="1">
      <formula>IF(OR(CS35="OK"),FALSE,TRUE)</formula>
    </cfRule>
  </conditionalFormatting>
  <conditionalFormatting sqref="CR35">
    <cfRule type="expression" dxfId="341" priority="342" stopIfTrue="1">
      <formula>IF(CQ$8="判定対象外",TRUE,FALSE)</formula>
    </cfRule>
  </conditionalFormatting>
  <conditionalFormatting sqref="CP35">
    <cfRule type="expression" dxfId="340" priority="341" stopIfTrue="1">
      <formula>IF(CQ$8="判定対象外",TRUE,FALSE)</formula>
    </cfRule>
  </conditionalFormatting>
  <conditionalFormatting sqref="CQ35">
    <cfRule type="expression" dxfId="339" priority="340" stopIfTrue="1">
      <formula>IF(CQ$8="判定対象外",TRUE,FALSE)</formula>
    </cfRule>
  </conditionalFormatting>
  <conditionalFormatting sqref="CW35">
    <cfRule type="expression" dxfId="338" priority="338" stopIfTrue="1">
      <formula>IF(CW35="-",TRUE,FALSE)</formula>
    </cfRule>
    <cfRule type="expression" dxfId="337" priority="339" stopIfTrue="1">
      <formula>IF(OR(CW35="OK"),FALSE,TRUE)</formula>
    </cfRule>
  </conditionalFormatting>
  <conditionalFormatting sqref="CV35">
    <cfRule type="expression" dxfId="336" priority="337" stopIfTrue="1">
      <formula>IF(CU$8="判定対象外",TRUE,FALSE)</formula>
    </cfRule>
  </conditionalFormatting>
  <conditionalFormatting sqref="CT35">
    <cfRule type="expression" dxfId="335" priority="336" stopIfTrue="1">
      <formula>IF(CU$8="判定対象外",TRUE,FALSE)</formula>
    </cfRule>
  </conditionalFormatting>
  <conditionalFormatting sqref="CU35">
    <cfRule type="expression" dxfId="334" priority="335" stopIfTrue="1">
      <formula>IF(CU$8="判定対象外",TRUE,FALSE)</formula>
    </cfRule>
  </conditionalFormatting>
  <conditionalFormatting sqref="DE35">
    <cfRule type="expression" dxfId="333" priority="333" stopIfTrue="1">
      <formula>IF(DE35="-",TRUE,FALSE)</formula>
    </cfRule>
    <cfRule type="expression" dxfId="332" priority="334" stopIfTrue="1">
      <formula>IF(OR(DE35="OK"),FALSE,TRUE)</formula>
    </cfRule>
  </conditionalFormatting>
  <conditionalFormatting sqref="DD35">
    <cfRule type="expression" dxfId="331" priority="332" stopIfTrue="1">
      <formula>IF(DC$8="判定対象外",TRUE,FALSE)</formula>
    </cfRule>
  </conditionalFormatting>
  <conditionalFormatting sqref="DB35">
    <cfRule type="expression" dxfId="330" priority="331" stopIfTrue="1">
      <formula>IF(DC$8="判定対象外",TRUE,FALSE)</formula>
    </cfRule>
  </conditionalFormatting>
  <conditionalFormatting sqref="DC35">
    <cfRule type="expression" dxfId="329" priority="330" stopIfTrue="1">
      <formula>IF(DC$8="判定対象外",TRUE,FALSE)</formula>
    </cfRule>
  </conditionalFormatting>
  <conditionalFormatting sqref="DI35">
    <cfRule type="expression" dxfId="328" priority="328" stopIfTrue="1">
      <formula>IF(DI35="-",TRUE,FALSE)</formula>
    </cfRule>
    <cfRule type="expression" dxfId="327" priority="329" stopIfTrue="1">
      <formula>IF(OR(DI35="OK"),FALSE,TRUE)</formula>
    </cfRule>
  </conditionalFormatting>
  <conditionalFormatting sqref="DH35">
    <cfRule type="expression" dxfId="326" priority="327" stopIfTrue="1">
      <formula>IF(DG$8="判定対象外",TRUE,FALSE)</formula>
    </cfRule>
  </conditionalFormatting>
  <conditionalFormatting sqref="DF35">
    <cfRule type="expression" dxfId="325" priority="326" stopIfTrue="1">
      <formula>IF(DG$8="判定対象外",TRUE,FALSE)</formula>
    </cfRule>
  </conditionalFormatting>
  <conditionalFormatting sqref="DG35">
    <cfRule type="expression" dxfId="324" priority="325" stopIfTrue="1">
      <formula>IF(DG$8="判定対象外",TRUE,FALSE)</formula>
    </cfRule>
  </conditionalFormatting>
  <conditionalFormatting sqref="DM35">
    <cfRule type="expression" dxfId="323" priority="323" stopIfTrue="1">
      <formula>IF(DM35="-",TRUE,FALSE)</formula>
    </cfRule>
    <cfRule type="expression" dxfId="322" priority="324" stopIfTrue="1">
      <formula>IF(OR(DM35="OK"),FALSE,TRUE)</formula>
    </cfRule>
  </conditionalFormatting>
  <conditionalFormatting sqref="DL35">
    <cfRule type="expression" dxfId="321" priority="322" stopIfTrue="1">
      <formula>IF(DK$8="判定対象外",TRUE,FALSE)</formula>
    </cfRule>
  </conditionalFormatting>
  <conditionalFormatting sqref="DJ35">
    <cfRule type="expression" dxfId="320" priority="321" stopIfTrue="1">
      <formula>IF(DK$8="判定対象外",TRUE,FALSE)</formula>
    </cfRule>
  </conditionalFormatting>
  <conditionalFormatting sqref="DK35">
    <cfRule type="expression" dxfId="319" priority="320" stopIfTrue="1">
      <formula>IF(DK$8="判定対象外",TRUE,FALSE)</formula>
    </cfRule>
  </conditionalFormatting>
  <conditionalFormatting sqref="DQ35">
    <cfRule type="expression" dxfId="318" priority="318" stopIfTrue="1">
      <formula>IF(DQ35="-",TRUE,FALSE)</formula>
    </cfRule>
    <cfRule type="expression" dxfId="317" priority="319" stopIfTrue="1">
      <formula>IF(OR(DQ35="OK"),FALSE,TRUE)</formula>
    </cfRule>
  </conditionalFormatting>
  <conditionalFormatting sqref="DP35">
    <cfRule type="expression" dxfId="316" priority="317" stopIfTrue="1">
      <formula>IF(DO$8="判定対象外",TRUE,FALSE)</formula>
    </cfRule>
  </conditionalFormatting>
  <conditionalFormatting sqref="DN35">
    <cfRule type="expression" dxfId="315" priority="316" stopIfTrue="1">
      <formula>IF(DO$8="判定対象外",TRUE,FALSE)</formula>
    </cfRule>
  </conditionalFormatting>
  <conditionalFormatting sqref="DO35">
    <cfRule type="expression" dxfId="314" priority="315" stopIfTrue="1">
      <formula>IF(DO$8="判定対象外",TRUE,FALSE)</formula>
    </cfRule>
  </conditionalFormatting>
  <conditionalFormatting sqref="DU35">
    <cfRule type="expression" dxfId="313" priority="313" stopIfTrue="1">
      <formula>IF(DU35="-",TRUE,FALSE)</formula>
    </cfRule>
    <cfRule type="expression" dxfId="312" priority="314" stopIfTrue="1">
      <formula>IF(OR(DU35="OK"),FALSE,TRUE)</formula>
    </cfRule>
  </conditionalFormatting>
  <conditionalFormatting sqref="DT35">
    <cfRule type="expression" dxfId="311" priority="312" stopIfTrue="1">
      <formula>IF(DS$8="判定対象外",TRUE,FALSE)</formula>
    </cfRule>
  </conditionalFormatting>
  <conditionalFormatting sqref="DR35">
    <cfRule type="expression" dxfId="310" priority="311" stopIfTrue="1">
      <formula>IF(DS$8="判定対象外",TRUE,FALSE)</formula>
    </cfRule>
  </conditionalFormatting>
  <conditionalFormatting sqref="DS35">
    <cfRule type="expression" dxfId="309" priority="310" stopIfTrue="1">
      <formula>IF(DS$8="判定対象外",TRUE,FALSE)</formula>
    </cfRule>
  </conditionalFormatting>
  <conditionalFormatting sqref="DY35">
    <cfRule type="expression" dxfId="308" priority="308" stopIfTrue="1">
      <formula>IF(DY35="-",TRUE,FALSE)</formula>
    </cfRule>
    <cfRule type="expression" dxfId="307" priority="309" stopIfTrue="1">
      <formula>IF(OR(DY35="OK"),FALSE,TRUE)</formula>
    </cfRule>
  </conditionalFormatting>
  <conditionalFormatting sqref="DX35">
    <cfRule type="expression" dxfId="306" priority="307" stopIfTrue="1">
      <formula>IF(DW$8="判定対象外",TRUE,FALSE)</formula>
    </cfRule>
  </conditionalFormatting>
  <conditionalFormatting sqref="DV35">
    <cfRule type="expression" dxfId="305" priority="306" stopIfTrue="1">
      <formula>IF(DW$8="判定対象外",TRUE,FALSE)</formula>
    </cfRule>
  </conditionalFormatting>
  <conditionalFormatting sqref="DW35">
    <cfRule type="expression" dxfId="304" priority="305" stopIfTrue="1">
      <formula>IF(DW$8="判定対象外",TRUE,FALSE)</formula>
    </cfRule>
  </conditionalFormatting>
  <conditionalFormatting sqref="EC35">
    <cfRule type="expression" dxfId="303" priority="303" stopIfTrue="1">
      <formula>IF(EC35="-",TRUE,FALSE)</formula>
    </cfRule>
    <cfRule type="expression" dxfId="302" priority="304" stopIfTrue="1">
      <formula>IF(OR(EC35="OK"),FALSE,TRUE)</formula>
    </cfRule>
  </conditionalFormatting>
  <conditionalFormatting sqref="EB35">
    <cfRule type="expression" dxfId="301" priority="302" stopIfTrue="1">
      <formula>IF(EA$8="判定対象外",TRUE,FALSE)</formula>
    </cfRule>
  </conditionalFormatting>
  <conditionalFormatting sqref="DZ35">
    <cfRule type="expression" dxfId="300" priority="301" stopIfTrue="1">
      <formula>IF(EA$8="判定対象外",TRUE,FALSE)</formula>
    </cfRule>
  </conditionalFormatting>
  <conditionalFormatting sqref="EA35">
    <cfRule type="expression" dxfId="299" priority="300" stopIfTrue="1">
      <formula>IF(EA$8="判定対象外",TRUE,FALSE)</formula>
    </cfRule>
  </conditionalFormatting>
  <conditionalFormatting sqref="EG35">
    <cfRule type="expression" dxfId="298" priority="298" stopIfTrue="1">
      <formula>IF(EG35="-",TRUE,FALSE)</formula>
    </cfRule>
    <cfRule type="expression" dxfId="297" priority="299" stopIfTrue="1">
      <formula>IF(OR(EG35="OK"),FALSE,TRUE)</formula>
    </cfRule>
  </conditionalFormatting>
  <conditionalFormatting sqref="EF35">
    <cfRule type="expression" dxfId="296" priority="297" stopIfTrue="1">
      <formula>IF(EE$8="判定対象外",TRUE,FALSE)</formula>
    </cfRule>
  </conditionalFormatting>
  <conditionalFormatting sqref="ED35">
    <cfRule type="expression" dxfId="295" priority="296" stopIfTrue="1">
      <formula>IF(EE$8="判定対象外",TRUE,FALSE)</formula>
    </cfRule>
  </conditionalFormatting>
  <conditionalFormatting sqref="EE35">
    <cfRule type="expression" dxfId="294" priority="295" stopIfTrue="1">
      <formula>IF(EE$8="判定対象外",TRUE,FALSE)</formula>
    </cfRule>
  </conditionalFormatting>
  <conditionalFormatting sqref="EK35">
    <cfRule type="expression" dxfId="293" priority="293" stopIfTrue="1">
      <formula>IF(EK35="-",TRUE,FALSE)</formula>
    </cfRule>
    <cfRule type="expression" dxfId="292" priority="294" stopIfTrue="1">
      <formula>IF(OR(EK35="OK"),FALSE,TRUE)</formula>
    </cfRule>
  </conditionalFormatting>
  <conditionalFormatting sqref="EJ35">
    <cfRule type="expression" dxfId="291" priority="292" stopIfTrue="1">
      <formula>IF(EI$8="判定対象外",TRUE,FALSE)</formula>
    </cfRule>
  </conditionalFormatting>
  <conditionalFormatting sqref="EH35">
    <cfRule type="expression" dxfId="290" priority="291" stopIfTrue="1">
      <formula>IF(EI$8="判定対象外",TRUE,FALSE)</formula>
    </cfRule>
  </conditionalFormatting>
  <conditionalFormatting sqref="EI35">
    <cfRule type="expression" dxfId="289" priority="290" stopIfTrue="1">
      <formula>IF(EI$8="判定対象外",TRUE,FALSE)</formula>
    </cfRule>
  </conditionalFormatting>
  <conditionalFormatting sqref="FV35">
    <cfRule type="expression" dxfId="288" priority="289" stopIfTrue="1">
      <formula>IF(FW$8="判定対象外",TRUE,FALSE)</formula>
    </cfRule>
  </conditionalFormatting>
  <conditionalFormatting sqref="EO35">
    <cfRule type="expression" dxfId="287" priority="287" stopIfTrue="1">
      <formula>IF(EO35="-",TRUE,FALSE)</formula>
    </cfRule>
    <cfRule type="expression" dxfId="286" priority="288" stopIfTrue="1">
      <formula>IF(OR(EO35="OK"),FALSE,TRUE)</formula>
    </cfRule>
  </conditionalFormatting>
  <conditionalFormatting sqref="EN35">
    <cfRule type="expression" dxfId="285" priority="286" stopIfTrue="1">
      <formula>IF(EM$8="判定対象外",TRUE,FALSE)</formula>
    </cfRule>
  </conditionalFormatting>
  <conditionalFormatting sqref="EL35">
    <cfRule type="expression" dxfId="284" priority="285" stopIfTrue="1">
      <formula>IF(EM$8="判定対象外",TRUE,FALSE)</formula>
    </cfRule>
  </conditionalFormatting>
  <conditionalFormatting sqref="EM35">
    <cfRule type="expression" dxfId="283" priority="284" stopIfTrue="1">
      <formula>IF(EM$8="判定対象外",TRUE,FALSE)</formula>
    </cfRule>
  </conditionalFormatting>
  <conditionalFormatting sqref="ES35">
    <cfRule type="expression" dxfId="282" priority="282" stopIfTrue="1">
      <formula>IF(ES35="-",TRUE,FALSE)</formula>
    </cfRule>
    <cfRule type="expression" dxfId="281" priority="283" stopIfTrue="1">
      <formula>IF(OR(ES35="OK"),FALSE,TRUE)</formula>
    </cfRule>
  </conditionalFormatting>
  <conditionalFormatting sqref="ER35">
    <cfRule type="expression" dxfId="280" priority="281" stopIfTrue="1">
      <formula>IF(EQ$8="判定対象外",TRUE,FALSE)</formula>
    </cfRule>
  </conditionalFormatting>
  <conditionalFormatting sqref="EP35">
    <cfRule type="expression" dxfId="279" priority="280" stopIfTrue="1">
      <formula>IF(EQ$8="判定対象外",TRUE,FALSE)</formula>
    </cfRule>
  </conditionalFormatting>
  <conditionalFormatting sqref="EQ35">
    <cfRule type="expression" dxfId="278" priority="279" stopIfTrue="1">
      <formula>IF(EQ$8="判定対象外",TRUE,FALSE)</formula>
    </cfRule>
  </conditionalFormatting>
  <conditionalFormatting sqref="EW35">
    <cfRule type="expression" dxfId="277" priority="277" stopIfTrue="1">
      <formula>IF(EW35="-",TRUE,FALSE)</formula>
    </cfRule>
    <cfRule type="expression" dxfId="276" priority="278" stopIfTrue="1">
      <formula>IF(OR(EW35="OK"),FALSE,TRUE)</formula>
    </cfRule>
  </conditionalFormatting>
  <conditionalFormatting sqref="EV35">
    <cfRule type="expression" dxfId="275" priority="276" stopIfTrue="1">
      <formula>IF(EU$8="判定対象外",TRUE,FALSE)</formula>
    </cfRule>
  </conditionalFormatting>
  <conditionalFormatting sqref="ET35">
    <cfRule type="expression" dxfId="274" priority="275" stopIfTrue="1">
      <formula>IF(EU$8="判定対象外",TRUE,FALSE)</formula>
    </cfRule>
  </conditionalFormatting>
  <conditionalFormatting sqref="EU35">
    <cfRule type="expression" dxfId="273" priority="274" stopIfTrue="1">
      <formula>IF(EU$8="判定対象外",TRUE,FALSE)</formula>
    </cfRule>
  </conditionalFormatting>
  <conditionalFormatting sqref="FA35">
    <cfRule type="expression" dxfId="272" priority="272" stopIfTrue="1">
      <formula>IF(FA35="-",TRUE,FALSE)</formula>
    </cfRule>
    <cfRule type="expression" dxfId="271" priority="273" stopIfTrue="1">
      <formula>IF(OR(FA35="OK"),FALSE,TRUE)</formula>
    </cfRule>
  </conditionalFormatting>
  <conditionalFormatting sqref="EZ35">
    <cfRule type="expression" dxfId="270" priority="271" stopIfTrue="1">
      <formula>IF(EY$8="判定対象外",TRUE,FALSE)</formula>
    </cfRule>
  </conditionalFormatting>
  <conditionalFormatting sqref="EX35">
    <cfRule type="expression" dxfId="269" priority="270" stopIfTrue="1">
      <formula>IF(EY$8="判定対象外",TRUE,FALSE)</formula>
    </cfRule>
  </conditionalFormatting>
  <conditionalFormatting sqref="EY35">
    <cfRule type="expression" dxfId="268" priority="269" stopIfTrue="1">
      <formula>IF(EY$8="判定対象外",TRUE,FALSE)</formula>
    </cfRule>
  </conditionalFormatting>
  <conditionalFormatting sqref="FE35">
    <cfRule type="expression" dxfId="267" priority="267" stopIfTrue="1">
      <formula>IF(FE35="-",TRUE,FALSE)</formula>
    </cfRule>
    <cfRule type="expression" dxfId="266" priority="268" stopIfTrue="1">
      <formula>IF(OR(FE35="OK"),FALSE,TRUE)</formula>
    </cfRule>
  </conditionalFormatting>
  <conditionalFormatting sqref="FD35">
    <cfRule type="expression" dxfId="265" priority="266" stopIfTrue="1">
      <formula>IF(FC$8="判定対象外",TRUE,FALSE)</formula>
    </cfRule>
  </conditionalFormatting>
  <conditionalFormatting sqref="FB35">
    <cfRule type="expression" dxfId="264" priority="265" stopIfTrue="1">
      <formula>IF(FC$8="判定対象外",TRUE,FALSE)</formula>
    </cfRule>
  </conditionalFormatting>
  <conditionalFormatting sqref="FC35">
    <cfRule type="expression" dxfId="263" priority="264" stopIfTrue="1">
      <formula>IF(FC$8="判定対象外",TRUE,FALSE)</formula>
    </cfRule>
  </conditionalFormatting>
  <conditionalFormatting sqref="FI35">
    <cfRule type="expression" dxfId="262" priority="262" stopIfTrue="1">
      <formula>IF(FI35="-",TRUE,FALSE)</formula>
    </cfRule>
    <cfRule type="expression" dxfId="261" priority="263" stopIfTrue="1">
      <formula>IF(OR(FI35="OK"),FALSE,TRUE)</formula>
    </cfRule>
  </conditionalFormatting>
  <conditionalFormatting sqref="FH35">
    <cfRule type="expression" dxfId="260" priority="261" stopIfTrue="1">
      <formula>IF(FG$8="判定対象外",TRUE,FALSE)</formula>
    </cfRule>
  </conditionalFormatting>
  <conditionalFormatting sqref="FF35">
    <cfRule type="expression" dxfId="259" priority="260" stopIfTrue="1">
      <formula>IF(FG$8="判定対象外",TRUE,FALSE)</formula>
    </cfRule>
  </conditionalFormatting>
  <conditionalFormatting sqref="FG35">
    <cfRule type="expression" dxfId="258" priority="259" stopIfTrue="1">
      <formula>IF(FG$8="判定対象外",TRUE,FALSE)</formula>
    </cfRule>
  </conditionalFormatting>
  <conditionalFormatting sqref="FM35">
    <cfRule type="expression" dxfId="257" priority="257" stopIfTrue="1">
      <formula>IF(FM35="-",TRUE,FALSE)</formula>
    </cfRule>
    <cfRule type="expression" dxfId="256" priority="258" stopIfTrue="1">
      <formula>IF(OR(FM35="OK"),FALSE,TRUE)</formula>
    </cfRule>
  </conditionalFormatting>
  <conditionalFormatting sqref="FL35">
    <cfRule type="expression" dxfId="255" priority="256" stopIfTrue="1">
      <formula>IF(FK$8="判定対象外",TRUE,FALSE)</formula>
    </cfRule>
  </conditionalFormatting>
  <conditionalFormatting sqref="FJ35">
    <cfRule type="expression" dxfId="254" priority="255" stopIfTrue="1">
      <formula>IF(FK$8="判定対象外",TRUE,FALSE)</formula>
    </cfRule>
  </conditionalFormatting>
  <conditionalFormatting sqref="FK35">
    <cfRule type="expression" dxfId="253" priority="254" stopIfTrue="1">
      <formula>IF(FK$8="判定対象外",TRUE,FALSE)</formula>
    </cfRule>
  </conditionalFormatting>
  <conditionalFormatting sqref="FQ35">
    <cfRule type="expression" dxfId="252" priority="252" stopIfTrue="1">
      <formula>IF(FQ35="-",TRUE,FALSE)</formula>
    </cfRule>
    <cfRule type="expression" dxfId="251" priority="253" stopIfTrue="1">
      <formula>IF(OR(FQ35="OK"),FALSE,TRUE)</formula>
    </cfRule>
  </conditionalFormatting>
  <conditionalFormatting sqref="FP35">
    <cfRule type="expression" dxfId="250" priority="251" stopIfTrue="1">
      <formula>IF(FO$8="判定対象外",TRUE,FALSE)</formula>
    </cfRule>
  </conditionalFormatting>
  <conditionalFormatting sqref="FN35">
    <cfRule type="expression" dxfId="249" priority="250" stopIfTrue="1">
      <formula>IF(FO$8="判定対象外",TRUE,FALSE)</formula>
    </cfRule>
  </conditionalFormatting>
  <conditionalFormatting sqref="FO35">
    <cfRule type="expression" dxfId="248" priority="249" stopIfTrue="1">
      <formula>IF(FO$8="判定対象外",TRUE,FALSE)</formula>
    </cfRule>
  </conditionalFormatting>
  <conditionalFormatting sqref="FU35">
    <cfRule type="expression" dxfId="247" priority="247" stopIfTrue="1">
      <formula>IF(FU35="-",TRUE,FALSE)</formula>
    </cfRule>
    <cfRule type="expression" dxfId="246" priority="248" stopIfTrue="1">
      <formula>IF(OR(FU35="OK"),FALSE,TRUE)</formula>
    </cfRule>
  </conditionalFormatting>
  <conditionalFormatting sqref="FT35">
    <cfRule type="expression" dxfId="245" priority="246" stopIfTrue="1">
      <formula>IF(FS$8="判定対象外",TRUE,FALSE)</formula>
    </cfRule>
  </conditionalFormatting>
  <conditionalFormatting sqref="FR35">
    <cfRule type="expression" dxfId="244" priority="245" stopIfTrue="1">
      <formula>IF(FS$8="判定対象外",TRUE,FALSE)</formula>
    </cfRule>
  </conditionalFormatting>
  <conditionalFormatting sqref="FS35">
    <cfRule type="expression" dxfId="243" priority="244" stopIfTrue="1">
      <formula>IF(FS$8="判定対象外",TRUE,FALSE)</formula>
    </cfRule>
  </conditionalFormatting>
  <conditionalFormatting sqref="ES35">
    <cfRule type="expression" dxfId="242" priority="242" stopIfTrue="1">
      <formula>IF(ES35="-",TRUE,FALSE)</formula>
    </cfRule>
    <cfRule type="expression" dxfId="241" priority="243" stopIfTrue="1">
      <formula>IF(OR(ES35="OK"),FALSE,TRUE)</formula>
    </cfRule>
  </conditionalFormatting>
  <conditionalFormatting sqref="ER35">
    <cfRule type="expression" dxfId="240" priority="241" stopIfTrue="1">
      <formula>IF(EQ$8="判定対象外",TRUE,FALSE)</formula>
    </cfRule>
  </conditionalFormatting>
  <conditionalFormatting sqref="EP35">
    <cfRule type="expression" dxfId="239" priority="240" stopIfTrue="1">
      <formula>IF(EQ$8="判定対象外",TRUE,FALSE)</formula>
    </cfRule>
  </conditionalFormatting>
  <conditionalFormatting sqref="EQ35">
    <cfRule type="expression" dxfId="238" priority="239" stopIfTrue="1">
      <formula>IF(EQ$8="判定対象外",TRUE,FALSE)</formula>
    </cfRule>
  </conditionalFormatting>
  <conditionalFormatting sqref="EW35">
    <cfRule type="expression" dxfId="237" priority="237" stopIfTrue="1">
      <formula>IF(EW35="-",TRUE,FALSE)</formula>
    </cfRule>
    <cfRule type="expression" dxfId="236" priority="238" stopIfTrue="1">
      <formula>IF(OR(EW35="OK"),FALSE,TRUE)</formula>
    </cfRule>
  </conditionalFormatting>
  <conditionalFormatting sqref="EV35">
    <cfRule type="expression" dxfId="235" priority="236" stopIfTrue="1">
      <formula>IF(EU$8="判定対象外",TRUE,FALSE)</formula>
    </cfRule>
  </conditionalFormatting>
  <conditionalFormatting sqref="ET35">
    <cfRule type="expression" dxfId="234" priority="235" stopIfTrue="1">
      <formula>IF(EU$8="判定対象外",TRUE,FALSE)</formula>
    </cfRule>
  </conditionalFormatting>
  <conditionalFormatting sqref="EU35">
    <cfRule type="expression" dxfId="233" priority="234" stopIfTrue="1">
      <formula>IF(EU$8="判定対象外",TRUE,FALSE)</formula>
    </cfRule>
  </conditionalFormatting>
  <conditionalFormatting sqref="FA35">
    <cfRule type="expression" dxfId="232" priority="232" stopIfTrue="1">
      <formula>IF(FA35="-",TRUE,FALSE)</formula>
    </cfRule>
    <cfRule type="expression" dxfId="231" priority="233" stopIfTrue="1">
      <formula>IF(OR(FA35="OK"),FALSE,TRUE)</formula>
    </cfRule>
  </conditionalFormatting>
  <conditionalFormatting sqref="EZ35">
    <cfRule type="expression" dxfId="230" priority="231" stopIfTrue="1">
      <formula>IF(EY$8="判定対象外",TRUE,FALSE)</formula>
    </cfRule>
  </conditionalFormatting>
  <conditionalFormatting sqref="EX35">
    <cfRule type="expression" dxfId="229" priority="230" stopIfTrue="1">
      <formula>IF(EY$8="判定対象外",TRUE,FALSE)</formula>
    </cfRule>
  </conditionalFormatting>
  <conditionalFormatting sqref="EY35">
    <cfRule type="expression" dxfId="228" priority="229" stopIfTrue="1">
      <formula>IF(EY$8="判定対象外",TRUE,FALSE)</formula>
    </cfRule>
  </conditionalFormatting>
  <conditionalFormatting sqref="FE35">
    <cfRule type="expression" dxfId="227" priority="227" stopIfTrue="1">
      <formula>IF(FE35="-",TRUE,FALSE)</formula>
    </cfRule>
    <cfRule type="expression" dxfId="226" priority="228" stopIfTrue="1">
      <formula>IF(OR(FE35="OK"),FALSE,TRUE)</formula>
    </cfRule>
  </conditionalFormatting>
  <conditionalFormatting sqref="FD35">
    <cfRule type="expression" dxfId="225" priority="226" stopIfTrue="1">
      <formula>IF(FC$8="判定対象外",TRUE,FALSE)</formula>
    </cfRule>
  </conditionalFormatting>
  <conditionalFormatting sqref="FB35">
    <cfRule type="expression" dxfId="224" priority="225" stopIfTrue="1">
      <formula>IF(FC$8="判定対象外",TRUE,FALSE)</formula>
    </cfRule>
  </conditionalFormatting>
  <conditionalFormatting sqref="FC35">
    <cfRule type="expression" dxfId="223" priority="224" stopIfTrue="1">
      <formula>IF(FC$8="判定対象外",TRUE,FALSE)</formula>
    </cfRule>
  </conditionalFormatting>
  <conditionalFormatting sqref="FI35">
    <cfRule type="expression" dxfId="222" priority="222" stopIfTrue="1">
      <formula>IF(FI35="-",TRUE,FALSE)</formula>
    </cfRule>
    <cfRule type="expression" dxfId="221" priority="223" stopIfTrue="1">
      <formula>IF(OR(FI35="OK"),FALSE,TRUE)</formula>
    </cfRule>
  </conditionalFormatting>
  <conditionalFormatting sqref="FH35">
    <cfRule type="expression" dxfId="220" priority="221" stopIfTrue="1">
      <formula>IF(FG$8="判定対象外",TRUE,FALSE)</formula>
    </cfRule>
  </conditionalFormatting>
  <conditionalFormatting sqref="FF35">
    <cfRule type="expression" dxfId="219" priority="220" stopIfTrue="1">
      <formula>IF(FG$8="判定対象外",TRUE,FALSE)</formula>
    </cfRule>
  </conditionalFormatting>
  <conditionalFormatting sqref="FG35">
    <cfRule type="expression" dxfId="218" priority="219" stopIfTrue="1">
      <formula>IF(FG$8="判定対象外",TRUE,FALSE)</formula>
    </cfRule>
  </conditionalFormatting>
  <conditionalFormatting sqref="FM35">
    <cfRule type="expression" dxfId="217" priority="217" stopIfTrue="1">
      <formula>IF(FM35="-",TRUE,FALSE)</formula>
    </cfRule>
    <cfRule type="expression" dxfId="216" priority="218" stopIfTrue="1">
      <formula>IF(OR(FM35="OK"),FALSE,TRUE)</formula>
    </cfRule>
  </conditionalFormatting>
  <conditionalFormatting sqref="FL35">
    <cfRule type="expression" dxfId="215" priority="216" stopIfTrue="1">
      <formula>IF(FK$8="判定対象外",TRUE,FALSE)</formula>
    </cfRule>
  </conditionalFormatting>
  <conditionalFormatting sqref="FJ35">
    <cfRule type="expression" dxfId="214" priority="215" stopIfTrue="1">
      <formula>IF(FK$8="判定対象外",TRUE,FALSE)</formula>
    </cfRule>
  </conditionalFormatting>
  <conditionalFormatting sqref="FK35">
    <cfRule type="expression" dxfId="213" priority="214" stopIfTrue="1">
      <formula>IF(FK$8="判定対象外",TRUE,FALSE)</formula>
    </cfRule>
  </conditionalFormatting>
  <conditionalFormatting sqref="FQ35">
    <cfRule type="expression" dxfId="212" priority="212" stopIfTrue="1">
      <formula>IF(FQ35="-",TRUE,FALSE)</formula>
    </cfRule>
    <cfRule type="expression" dxfId="211" priority="213" stopIfTrue="1">
      <formula>IF(OR(FQ35="OK"),FALSE,TRUE)</formula>
    </cfRule>
  </conditionalFormatting>
  <conditionalFormatting sqref="FP35">
    <cfRule type="expression" dxfId="210" priority="211" stopIfTrue="1">
      <formula>IF(FO$8="判定対象外",TRUE,FALSE)</formula>
    </cfRule>
  </conditionalFormatting>
  <conditionalFormatting sqref="FN35">
    <cfRule type="expression" dxfId="209" priority="210" stopIfTrue="1">
      <formula>IF(FO$8="判定対象外",TRUE,FALSE)</formula>
    </cfRule>
  </conditionalFormatting>
  <conditionalFormatting sqref="FO35">
    <cfRule type="expression" dxfId="208" priority="209" stopIfTrue="1">
      <formula>IF(FO$8="判定対象外",TRUE,FALSE)</formula>
    </cfRule>
  </conditionalFormatting>
  <conditionalFormatting sqref="FU35">
    <cfRule type="expression" dxfId="207" priority="207" stopIfTrue="1">
      <formula>IF(FU35="-",TRUE,FALSE)</formula>
    </cfRule>
    <cfRule type="expression" dxfId="206" priority="208" stopIfTrue="1">
      <formula>IF(OR(FU35="OK"),FALSE,TRUE)</formula>
    </cfRule>
  </conditionalFormatting>
  <conditionalFormatting sqref="FT35">
    <cfRule type="expression" dxfId="205" priority="206" stopIfTrue="1">
      <formula>IF(FS$8="判定対象外",TRUE,FALSE)</formula>
    </cfRule>
  </conditionalFormatting>
  <conditionalFormatting sqref="FR35">
    <cfRule type="expression" dxfId="204" priority="205" stopIfTrue="1">
      <formula>IF(FS$8="判定対象外",TRUE,FALSE)</formula>
    </cfRule>
  </conditionalFormatting>
  <conditionalFormatting sqref="FS35">
    <cfRule type="expression" dxfId="203" priority="204" stopIfTrue="1">
      <formula>IF(FS$8="判定対象外",TRUE,FALSE)</formula>
    </cfRule>
  </conditionalFormatting>
  <conditionalFormatting sqref="FV35">
    <cfRule type="expression" dxfId="202" priority="203" stopIfTrue="1">
      <formula>IF(FW$8="判定対象外",TRUE,FALSE)</formula>
    </cfRule>
  </conditionalFormatting>
  <conditionalFormatting sqref="DE35">
    <cfRule type="expression" dxfId="201" priority="201" stopIfTrue="1">
      <formula>IF(DE35="-",TRUE,FALSE)</formula>
    </cfRule>
    <cfRule type="expression" dxfId="200" priority="202" stopIfTrue="1">
      <formula>IF(OR(DE35="OK"),FALSE,TRUE)</formula>
    </cfRule>
  </conditionalFormatting>
  <conditionalFormatting sqref="DD35">
    <cfRule type="expression" dxfId="199" priority="200" stopIfTrue="1">
      <formula>IF(DC$8="判定対象外",TRUE,FALSE)</formula>
    </cfRule>
  </conditionalFormatting>
  <conditionalFormatting sqref="DB35">
    <cfRule type="expression" dxfId="198" priority="199" stopIfTrue="1">
      <formula>IF(DC$8="判定対象外",TRUE,FALSE)</formula>
    </cfRule>
  </conditionalFormatting>
  <conditionalFormatting sqref="DC35">
    <cfRule type="expression" dxfId="197" priority="198" stopIfTrue="1">
      <formula>IF(DC$8="判定対象外",TRUE,FALSE)</formula>
    </cfRule>
  </conditionalFormatting>
  <conditionalFormatting sqref="GC35">
    <cfRule type="expression" dxfId="196" priority="196" stopIfTrue="1">
      <formula>IF(GC35="-",TRUE,FALSE)</formula>
    </cfRule>
    <cfRule type="expression" dxfId="195" priority="197" stopIfTrue="1">
      <formula>IF(OR(GC35="OK"),FALSE,TRUE)</formula>
    </cfRule>
  </conditionalFormatting>
  <conditionalFormatting sqref="GB35">
    <cfRule type="expression" dxfId="194" priority="195" stopIfTrue="1">
      <formula>IF(GA$8="判定対象外",TRUE,FALSE)</formula>
    </cfRule>
  </conditionalFormatting>
  <conditionalFormatting sqref="GA35">
    <cfRule type="expression" dxfId="193" priority="194" stopIfTrue="1">
      <formula>IF(GA$8="判定対象外",TRUE,FALSE)</formula>
    </cfRule>
  </conditionalFormatting>
  <conditionalFormatting sqref="GG35">
    <cfRule type="expression" dxfId="192" priority="192" stopIfTrue="1">
      <formula>IF(GG35="-",TRUE,FALSE)</formula>
    </cfRule>
    <cfRule type="expression" dxfId="191" priority="193" stopIfTrue="1">
      <formula>IF(OR(GG35="OK"),FALSE,TRUE)</formula>
    </cfRule>
  </conditionalFormatting>
  <conditionalFormatting sqref="GF35">
    <cfRule type="expression" dxfId="190" priority="191" stopIfTrue="1">
      <formula>IF(GE$8="判定対象外",TRUE,FALSE)</formula>
    </cfRule>
  </conditionalFormatting>
  <conditionalFormatting sqref="GD35">
    <cfRule type="expression" dxfId="189" priority="190" stopIfTrue="1">
      <formula>IF(GE$8="判定対象外",TRUE,FALSE)</formula>
    </cfRule>
  </conditionalFormatting>
  <conditionalFormatting sqref="GE35">
    <cfRule type="expression" dxfId="188" priority="189" stopIfTrue="1">
      <formula>IF(GE$8="判定対象外",TRUE,FALSE)</formula>
    </cfRule>
  </conditionalFormatting>
  <conditionalFormatting sqref="GK35">
    <cfRule type="expression" dxfId="187" priority="187" stopIfTrue="1">
      <formula>IF(GK35="-",TRUE,FALSE)</formula>
    </cfRule>
    <cfRule type="expression" dxfId="186" priority="188" stopIfTrue="1">
      <formula>IF(OR(GK35="OK"),FALSE,TRUE)</formula>
    </cfRule>
  </conditionalFormatting>
  <conditionalFormatting sqref="GJ35">
    <cfRule type="expression" dxfId="185" priority="186" stopIfTrue="1">
      <formula>IF(GI$8="判定対象外",TRUE,FALSE)</formula>
    </cfRule>
  </conditionalFormatting>
  <conditionalFormatting sqref="GH35">
    <cfRule type="expression" dxfId="184" priority="185" stopIfTrue="1">
      <formula>IF(GI$8="判定対象外",TRUE,FALSE)</formula>
    </cfRule>
  </conditionalFormatting>
  <conditionalFormatting sqref="GI35">
    <cfRule type="expression" dxfId="183" priority="184" stopIfTrue="1">
      <formula>IF(GI$8="判定対象外",TRUE,FALSE)</formula>
    </cfRule>
  </conditionalFormatting>
  <conditionalFormatting sqref="GO35">
    <cfRule type="expression" dxfId="182" priority="182" stopIfTrue="1">
      <formula>IF(GO35="-",TRUE,FALSE)</formula>
    </cfRule>
    <cfRule type="expression" dxfId="181" priority="183" stopIfTrue="1">
      <formula>IF(OR(GO35="OK"),FALSE,TRUE)</formula>
    </cfRule>
  </conditionalFormatting>
  <conditionalFormatting sqref="GN35">
    <cfRule type="expression" dxfId="180" priority="181" stopIfTrue="1">
      <formula>IF(GM$8="判定対象外",TRUE,FALSE)</formula>
    </cfRule>
  </conditionalFormatting>
  <conditionalFormatting sqref="GL35">
    <cfRule type="expression" dxfId="179" priority="180" stopIfTrue="1">
      <formula>IF(GM$8="判定対象外",TRUE,FALSE)</formula>
    </cfRule>
  </conditionalFormatting>
  <conditionalFormatting sqref="GM35">
    <cfRule type="expression" dxfId="178" priority="179" stopIfTrue="1">
      <formula>IF(GM$8="判定対象外",TRUE,FALSE)</formula>
    </cfRule>
  </conditionalFormatting>
  <conditionalFormatting sqref="GP35">
    <cfRule type="expression" dxfId="177" priority="178" stopIfTrue="1">
      <formula>IF(GQ$8="判定対象外",TRUE,FALSE)</formula>
    </cfRule>
  </conditionalFormatting>
  <conditionalFormatting sqref="BU35">
    <cfRule type="expression" dxfId="176" priority="176" stopIfTrue="1">
      <formula>IF(BU35="-",TRUE,FALSE)</formula>
    </cfRule>
    <cfRule type="expression" dxfId="175" priority="177" stopIfTrue="1">
      <formula>IF(OR(BU35="OK"),FALSE,TRUE)</formula>
    </cfRule>
  </conditionalFormatting>
  <conditionalFormatting sqref="BT35">
    <cfRule type="expression" dxfId="174" priority="175" stopIfTrue="1">
      <formula>IF(BS$8="判定対象外",TRUE,FALSE)</formula>
    </cfRule>
  </conditionalFormatting>
  <conditionalFormatting sqref="BR35">
    <cfRule type="expression" dxfId="173" priority="174" stopIfTrue="1">
      <formula>IF(BS$8="判定対象外",TRUE,FALSE)</formula>
    </cfRule>
  </conditionalFormatting>
  <conditionalFormatting sqref="BS35">
    <cfRule type="expression" dxfId="172" priority="173" stopIfTrue="1">
      <formula>IF(BS$8="判定対象外",TRUE,FALSE)</formula>
    </cfRule>
  </conditionalFormatting>
  <conditionalFormatting sqref="BY35">
    <cfRule type="expression" dxfId="171" priority="171" stopIfTrue="1">
      <formula>IF(BY35="-",TRUE,FALSE)</formula>
    </cfRule>
    <cfRule type="expression" dxfId="170" priority="172" stopIfTrue="1">
      <formula>IF(OR(BY35="OK"),FALSE,TRUE)</formula>
    </cfRule>
  </conditionalFormatting>
  <conditionalFormatting sqref="BX35">
    <cfRule type="expression" dxfId="169" priority="170" stopIfTrue="1">
      <formula>IF(BW$8="判定対象外",TRUE,FALSE)</formula>
    </cfRule>
  </conditionalFormatting>
  <conditionalFormatting sqref="BV35">
    <cfRule type="expression" dxfId="168" priority="169" stopIfTrue="1">
      <formula>IF(BW$8="判定対象外",TRUE,FALSE)</formula>
    </cfRule>
  </conditionalFormatting>
  <conditionalFormatting sqref="BW35">
    <cfRule type="expression" dxfId="167" priority="168" stopIfTrue="1">
      <formula>IF(BW$8="判定対象外",TRUE,FALSE)</formula>
    </cfRule>
  </conditionalFormatting>
  <conditionalFormatting sqref="CC35">
    <cfRule type="expression" dxfId="166" priority="166" stopIfTrue="1">
      <formula>IF(CC35="-",TRUE,FALSE)</formula>
    </cfRule>
    <cfRule type="expression" dxfId="165" priority="167" stopIfTrue="1">
      <formula>IF(OR(CC35="OK"),FALSE,TRUE)</formula>
    </cfRule>
  </conditionalFormatting>
  <conditionalFormatting sqref="CB35">
    <cfRule type="expression" dxfId="164" priority="165" stopIfTrue="1">
      <formula>IF(CA$8="判定対象外",TRUE,FALSE)</formula>
    </cfRule>
  </conditionalFormatting>
  <conditionalFormatting sqref="BZ35">
    <cfRule type="expression" dxfId="163" priority="164" stopIfTrue="1">
      <formula>IF(CA$8="判定対象外",TRUE,FALSE)</formula>
    </cfRule>
  </conditionalFormatting>
  <conditionalFormatting sqref="CA35">
    <cfRule type="expression" dxfId="162" priority="163" stopIfTrue="1">
      <formula>IF(CA$8="判定対象外",TRUE,FALSE)</formula>
    </cfRule>
  </conditionalFormatting>
  <conditionalFormatting sqref="CG35">
    <cfRule type="expression" dxfId="161" priority="161" stopIfTrue="1">
      <formula>IF(CG35="-",TRUE,FALSE)</formula>
    </cfRule>
    <cfRule type="expression" dxfId="160" priority="162" stopIfTrue="1">
      <formula>IF(OR(CG35="OK"),FALSE,TRUE)</formula>
    </cfRule>
  </conditionalFormatting>
  <conditionalFormatting sqref="CF35">
    <cfRule type="expression" dxfId="159" priority="160" stopIfTrue="1">
      <formula>IF(CE$8="判定対象外",TRUE,FALSE)</formula>
    </cfRule>
  </conditionalFormatting>
  <conditionalFormatting sqref="CD35">
    <cfRule type="expression" dxfId="158" priority="159" stopIfTrue="1">
      <formula>IF(CE$8="判定対象外",TRUE,FALSE)</formula>
    </cfRule>
  </conditionalFormatting>
  <conditionalFormatting sqref="CE35">
    <cfRule type="expression" dxfId="157" priority="158" stopIfTrue="1">
      <formula>IF(CE$8="判定対象外",TRUE,FALSE)</formula>
    </cfRule>
  </conditionalFormatting>
  <conditionalFormatting sqref="CK35">
    <cfRule type="expression" dxfId="156" priority="156" stopIfTrue="1">
      <formula>IF(CK35="-",TRUE,FALSE)</formula>
    </cfRule>
    <cfRule type="expression" dxfId="155" priority="157" stopIfTrue="1">
      <formula>IF(OR(CK35="OK"),FALSE,TRUE)</formula>
    </cfRule>
  </conditionalFormatting>
  <conditionalFormatting sqref="CJ35">
    <cfRule type="expression" dxfId="154" priority="155" stopIfTrue="1">
      <formula>IF(CI$8="判定対象外",TRUE,FALSE)</formula>
    </cfRule>
  </conditionalFormatting>
  <conditionalFormatting sqref="CH35">
    <cfRule type="expression" dxfId="153" priority="154" stopIfTrue="1">
      <formula>IF(CI$8="判定対象外",TRUE,FALSE)</formula>
    </cfRule>
  </conditionalFormatting>
  <conditionalFormatting sqref="CI35">
    <cfRule type="expression" dxfId="152" priority="153" stopIfTrue="1">
      <formula>IF(CI$8="判定対象外",TRUE,FALSE)</formula>
    </cfRule>
  </conditionalFormatting>
  <conditionalFormatting sqref="CO35">
    <cfRule type="expression" dxfId="151" priority="151" stopIfTrue="1">
      <formula>IF(CO35="-",TRUE,FALSE)</formula>
    </cfRule>
    <cfRule type="expression" dxfId="150" priority="152" stopIfTrue="1">
      <formula>IF(OR(CO35="OK"),FALSE,TRUE)</formula>
    </cfRule>
  </conditionalFormatting>
  <conditionalFormatting sqref="CN35">
    <cfRule type="expression" dxfId="149" priority="150" stopIfTrue="1">
      <formula>IF(CM$8="判定対象外",TRUE,FALSE)</formula>
    </cfRule>
  </conditionalFormatting>
  <conditionalFormatting sqref="CL35">
    <cfRule type="expression" dxfId="148" priority="149" stopIfTrue="1">
      <formula>IF(CM$8="判定対象外",TRUE,FALSE)</formula>
    </cfRule>
  </conditionalFormatting>
  <conditionalFormatting sqref="CM35">
    <cfRule type="expression" dxfId="147" priority="148" stopIfTrue="1">
      <formula>IF(CM$8="判定対象外",TRUE,FALSE)</formula>
    </cfRule>
  </conditionalFormatting>
  <conditionalFormatting sqref="CS35">
    <cfRule type="expression" dxfId="146" priority="146" stopIfTrue="1">
      <formula>IF(CS35="-",TRUE,FALSE)</formula>
    </cfRule>
    <cfRule type="expression" dxfId="145" priority="147" stopIfTrue="1">
      <formula>IF(OR(CS35="OK"),FALSE,TRUE)</formula>
    </cfRule>
  </conditionalFormatting>
  <conditionalFormatting sqref="CR35">
    <cfRule type="expression" dxfId="144" priority="145" stopIfTrue="1">
      <formula>IF(CQ$8="判定対象外",TRUE,FALSE)</formula>
    </cfRule>
  </conditionalFormatting>
  <conditionalFormatting sqref="CP35">
    <cfRule type="expression" dxfId="143" priority="144" stopIfTrue="1">
      <formula>IF(CQ$8="判定対象外",TRUE,FALSE)</formula>
    </cfRule>
  </conditionalFormatting>
  <conditionalFormatting sqref="CQ35">
    <cfRule type="expression" dxfId="142" priority="143" stopIfTrue="1">
      <formula>IF(CQ$8="判定対象外",TRUE,FALSE)</formula>
    </cfRule>
  </conditionalFormatting>
  <conditionalFormatting sqref="CW35">
    <cfRule type="expression" dxfId="141" priority="141" stopIfTrue="1">
      <formula>IF(CW35="-",TRUE,FALSE)</formula>
    </cfRule>
    <cfRule type="expression" dxfId="140" priority="142" stopIfTrue="1">
      <formula>IF(OR(CW35="OK"),FALSE,TRUE)</formula>
    </cfRule>
  </conditionalFormatting>
  <conditionalFormatting sqref="CV35">
    <cfRule type="expression" dxfId="139" priority="140" stopIfTrue="1">
      <formula>IF(CU$8="判定対象外",TRUE,FALSE)</formula>
    </cfRule>
  </conditionalFormatting>
  <conditionalFormatting sqref="CT35">
    <cfRule type="expression" dxfId="138" priority="139" stopIfTrue="1">
      <formula>IF(CU$8="判定対象外",TRUE,FALSE)</formula>
    </cfRule>
  </conditionalFormatting>
  <conditionalFormatting sqref="CU35">
    <cfRule type="expression" dxfId="137" priority="138" stopIfTrue="1">
      <formula>IF(CU$8="判定対象外",TRUE,FALSE)</formula>
    </cfRule>
  </conditionalFormatting>
  <conditionalFormatting sqref="DA35">
    <cfRule type="expression" dxfId="136" priority="136" stopIfTrue="1">
      <formula>IF(DA35="-",TRUE,FALSE)</formula>
    </cfRule>
    <cfRule type="expression" dxfId="135" priority="137" stopIfTrue="1">
      <formula>IF(OR(DA35="OK"),FALSE,TRUE)</formula>
    </cfRule>
  </conditionalFormatting>
  <conditionalFormatting sqref="CZ35">
    <cfRule type="expression" dxfId="134" priority="135" stopIfTrue="1">
      <formula>IF(CY$8="判定対象外",TRUE,FALSE)</formula>
    </cfRule>
  </conditionalFormatting>
  <conditionalFormatting sqref="CX35">
    <cfRule type="expression" dxfId="133" priority="134" stopIfTrue="1">
      <formula>IF(CY$8="判定対象外",TRUE,FALSE)</formula>
    </cfRule>
  </conditionalFormatting>
  <conditionalFormatting sqref="CY35">
    <cfRule type="expression" dxfId="132" priority="133" stopIfTrue="1">
      <formula>IF(CY$8="判定対象外",TRUE,FALSE)</formula>
    </cfRule>
  </conditionalFormatting>
  <conditionalFormatting sqref="DI35">
    <cfRule type="expression" dxfId="131" priority="131" stopIfTrue="1">
      <formula>IF(DI35="-",TRUE,FALSE)</formula>
    </cfRule>
    <cfRule type="expression" dxfId="130" priority="132" stopIfTrue="1">
      <formula>IF(OR(DI35="OK"),FALSE,TRUE)</formula>
    </cfRule>
  </conditionalFormatting>
  <conditionalFormatting sqref="DH35">
    <cfRule type="expression" dxfId="129" priority="130" stopIfTrue="1">
      <formula>IF(DG$8="判定対象外",TRUE,FALSE)</formula>
    </cfRule>
  </conditionalFormatting>
  <conditionalFormatting sqref="DF35">
    <cfRule type="expression" dxfId="128" priority="129" stopIfTrue="1">
      <formula>IF(DG$8="判定対象外",TRUE,FALSE)</formula>
    </cfRule>
  </conditionalFormatting>
  <conditionalFormatting sqref="DG35">
    <cfRule type="expression" dxfId="127" priority="128" stopIfTrue="1">
      <formula>IF(DG$8="判定対象外",TRUE,FALSE)</formula>
    </cfRule>
  </conditionalFormatting>
  <conditionalFormatting sqref="DM35">
    <cfRule type="expression" dxfId="126" priority="126" stopIfTrue="1">
      <formula>IF(DM35="-",TRUE,FALSE)</formula>
    </cfRule>
    <cfRule type="expression" dxfId="125" priority="127" stopIfTrue="1">
      <formula>IF(OR(DM35="OK"),FALSE,TRUE)</formula>
    </cfRule>
  </conditionalFormatting>
  <conditionalFormatting sqref="DL35">
    <cfRule type="expression" dxfId="124" priority="125" stopIfTrue="1">
      <formula>IF(DK$8="判定対象外",TRUE,FALSE)</formula>
    </cfRule>
  </conditionalFormatting>
  <conditionalFormatting sqref="DJ35">
    <cfRule type="expression" dxfId="123" priority="124" stopIfTrue="1">
      <formula>IF(DK$8="判定対象外",TRUE,FALSE)</formula>
    </cfRule>
  </conditionalFormatting>
  <conditionalFormatting sqref="DK35">
    <cfRule type="expression" dxfId="122" priority="123" stopIfTrue="1">
      <formula>IF(DK$8="判定対象外",TRUE,FALSE)</formula>
    </cfRule>
  </conditionalFormatting>
  <conditionalFormatting sqref="DQ35">
    <cfRule type="expression" dxfId="121" priority="121" stopIfTrue="1">
      <formula>IF(DQ35="-",TRUE,FALSE)</formula>
    </cfRule>
    <cfRule type="expression" dxfId="120" priority="122" stopIfTrue="1">
      <formula>IF(OR(DQ35="OK"),FALSE,TRUE)</formula>
    </cfRule>
  </conditionalFormatting>
  <conditionalFormatting sqref="DP35">
    <cfRule type="expression" dxfId="119" priority="120" stopIfTrue="1">
      <formula>IF(DO$8="判定対象外",TRUE,FALSE)</formula>
    </cfRule>
  </conditionalFormatting>
  <conditionalFormatting sqref="DN35">
    <cfRule type="expression" dxfId="118" priority="119" stopIfTrue="1">
      <formula>IF(DO$8="判定対象外",TRUE,FALSE)</formula>
    </cfRule>
  </conditionalFormatting>
  <conditionalFormatting sqref="DO35">
    <cfRule type="expression" dxfId="117" priority="118" stopIfTrue="1">
      <formula>IF(DO$8="判定対象外",TRUE,FALSE)</formula>
    </cfRule>
  </conditionalFormatting>
  <conditionalFormatting sqref="DU35">
    <cfRule type="expression" dxfId="116" priority="116" stopIfTrue="1">
      <formula>IF(DU35="-",TRUE,FALSE)</formula>
    </cfRule>
    <cfRule type="expression" dxfId="115" priority="117" stopIfTrue="1">
      <formula>IF(OR(DU35="OK"),FALSE,TRUE)</formula>
    </cfRule>
  </conditionalFormatting>
  <conditionalFormatting sqref="DT35">
    <cfRule type="expression" dxfId="114" priority="115" stopIfTrue="1">
      <formula>IF(DS$8="判定対象外",TRUE,FALSE)</formula>
    </cfRule>
  </conditionalFormatting>
  <conditionalFormatting sqref="DR35">
    <cfRule type="expression" dxfId="113" priority="114" stopIfTrue="1">
      <formula>IF(DS$8="判定対象外",TRUE,FALSE)</formula>
    </cfRule>
  </conditionalFormatting>
  <conditionalFormatting sqref="DS35">
    <cfRule type="expression" dxfId="112" priority="113" stopIfTrue="1">
      <formula>IF(DS$8="判定対象外",TRUE,FALSE)</formula>
    </cfRule>
  </conditionalFormatting>
  <conditionalFormatting sqref="DY35">
    <cfRule type="expression" dxfId="111" priority="111" stopIfTrue="1">
      <formula>IF(DY35="-",TRUE,FALSE)</formula>
    </cfRule>
    <cfRule type="expression" dxfId="110" priority="112" stopIfTrue="1">
      <formula>IF(OR(DY35="OK"),FALSE,TRUE)</formula>
    </cfRule>
  </conditionalFormatting>
  <conditionalFormatting sqref="DX35">
    <cfRule type="expression" dxfId="109" priority="110" stopIfTrue="1">
      <formula>IF(DW$8="判定対象外",TRUE,FALSE)</formula>
    </cfRule>
  </conditionalFormatting>
  <conditionalFormatting sqref="DV35">
    <cfRule type="expression" dxfId="108" priority="109" stopIfTrue="1">
      <formula>IF(DW$8="判定対象外",TRUE,FALSE)</formula>
    </cfRule>
  </conditionalFormatting>
  <conditionalFormatting sqref="DW35">
    <cfRule type="expression" dxfId="107" priority="108" stopIfTrue="1">
      <formula>IF(DW$8="判定対象外",TRUE,FALSE)</formula>
    </cfRule>
  </conditionalFormatting>
  <conditionalFormatting sqref="EC35">
    <cfRule type="expression" dxfId="106" priority="106" stopIfTrue="1">
      <formula>IF(EC35="-",TRUE,FALSE)</formula>
    </cfRule>
    <cfRule type="expression" dxfId="105" priority="107" stopIfTrue="1">
      <formula>IF(OR(EC35="OK"),FALSE,TRUE)</formula>
    </cfRule>
  </conditionalFormatting>
  <conditionalFormatting sqref="EB35">
    <cfRule type="expression" dxfId="104" priority="105" stopIfTrue="1">
      <formula>IF(EA$8="判定対象外",TRUE,FALSE)</formula>
    </cfRule>
  </conditionalFormatting>
  <conditionalFormatting sqref="DZ35">
    <cfRule type="expression" dxfId="103" priority="104" stopIfTrue="1">
      <formula>IF(EA$8="判定対象外",TRUE,FALSE)</formula>
    </cfRule>
  </conditionalFormatting>
  <conditionalFormatting sqref="EA35">
    <cfRule type="expression" dxfId="102" priority="103" stopIfTrue="1">
      <formula>IF(EA$8="判定対象外",TRUE,FALSE)</formula>
    </cfRule>
  </conditionalFormatting>
  <conditionalFormatting sqref="EG35">
    <cfRule type="expression" dxfId="101" priority="101" stopIfTrue="1">
      <formula>IF(EG35="-",TRUE,FALSE)</formula>
    </cfRule>
    <cfRule type="expression" dxfId="100" priority="102" stopIfTrue="1">
      <formula>IF(OR(EG35="OK"),FALSE,TRUE)</formula>
    </cfRule>
  </conditionalFormatting>
  <conditionalFormatting sqref="EF35">
    <cfRule type="expression" dxfId="99" priority="100" stopIfTrue="1">
      <formula>IF(EE$8="判定対象外",TRUE,FALSE)</formula>
    </cfRule>
  </conditionalFormatting>
  <conditionalFormatting sqref="ED35">
    <cfRule type="expression" dxfId="98" priority="99" stopIfTrue="1">
      <formula>IF(EE$8="判定対象外",TRUE,FALSE)</formula>
    </cfRule>
  </conditionalFormatting>
  <conditionalFormatting sqref="EE35">
    <cfRule type="expression" dxfId="97" priority="98" stopIfTrue="1">
      <formula>IF(EE$8="判定対象外",TRUE,FALSE)</formula>
    </cfRule>
  </conditionalFormatting>
  <conditionalFormatting sqref="EK35">
    <cfRule type="expression" dxfId="96" priority="96" stopIfTrue="1">
      <formula>IF(EK35="-",TRUE,FALSE)</formula>
    </cfRule>
    <cfRule type="expression" dxfId="95" priority="97" stopIfTrue="1">
      <formula>IF(OR(EK35="OK"),FALSE,TRUE)</formula>
    </cfRule>
  </conditionalFormatting>
  <conditionalFormatting sqref="EJ35">
    <cfRule type="expression" dxfId="94" priority="95" stopIfTrue="1">
      <formula>IF(EI$8="判定対象外",TRUE,FALSE)</formula>
    </cfRule>
  </conditionalFormatting>
  <conditionalFormatting sqref="EH35">
    <cfRule type="expression" dxfId="93" priority="94" stopIfTrue="1">
      <formula>IF(EI$8="判定対象外",TRUE,FALSE)</formula>
    </cfRule>
  </conditionalFormatting>
  <conditionalFormatting sqref="EI35">
    <cfRule type="expression" dxfId="92" priority="93" stopIfTrue="1">
      <formula>IF(EI$8="判定対象外",TRUE,FALSE)</formula>
    </cfRule>
  </conditionalFormatting>
  <conditionalFormatting sqref="EO35">
    <cfRule type="expression" dxfId="91" priority="91" stopIfTrue="1">
      <formula>IF(EO35="-",TRUE,FALSE)</formula>
    </cfRule>
    <cfRule type="expression" dxfId="90" priority="92" stopIfTrue="1">
      <formula>IF(OR(EO35="OK"),FALSE,TRUE)</formula>
    </cfRule>
  </conditionalFormatting>
  <conditionalFormatting sqref="EN35">
    <cfRule type="expression" dxfId="89" priority="90" stopIfTrue="1">
      <formula>IF(EM$8="判定対象外",TRUE,FALSE)</formula>
    </cfRule>
  </conditionalFormatting>
  <conditionalFormatting sqref="EL35">
    <cfRule type="expression" dxfId="88" priority="89" stopIfTrue="1">
      <formula>IF(EM$8="判定対象外",TRUE,FALSE)</formula>
    </cfRule>
  </conditionalFormatting>
  <conditionalFormatting sqref="EM35">
    <cfRule type="expression" dxfId="87" priority="88" stopIfTrue="1">
      <formula>IF(EM$8="判定対象外",TRUE,FALSE)</formula>
    </cfRule>
  </conditionalFormatting>
  <conditionalFormatting sqref="FZ35">
    <cfRule type="expression" dxfId="86" priority="87" stopIfTrue="1">
      <formula>IF(GA$8="判定対象外",TRUE,FALSE)</formula>
    </cfRule>
  </conditionalFormatting>
  <conditionalFormatting sqref="ES35">
    <cfRule type="expression" dxfId="85" priority="85" stopIfTrue="1">
      <formula>IF(ES35="-",TRUE,FALSE)</formula>
    </cfRule>
    <cfRule type="expression" dxfId="84" priority="86" stopIfTrue="1">
      <formula>IF(OR(ES35="OK"),FALSE,TRUE)</formula>
    </cfRule>
  </conditionalFormatting>
  <conditionalFormatting sqref="ER35">
    <cfRule type="expression" dxfId="83" priority="84" stopIfTrue="1">
      <formula>IF(EQ$8="判定対象外",TRUE,FALSE)</formula>
    </cfRule>
  </conditionalFormatting>
  <conditionalFormatting sqref="EP35">
    <cfRule type="expression" dxfId="82" priority="83" stopIfTrue="1">
      <formula>IF(EQ$8="判定対象外",TRUE,FALSE)</formula>
    </cfRule>
  </conditionalFormatting>
  <conditionalFormatting sqref="EQ35">
    <cfRule type="expression" dxfId="81" priority="82" stopIfTrue="1">
      <formula>IF(EQ$8="判定対象外",TRUE,FALSE)</formula>
    </cfRule>
  </conditionalFormatting>
  <conditionalFormatting sqref="EW35">
    <cfRule type="expression" dxfId="80" priority="80" stopIfTrue="1">
      <formula>IF(EW35="-",TRUE,FALSE)</formula>
    </cfRule>
    <cfRule type="expression" dxfId="79" priority="81" stopIfTrue="1">
      <formula>IF(OR(EW35="OK"),FALSE,TRUE)</formula>
    </cfRule>
  </conditionalFormatting>
  <conditionalFormatting sqref="EV35">
    <cfRule type="expression" dxfId="78" priority="79" stopIfTrue="1">
      <formula>IF(EU$8="判定対象外",TRUE,FALSE)</formula>
    </cfRule>
  </conditionalFormatting>
  <conditionalFormatting sqref="ET35">
    <cfRule type="expression" dxfId="77" priority="78" stopIfTrue="1">
      <formula>IF(EU$8="判定対象外",TRUE,FALSE)</formula>
    </cfRule>
  </conditionalFormatting>
  <conditionalFormatting sqref="EU35">
    <cfRule type="expression" dxfId="76" priority="77" stopIfTrue="1">
      <formula>IF(EU$8="判定対象外",TRUE,FALSE)</formula>
    </cfRule>
  </conditionalFormatting>
  <conditionalFormatting sqref="FA35">
    <cfRule type="expression" dxfId="75" priority="75" stopIfTrue="1">
      <formula>IF(FA35="-",TRUE,FALSE)</formula>
    </cfRule>
    <cfRule type="expression" dxfId="74" priority="76" stopIfTrue="1">
      <formula>IF(OR(FA35="OK"),FALSE,TRUE)</formula>
    </cfRule>
  </conditionalFormatting>
  <conditionalFormatting sqref="EZ35">
    <cfRule type="expression" dxfId="73" priority="74" stopIfTrue="1">
      <formula>IF(EY$8="判定対象外",TRUE,FALSE)</formula>
    </cfRule>
  </conditionalFormatting>
  <conditionalFormatting sqref="EX35">
    <cfRule type="expression" dxfId="72" priority="73" stopIfTrue="1">
      <formula>IF(EY$8="判定対象外",TRUE,FALSE)</formula>
    </cfRule>
  </conditionalFormatting>
  <conditionalFormatting sqref="EY35">
    <cfRule type="expression" dxfId="71" priority="72" stopIfTrue="1">
      <formula>IF(EY$8="判定対象外",TRUE,FALSE)</formula>
    </cfRule>
  </conditionalFormatting>
  <conditionalFormatting sqref="FE35">
    <cfRule type="expression" dxfId="70" priority="70" stopIfTrue="1">
      <formula>IF(FE35="-",TRUE,FALSE)</formula>
    </cfRule>
    <cfRule type="expression" dxfId="69" priority="71" stopIfTrue="1">
      <formula>IF(OR(FE35="OK"),FALSE,TRUE)</formula>
    </cfRule>
  </conditionalFormatting>
  <conditionalFormatting sqref="FD35">
    <cfRule type="expression" dxfId="68" priority="69" stopIfTrue="1">
      <formula>IF(FC$8="判定対象外",TRUE,FALSE)</formula>
    </cfRule>
  </conditionalFormatting>
  <conditionalFormatting sqref="FB35">
    <cfRule type="expression" dxfId="67" priority="68" stopIfTrue="1">
      <formula>IF(FC$8="判定対象外",TRUE,FALSE)</formula>
    </cfRule>
  </conditionalFormatting>
  <conditionalFormatting sqref="FC35">
    <cfRule type="expression" dxfId="66" priority="67" stopIfTrue="1">
      <formula>IF(FC$8="判定対象外",TRUE,FALSE)</formula>
    </cfRule>
  </conditionalFormatting>
  <conditionalFormatting sqref="FI35">
    <cfRule type="expression" dxfId="65" priority="65" stopIfTrue="1">
      <formula>IF(FI35="-",TRUE,FALSE)</formula>
    </cfRule>
    <cfRule type="expression" dxfId="64" priority="66" stopIfTrue="1">
      <formula>IF(OR(FI35="OK"),FALSE,TRUE)</formula>
    </cfRule>
  </conditionalFormatting>
  <conditionalFormatting sqref="FH35">
    <cfRule type="expression" dxfId="63" priority="64" stopIfTrue="1">
      <formula>IF(FG$8="判定対象外",TRUE,FALSE)</formula>
    </cfRule>
  </conditionalFormatting>
  <conditionalFormatting sqref="FF35">
    <cfRule type="expression" dxfId="62" priority="63" stopIfTrue="1">
      <formula>IF(FG$8="判定対象外",TRUE,FALSE)</formula>
    </cfRule>
  </conditionalFormatting>
  <conditionalFormatting sqref="FG35">
    <cfRule type="expression" dxfId="61" priority="62" stopIfTrue="1">
      <formula>IF(FG$8="判定対象外",TRUE,FALSE)</formula>
    </cfRule>
  </conditionalFormatting>
  <conditionalFormatting sqref="FM35">
    <cfRule type="expression" dxfId="60" priority="60" stopIfTrue="1">
      <formula>IF(FM35="-",TRUE,FALSE)</formula>
    </cfRule>
    <cfRule type="expression" dxfId="59" priority="61" stopIfTrue="1">
      <formula>IF(OR(FM35="OK"),FALSE,TRUE)</formula>
    </cfRule>
  </conditionalFormatting>
  <conditionalFormatting sqref="FL35">
    <cfRule type="expression" dxfId="58" priority="59" stopIfTrue="1">
      <formula>IF(FK$8="判定対象外",TRUE,FALSE)</formula>
    </cfRule>
  </conditionalFormatting>
  <conditionalFormatting sqref="FJ35">
    <cfRule type="expression" dxfId="57" priority="58" stopIfTrue="1">
      <formula>IF(FK$8="判定対象外",TRUE,FALSE)</formula>
    </cfRule>
  </conditionalFormatting>
  <conditionalFormatting sqref="FK35">
    <cfRule type="expression" dxfId="56" priority="57" stopIfTrue="1">
      <formula>IF(FK$8="判定対象外",TRUE,FALSE)</formula>
    </cfRule>
  </conditionalFormatting>
  <conditionalFormatting sqref="FQ35">
    <cfRule type="expression" dxfId="55" priority="55" stopIfTrue="1">
      <formula>IF(FQ35="-",TRUE,FALSE)</formula>
    </cfRule>
    <cfRule type="expression" dxfId="54" priority="56" stopIfTrue="1">
      <formula>IF(OR(FQ35="OK"),FALSE,TRUE)</formula>
    </cfRule>
  </conditionalFormatting>
  <conditionalFormatting sqref="FP35">
    <cfRule type="expression" dxfId="53" priority="54" stopIfTrue="1">
      <formula>IF(FO$8="判定対象外",TRUE,FALSE)</formula>
    </cfRule>
  </conditionalFormatting>
  <conditionalFormatting sqref="FN35">
    <cfRule type="expression" dxfId="52" priority="53" stopIfTrue="1">
      <formula>IF(FO$8="判定対象外",TRUE,FALSE)</formula>
    </cfRule>
  </conditionalFormatting>
  <conditionalFormatting sqref="FO35">
    <cfRule type="expression" dxfId="51" priority="52" stopIfTrue="1">
      <formula>IF(FO$8="判定対象外",TRUE,FALSE)</formula>
    </cfRule>
  </conditionalFormatting>
  <conditionalFormatting sqref="FU35">
    <cfRule type="expression" dxfId="50" priority="50" stopIfTrue="1">
      <formula>IF(FU35="-",TRUE,FALSE)</formula>
    </cfRule>
    <cfRule type="expression" dxfId="49" priority="51" stopIfTrue="1">
      <formula>IF(OR(FU35="OK"),FALSE,TRUE)</formula>
    </cfRule>
  </conditionalFormatting>
  <conditionalFormatting sqref="FT35">
    <cfRule type="expression" dxfId="48" priority="49" stopIfTrue="1">
      <formula>IF(FS$8="判定対象外",TRUE,FALSE)</formula>
    </cfRule>
  </conditionalFormatting>
  <conditionalFormatting sqref="FR35">
    <cfRule type="expression" dxfId="47" priority="48" stopIfTrue="1">
      <formula>IF(FS$8="判定対象外",TRUE,FALSE)</formula>
    </cfRule>
  </conditionalFormatting>
  <conditionalFormatting sqref="FS35">
    <cfRule type="expression" dxfId="46" priority="47" stopIfTrue="1">
      <formula>IF(FS$8="判定対象外",TRUE,FALSE)</formula>
    </cfRule>
  </conditionalFormatting>
  <conditionalFormatting sqref="FY35">
    <cfRule type="expression" dxfId="45" priority="45" stopIfTrue="1">
      <formula>IF(FY35="-",TRUE,FALSE)</formula>
    </cfRule>
    <cfRule type="expression" dxfId="44" priority="46" stopIfTrue="1">
      <formula>IF(OR(FY35="OK"),FALSE,TRUE)</formula>
    </cfRule>
  </conditionalFormatting>
  <conditionalFormatting sqref="FX35">
    <cfRule type="expression" dxfId="43" priority="44" stopIfTrue="1">
      <formula>IF(FW$8="判定対象外",TRUE,FALSE)</formula>
    </cfRule>
  </conditionalFormatting>
  <conditionalFormatting sqref="FV35">
    <cfRule type="expression" dxfId="42" priority="43" stopIfTrue="1">
      <formula>IF(FW$8="判定対象外",TRUE,FALSE)</formula>
    </cfRule>
  </conditionalFormatting>
  <conditionalFormatting sqref="FW35">
    <cfRule type="expression" dxfId="41" priority="42" stopIfTrue="1">
      <formula>IF(FW$8="判定対象外",TRUE,FALSE)</formula>
    </cfRule>
  </conditionalFormatting>
  <conditionalFormatting sqref="EW35">
    <cfRule type="expression" dxfId="40" priority="40" stopIfTrue="1">
      <formula>IF(EW35="-",TRUE,FALSE)</formula>
    </cfRule>
    <cfRule type="expression" dxfId="39" priority="41" stopIfTrue="1">
      <formula>IF(OR(EW35="OK"),FALSE,TRUE)</formula>
    </cfRule>
  </conditionalFormatting>
  <conditionalFormatting sqref="EV35">
    <cfRule type="expression" dxfId="38" priority="39" stopIfTrue="1">
      <formula>IF(EU$8="判定対象外",TRUE,FALSE)</formula>
    </cfRule>
  </conditionalFormatting>
  <conditionalFormatting sqref="ET35">
    <cfRule type="expression" dxfId="37" priority="38" stopIfTrue="1">
      <formula>IF(EU$8="判定対象外",TRUE,FALSE)</formula>
    </cfRule>
  </conditionalFormatting>
  <conditionalFormatting sqref="EU35">
    <cfRule type="expression" dxfId="36" priority="37" stopIfTrue="1">
      <formula>IF(EU$8="判定対象外",TRUE,FALSE)</formula>
    </cfRule>
  </conditionalFormatting>
  <conditionalFormatting sqref="FA35">
    <cfRule type="expression" dxfId="35" priority="35" stopIfTrue="1">
      <formula>IF(FA35="-",TRUE,FALSE)</formula>
    </cfRule>
    <cfRule type="expression" dxfId="34" priority="36" stopIfTrue="1">
      <formula>IF(OR(FA35="OK"),FALSE,TRUE)</formula>
    </cfRule>
  </conditionalFormatting>
  <conditionalFormatting sqref="EZ35">
    <cfRule type="expression" dxfId="33" priority="34" stopIfTrue="1">
      <formula>IF(EY$8="判定対象外",TRUE,FALSE)</formula>
    </cfRule>
  </conditionalFormatting>
  <conditionalFormatting sqref="EX35">
    <cfRule type="expression" dxfId="32" priority="33" stopIfTrue="1">
      <formula>IF(EY$8="判定対象外",TRUE,FALSE)</formula>
    </cfRule>
  </conditionalFormatting>
  <conditionalFormatting sqref="EY35">
    <cfRule type="expression" dxfId="31" priority="32" stopIfTrue="1">
      <formula>IF(EY$8="判定対象外",TRUE,FALSE)</formula>
    </cfRule>
  </conditionalFormatting>
  <conditionalFormatting sqref="FE35">
    <cfRule type="expression" dxfId="30" priority="30" stopIfTrue="1">
      <formula>IF(FE35="-",TRUE,FALSE)</formula>
    </cfRule>
    <cfRule type="expression" dxfId="29" priority="31" stopIfTrue="1">
      <formula>IF(OR(FE35="OK"),FALSE,TRUE)</formula>
    </cfRule>
  </conditionalFormatting>
  <conditionalFormatting sqref="FD35">
    <cfRule type="expression" dxfId="28" priority="29" stopIfTrue="1">
      <formula>IF(FC$8="判定対象外",TRUE,FALSE)</formula>
    </cfRule>
  </conditionalFormatting>
  <conditionalFormatting sqref="FB35">
    <cfRule type="expression" dxfId="27" priority="28" stopIfTrue="1">
      <formula>IF(FC$8="判定対象外",TRUE,FALSE)</formula>
    </cfRule>
  </conditionalFormatting>
  <conditionalFormatting sqref="FC35">
    <cfRule type="expression" dxfId="26" priority="27" stopIfTrue="1">
      <formula>IF(FC$8="判定対象外",TRUE,FALSE)</formula>
    </cfRule>
  </conditionalFormatting>
  <conditionalFormatting sqref="FI35">
    <cfRule type="expression" dxfId="25" priority="25" stopIfTrue="1">
      <formula>IF(FI35="-",TRUE,FALSE)</formula>
    </cfRule>
    <cfRule type="expression" dxfId="24" priority="26" stopIfTrue="1">
      <formula>IF(OR(FI35="OK"),FALSE,TRUE)</formula>
    </cfRule>
  </conditionalFormatting>
  <conditionalFormatting sqref="FH35">
    <cfRule type="expression" dxfId="23" priority="24" stopIfTrue="1">
      <formula>IF(FG$8="判定対象外",TRUE,FALSE)</formula>
    </cfRule>
  </conditionalFormatting>
  <conditionalFormatting sqref="FF35">
    <cfRule type="expression" dxfId="22" priority="23" stopIfTrue="1">
      <formula>IF(FG$8="判定対象外",TRUE,FALSE)</formula>
    </cfRule>
  </conditionalFormatting>
  <conditionalFormatting sqref="FG35">
    <cfRule type="expression" dxfId="21" priority="22" stopIfTrue="1">
      <formula>IF(FG$8="判定対象外",TRUE,FALSE)</formula>
    </cfRule>
  </conditionalFormatting>
  <conditionalFormatting sqref="FM35">
    <cfRule type="expression" dxfId="20" priority="20" stopIfTrue="1">
      <formula>IF(FM35="-",TRUE,FALSE)</formula>
    </cfRule>
    <cfRule type="expression" dxfId="19" priority="21" stopIfTrue="1">
      <formula>IF(OR(FM35="OK"),FALSE,TRUE)</formula>
    </cfRule>
  </conditionalFormatting>
  <conditionalFormatting sqref="FL35">
    <cfRule type="expression" dxfId="18" priority="19" stopIfTrue="1">
      <formula>IF(FK$8="判定対象外",TRUE,FALSE)</formula>
    </cfRule>
  </conditionalFormatting>
  <conditionalFormatting sqref="FJ35">
    <cfRule type="expression" dxfId="17" priority="18" stopIfTrue="1">
      <formula>IF(FK$8="判定対象外",TRUE,FALSE)</formula>
    </cfRule>
  </conditionalFormatting>
  <conditionalFormatting sqref="FK35">
    <cfRule type="expression" dxfId="16" priority="17" stopIfTrue="1">
      <formula>IF(FK$8="判定対象外",TRUE,FALSE)</formula>
    </cfRule>
  </conditionalFormatting>
  <conditionalFormatting sqref="FQ35">
    <cfRule type="expression" dxfId="15" priority="15" stopIfTrue="1">
      <formula>IF(FQ35="-",TRUE,FALSE)</formula>
    </cfRule>
    <cfRule type="expression" dxfId="14" priority="16" stopIfTrue="1">
      <formula>IF(OR(FQ35="OK"),FALSE,TRUE)</formula>
    </cfRule>
  </conditionalFormatting>
  <conditionalFormatting sqref="FP35">
    <cfRule type="expression" dxfId="13" priority="14" stopIfTrue="1">
      <formula>IF(FO$8="判定対象外",TRUE,FALSE)</formula>
    </cfRule>
  </conditionalFormatting>
  <conditionalFormatting sqref="FN35">
    <cfRule type="expression" dxfId="12" priority="13" stopIfTrue="1">
      <formula>IF(FO$8="判定対象外",TRUE,FALSE)</formula>
    </cfRule>
  </conditionalFormatting>
  <conditionalFormatting sqref="FO35">
    <cfRule type="expression" dxfId="11" priority="12" stopIfTrue="1">
      <formula>IF(FO$8="判定対象外",TRUE,FALSE)</formula>
    </cfRule>
  </conditionalFormatting>
  <conditionalFormatting sqref="FU35">
    <cfRule type="expression" dxfId="10" priority="10" stopIfTrue="1">
      <formula>IF(FU35="-",TRUE,FALSE)</formula>
    </cfRule>
    <cfRule type="expression" dxfId="9" priority="11" stopIfTrue="1">
      <formula>IF(OR(FU35="OK"),FALSE,TRUE)</formula>
    </cfRule>
  </conditionalFormatting>
  <conditionalFormatting sqref="FT35">
    <cfRule type="expression" dxfId="8" priority="9" stopIfTrue="1">
      <formula>IF(FS$8="判定対象外",TRUE,FALSE)</formula>
    </cfRule>
  </conditionalFormatting>
  <conditionalFormatting sqref="FR35">
    <cfRule type="expression" dxfId="7" priority="8" stopIfTrue="1">
      <formula>IF(FS$8="判定対象外",TRUE,FALSE)</formula>
    </cfRule>
  </conditionalFormatting>
  <conditionalFormatting sqref="FS35">
    <cfRule type="expression" dxfId="6" priority="7" stopIfTrue="1">
      <formula>IF(FS$8="判定対象外",TRUE,FALSE)</formula>
    </cfRule>
  </conditionalFormatting>
  <conditionalFormatting sqref="FY35">
    <cfRule type="expression" dxfId="5" priority="5" stopIfTrue="1">
      <formula>IF(FY35="-",TRUE,FALSE)</formula>
    </cfRule>
    <cfRule type="expression" dxfId="4" priority="6" stopIfTrue="1">
      <formula>IF(OR(FY35="OK"),FALSE,TRUE)</formula>
    </cfRule>
  </conditionalFormatting>
  <conditionalFormatting sqref="FX35">
    <cfRule type="expression" dxfId="3" priority="4" stopIfTrue="1">
      <formula>IF(FW$8="判定対象外",TRUE,FALSE)</formula>
    </cfRule>
  </conditionalFormatting>
  <conditionalFormatting sqref="FV35">
    <cfRule type="expression" dxfId="2" priority="3" stopIfTrue="1">
      <formula>IF(FW$8="判定対象外",TRUE,FALSE)</formula>
    </cfRule>
  </conditionalFormatting>
  <conditionalFormatting sqref="FW35">
    <cfRule type="expression" dxfId="1" priority="2" stopIfTrue="1">
      <formula>IF(FW$8="判定対象外",TRUE,FALSE)</formula>
    </cfRule>
  </conditionalFormatting>
  <conditionalFormatting sqref="FZ35">
    <cfRule type="expression" dxfId="0" priority="1" stopIfTrue="1">
      <formula>IF(GA$8="判定対象外",TRUE,FALSE)</formula>
    </cfRule>
  </conditionalFormatting>
  <hyperlinks>
    <hyperlink ref="L4" r:id="rId1" xr:uid="{00000000-0004-0000-2E00-000000000000}"/>
    <hyperlink ref="L3" r:id="rId2" xr:uid="{00000000-0004-0000-2E00-000001000000}"/>
  </hyperlinks>
  <pageMargins left="0.7" right="0.7" top="0.75" bottom="0.75" header="0.3" footer="0.3"/>
  <pageSetup paperSize="9" orientation="portrait" verticalDpi="0"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dimension ref="A1:A6"/>
  <sheetViews>
    <sheetView workbookViewId="0">
      <selection activeCell="F23" sqref="F23"/>
    </sheetView>
  </sheetViews>
  <sheetFormatPr defaultColWidth="9" defaultRowHeight="12.75"/>
  <cols>
    <col min="1" max="16384" width="9" style="380"/>
  </cols>
  <sheetData>
    <row r="1" spans="1:1">
      <c r="A1" s="380" t="s">
        <v>674</v>
      </c>
    </row>
    <row r="6" spans="1:1">
      <c r="A6" s="380" t="s">
        <v>675</v>
      </c>
    </row>
  </sheetData>
  <phoneticPr fontId="3"/>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287676697870445AE99785712142278" ma:contentTypeVersion="0" ma:contentTypeDescription="新しいドキュメントを作成します。" ma:contentTypeScope="" ma:versionID="9cd4863f177160b87af747e3a1c91ef1">
  <xsd:schema xmlns:xsd="http://www.w3.org/2001/XMLSchema" xmlns:xs="http://www.w3.org/2001/XMLSchema" xmlns:p="http://schemas.microsoft.com/office/2006/metadata/properties" targetNamespace="http://schemas.microsoft.com/office/2006/metadata/properties" ma:root="true" ma:fieldsID="e3fc15230516dd5e85220f060eed4ba5">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3383601-D44B-4393-ACED-D9B90FC74A4E}">
  <ds:schemaRefs>
    <ds:schemaRef ds:uri="http://schemas.microsoft.com/sharepoint/v3/contenttype/forms"/>
  </ds:schemaRefs>
</ds:datastoreItem>
</file>

<file path=customXml/itemProps2.xml><?xml version="1.0" encoding="utf-8"?>
<ds:datastoreItem xmlns:ds="http://schemas.openxmlformats.org/officeDocument/2006/customXml" ds:itemID="{C2B186A1-BF90-456C-A261-58B704DE731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35B89346-4A67-4EF5-8493-A243FB757C5A}">
  <ds:schemaRefs>
    <ds:schemaRef ds:uri="http://www.w3.org/XML/1998/namespace"/>
    <ds:schemaRef ds:uri="http://schemas.microsoft.com/office/2006/documentManagement/types"/>
    <ds:schemaRef ds:uri="http://schemas.microsoft.com/office/2006/metadata/properties"/>
    <ds:schemaRef ds:uri="http://purl.org/dc/dcmitype/"/>
    <ds:schemaRef ds:uri="http://purl.org/dc/terms/"/>
    <ds:schemaRef ds:uri="http://schemas.microsoft.com/office/infopath/2007/PartnerControls"/>
    <ds:schemaRef ds:uri="http://schemas.openxmlformats.org/package/2006/metadata/core-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48</vt:i4>
      </vt:variant>
      <vt:variant>
        <vt:lpstr>名前付き一覧</vt:lpstr>
      </vt:variant>
      <vt:variant>
        <vt:i4>2</vt:i4>
      </vt:variant>
    </vt:vector>
  </HeadingPairs>
  <TitlesOfParts>
    <vt:vector size="50" baseType="lpstr">
      <vt:lpstr>テスト観点</vt:lpstr>
      <vt:lpstr>異業種商材申込情報抽出</vt:lpstr>
      <vt:lpstr>1</vt:lpstr>
      <vt:lpstr>3</vt:lpstr>
      <vt:lpstr>4</vt:lpstr>
      <vt:lpstr>5</vt:lpstr>
      <vt:lpstr>6</vt:lpstr>
      <vt:lpstr>7</vt:lpstr>
      <vt:lpstr>8</vt:lpstr>
      <vt:lpstr>9</vt:lpstr>
      <vt:lpstr>10</vt:lpstr>
      <vt:lpstr>11</vt:lpstr>
      <vt:lpstr>12</vt:lpstr>
      <vt:lpstr>13</vt:lpstr>
      <vt:lpstr>14</vt:lpstr>
      <vt:lpstr>15</vt:lpstr>
      <vt:lpstr>2</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41</vt:lpstr>
      <vt:lpstr>42</vt:lpstr>
      <vt:lpstr>43</vt:lpstr>
      <vt:lpstr>Generator</vt:lpstr>
      <vt:lpstr>M001</vt:lpstr>
      <vt:lpstr>base</vt:lpstr>
      <vt:lpstr>異業種商材申込情報抽出!Print_Area</vt:lpstr>
      <vt:lpstr>異業種商材申込情報抽出!Print_Titles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Liang, Zhao-Fei (ES-Apps-GD-CQ)</dc:creator>
  <cp:lastModifiedBy>Nobuyuki.Sakurai</cp:lastModifiedBy>
  <cp:lastPrinted>2016-04-05T09:02:14Z</cp:lastPrinted>
  <dcterms:created xsi:type="dcterms:W3CDTF">2008-03-12T10:22:56Z</dcterms:created>
  <dcterms:modified xsi:type="dcterms:W3CDTF">2018-06-28T05:06:52Z</dcterms:modified>
</cp:coreProperties>
</file>